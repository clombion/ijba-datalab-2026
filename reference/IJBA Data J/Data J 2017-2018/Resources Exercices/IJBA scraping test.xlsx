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dèle" sheetId="1" r:id="rId4"/>
    <sheet state="visible" name="Groupe 2" sheetId="2" r:id="rId5"/>
    <sheet state="visible" name="Feuille 12" sheetId="3" r:id="rId6"/>
    <sheet state="visible" name="Feuille 11" sheetId="4" r:id="rId7"/>
    <sheet state="visible" name="Groupe 1" sheetId="5" r:id="rId8"/>
    <sheet state="visible" name="Groupe 3" sheetId="6" r:id="rId9"/>
    <sheet state="visible" name="Groupe 5" sheetId="7" r:id="rId10"/>
    <sheet state="visible" name="Groupe 8" sheetId="8" r:id="rId11"/>
    <sheet state="visible" name="Groupe 9(!)" sheetId="9" r:id="rId12"/>
    <sheet state="visible" name="JO BARCELONE 92" sheetId="10" r:id="rId13"/>
    <sheet state="visible" name="Feuille 9" sheetId="11" r:id="rId14"/>
    <sheet state="visible" name="Theo" sheetId="12" r:id="rId15"/>
    <sheet state="visible" name="Theo 2" sheetId="13" r:id="rId16"/>
    <sheet state="visible" name="Feuille 16" sheetId="14" r:id="rId17"/>
  </sheets>
  <definedNames/>
  <calcPr/>
</workbook>
</file>

<file path=xl/sharedStrings.xml><?xml version="1.0" encoding="utf-8"?>
<sst xmlns="http://schemas.openxmlformats.org/spreadsheetml/2006/main" count="432" uniqueCount="278">
  <si>
    <t>Rang</t>
  </si>
  <si>
    <t>Titre</t>
  </si>
  <si>
    <t>Réalisateur</t>
  </si>
  <si>
    <t>Année</t>
  </si>
  <si>
    <t>Pays d'Origine</t>
  </si>
  <si>
    <t>Budget (USD)</t>
  </si>
  <si>
    <t>Recettes (USD)</t>
  </si>
  <si>
    <t>*Avatar*</t>
  </si>
  <si>
    <t>James Cameron</t>
  </si>
  <si>
    <t>2009*</t>
  </si>
  <si>
    <t>États-Unis</t>
  </si>
  <si>
    <t>*Titanic*</t>
  </si>
  <si>
    <t>James Cam</t>
  </si>
  <si>
    <t>1997*</t>
  </si>
  <si>
    <t>*Star Wars, épisode VII : Le Réveil de la Force*</t>
  </si>
  <si>
    <t>J. J. Abrams</t>
  </si>
  <si>
    <t>2015*</t>
  </si>
  <si>
    <t>*Jurassic World*</t>
  </si>
  <si>
    <t>Colin Trevorrow</t>
  </si>
  <si>
    <t>*Avengers*</t>
  </si>
  <si>
    <t>Joss Whedon</t>
  </si>
  <si>
    <t>2012*</t>
  </si>
  <si>
    <t>*Fast and Furious 7*</t>
  </si>
  <si>
    <t>James Wan</t>
  </si>
  <si>
    <t>*Avengers : L'Ère d'Ultron*</t>
  </si>
  <si>
    <t>*Harry Potter et les Reliques de la Mort : Deuxième Partie*</t>
  </si>
  <si>
    <t>David Yates</t>
  </si>
  <si>
    <t>2011*</t>
  </si>
  <si>
    <t>Royaume-Uni 
 États-Unis</t>
  </si>
  <si>
    <t>*Star Wars, épisode VIII : Les Derniers Jedi*</t>
  </si>
  <si>
    <t>Rian Johnson</t>
  </si>
  <si>
    <t>2017*</t>
  </si>
  <si>
    <t>*La Reine des neiges*</t>
  </si>
  <si>
    <t>Chris Buck et Jennifer Lee</t>
  </si>
  <si>
    <t>2013*</t>
  </si>
  <si>
    <t>*La Belle et la Bête*</t>
  </si>
  <si>
    <t>Bill Condon</t>
  </si>
  <si>
    <t>*Fast and Furious 8*</t>
  </si>
  <si>
    <t>F. Gary Gray</t>
  </si>
  <si>
    <t>*Iron Man 3*</t>
  </si>
  <si>
    <t>Shane Black</t>
  </si>
  <si>
    <t>*Les Minions*</t>
  </si>
  <si>
    <t>Kyle Balda et Pierre Coffin</t>
  </si>
  <si>
    <t>*Captain America: Civil War*</t>
  </si>
  <si>
    <t>Anthony et Joe Russo</t>
  </si>
  <si>
    <t>2016*</t>
  </si>
  <si>
    <t>*Transformers 3 : La Face cachée de la Lune*</t>
  </si>
  <si>
    <t>Michael Bay</t>
  </si>
  <si>
    <t>*Le Seigneur des anneaux : Le Retour du roi*</t>
  </si>
  <si>
    <t>Peter Jackson</t>
  </si>
  <si>
    <t>États-Unis 
 Nouvelle-Zélande</t>
  </si>
  <si>
    <t>*Skyfall*</t>
  </si>
  <si>
    <t>Sam Mendes</t>
  </si>
  <si>
    <t>*Transformers : L'Âge de l'extinction*</t>
  </si>
  <si>
    <t>2014*</t>
  </si>
  <si>
    <t>*The Dark Knight Rises*</t>
  </si>
  <si>
    <t>Christopher Nolan</t>
  </si>
  <si>
    <t>États-Unis 
 Royaume-Uni</t>
  </si>
  <si>
    <t>*Pirates des Caraïbes : Le Secret du coffre maudit*</t>
  </si>
  <si>
    <t>Gore Verbinski</t>
  </si>
  <si>
    <t>*Toy Story 3*</t>
  </si>
  <si>
    <t>Lee Unkrich</t>
  </si>
  <si>
    <t>2010*</t>
  </si>
  <si>
    <t>*Rogue One: A Star Wars Story*</t>
  </si>
  <si>
    <t>Gareth Edwards</t>
  </si>
  <si>
    <t>*Pirates des Caraïbes : La Fontaine de jouvence*</t>
  </si>
  <si>
    <t>Rob Marshall</t>
  </si>
  <si>
    <t>*Moi, moche et méchant 3*</t>
  </si>
  <si>
    <t>*Jurassic Park*</t>
  </si>
  <si>
    <t>Steven Spielberg</t>
  </si>
  <si>
    <t>1993*</t>
  </si>
  <si>
    <t>*Le Monde de Dory*</t>
  </si>
  <si>
    <t>Andrew Stanton</t>
  </si>
  <si>
    <t>*Star Wars, épisode I : La Menace fantôme*</t>
  </si>
  <si>
    <t>George Lucas</t>
  </si>
  <si>
    <t>1999*</t>
  </si>
  <si>
    <t>*Alice au pays des merveilles*</t>
  </si>
  <si>
    <t>Tim Burton</t>
  </si>
  <si>
    <t>*Zootopie*</t>
  </si>
  <si>
    <t>Byron Howard et Rich Moore</t>
  </si>
  <si>
    <t>*Le Hobbit : Un voyage inattendu*</t>
  </si>
  <si>
    <t>Nouvelle-Zélande 
 États-Unis  Royaume-Uni</t>
  </si>
  <si>
    <t>*The Dark Knight : Le Chevalier noir*</t>
  </si>
  <si>
    <t>*Harry Potter à l'école des sorciers*</t>
  </si>
  <si>
    <t>Chris Columbus</t>
  </si>
  <si>
    <t>*Moi, moche et méchant 2*</t>
  </si>
  <si>
    <t>Pierre Coffin et Chris Renaud</t>
  </si>
  <si>
    <t>*Le Roi lion*</t>
  </si>
  <si>
    <t>Roger Allers</t>
  </si>
  <si>
    <t>1994*</t>
  </si>
  <si>
    <t>*Le Livre de la jungle*</t>
  </si>
  <si>
    <t>Jon Favreau</t>
  </si>
  <si>
    <t>*Pirates des Caraïbes : Jusqu'au bout du monde*</t>
  </si>
  <si>
    <t>*Harry Potter et les Reliques de la Mort : Première Partie*</t>
  </si>
  <si>
    <t>*Le Hobbit : La Désolation de Smaug*</t>
  </si>
  <si>
    <t>*Le Hobbit : La Bataille des Cinq Armées*</t>
  </si>
  <si>
    <t>*Harry Potter et l'Ordre du Phénix*</t>
  </si>
  <si>
    <t>*Le Monde de Nemo*</t>
  </si>
  <si>
    <t>2003*</t>
  </si>
  <si>
    <t>*Harry Potter et le Prince de Sang-Mêlé*</t>
  </si>
  <si>
    <t>*Le Seigneur des anneaux : Les Deux Tours*</t>
  </si>
  <si>
    <t>*Shrek 2*</t>
  </si>
  <si>
    <t>Andrew Adamson, Kelly Asbury et Conrad Vernon</t>
  </si>
  <si>
    <t>*Harry Potter et la Coupe de Feu*</t>
  </si>
  <si>
    <t>Mike Newell</t>
  </si>
  <si>
    <t>*Spider-Man 3*</t>
  </si>
  <si>
    <t>Sam Raimi</t>
  </si>
  <si>
    <t>*L'Âge de glace 3 : Le Temps des dinosaures*</t>
  </si>
  <si>
    <t>Carlos Saldanha</t>
  </si>
  <si>
    <t>*007 Spectre*</t>
  </si>
  <si>
    <t>Royaume-Uni</t>
  </si>
  <si>
    <t>*Spider-Man: Homecoming*</t>
  </si>
  <si>
    <t>Jon Watts</t>
  </si>
  <si>
    <t>*Harry Potter et la Chambre des Secrets*</t>
  </si>
  <si>
    <t>Chris Colombus</t>
  </si>
  <si>
    <t>Royaume-Uni 
 États-Unis  Allemagne</t>
  </si>
  <si>
    <t>*L'Âge de glace 4 : La Dérive des continents*</t>
  </si>
  <si>
    <t>Steve Martino et Michael Thurmeier</t>
  </si>
  <si>
    <t>*Comme des bêtes*</t>
  </si>
  <si>
    <t>Chris Renaud et Yarrow Cheney</t>
  </si>
  <si>
    <t>*Batman v Superman : L'Aube de la justice*</t>
  </si>
  <si>
    <t>Zack Snyder</t>
  </si>
  <si>
    <t>*Le Seigneur des anneaux : La Communauté de l'anneau*</t>
  </si>
  <si>
    <t>*Wolf Warrior 2*</t>
  </si>
  <si>
    <t>Wu Jing</t>
  </si>
  <si>
    <t>Chine</t>
  </si>
  <si>
    <t>*Hunger Games : L'Embrasement*</t>
  </si>
  <si>
    <t>Francis Lawrence</t>
  </si>
  <si>
    <t>*Les Gardiens de la Galaxie Vol. 2*</t>
  </si>
  <si>
    <t>James Gunn</t>
  </si>
  <si>
    <t>*Vice Versa*</t>
  </si>
  <si>
    <t>Pete Docter</t>
  </si>
  <si>
    <t>*Thor : Ragnarok*</t>
  </si>
  <si>
    <t>Taika Waititi</t>
  </si>
  <si>
    <t>*Star Wars, épisode III : La Revanche des Sith*</t>
  </si>
  <si>
    <t>*Transformers 2 : La Revanche*</t>
  </si>
  <si>
    <t>*Twilight, chapitre IV : Révélation : Deuxième Partie*</t>
  </si>
  <si>
    <t xml:space="preserve">FFFF  </t>
  </si>
  <si>
    <t>Jean-François Brieu</t>
  </si>
  <si>
    <t>Données clés</t>
  </si>
  <si>
    <t>Nom de naissance</t>
  </si>
  <si>
    <t>Naissance</t>
  </si>
  <si>
    <t>Activité principale</t>
  </si>
  <si>
    <t>Maître de conférences des universités</t>
  </si>
  <si>
    <t>Écrivain</t>
  </si>
  <si>
    <t>Journaliste</t>
  </si>
  <si>
    <t>Auteur</t>
  </si>
  <si>
    <t>Langue d’écriture</t>
  </si>
  <si>
    <t>fr</t>
  </si>
  <si>
    <t>Genres</t>
  </si>
  <si>
    <t>Biographies</t>
  </si>
  <si>
    <t>Histoires des médias</t>
  </si>
  <si>
    <t>modifier</t>
  </si>
  <si>
    <t>Bordeaux</t>
  </si>
  <si>
    <t>La place de la Bourse derrière son miroir d'eau.</t>
  </si>
  <si>
    <t>Blason</t>
  </si>
  <si>
    <t>Logo</t>
  </si>
  <si>
    <t>Administration</t>
  </si>
  <si>
    <t>Pays</t>
  </si>
  <si>
    <t>France</t>
  </si>
  <si>
    <t>Région</t>
  </si>
  <si>
    <t>Nouvelle-Aquitaine (Préfecture)</t>
  </si>
  <si>
    <t>Département</t>
  </si>
  <si>
    <t>Gironde
(préfecture)</t>
  </si>
  <si>
    <t>Arrondissement</t>
  </si>
  <si>
    <t>Bordeaux
(chef-lieu)</t>
  </si>
  <si>
    <t>Canton</t>
  </si>
  <si>
    <t>Bureau centralisateur de huit cantons</t>
  </si>
  <si>
    <t>Intercommunalité</t>
  </si>
  <si>
    <t>Bordeaux Métropole
(siège)</t>
  </si>
  <si>
    <t>Maire
Mandat</t>
  </si>
  <si>
    <t>Alain Juppé
2014-2020</t>
  </si>
  <si>
    <t>Code postal</t>
  </si>
  <si>
    <t>33000, 33100, 33200, 33300 et 33800</t>
  </si>
  <si>
    <t>Code commune</t>
  </si>
  <si>
    <t>Démographie</t>
  </si>
  <si>
    <t>Gentilé</t>
  </si>
  <si>
    <t>Bordelais</t>
  </si>
  <si>
    <t>Population
municipale</t>
  </si>
  <si>
    <t>249 712 hab. (2015 )</t>
  </si>
  <si>
    <t>Densité</t>
  </si>
  <si>
    <t>5 059 hab./km2</t>
  </si>
  <si>
    <t>Population
aire urbaine</t>
  </si>
  <si>
    <t>1 196 122 hab. (2014)</t>
  </si>
  <si>
    <t>Géographie</t>
  </si>
  <si>
    <t>Coordonnées</t>
  </si>
  <si>
    <t>44° 50′ 16″ nord, 0° 34′ 46″ ouest</t>
  </si>
  <si>
    <t>Altitude</t>
  </si>
  <si>
    <t>Min. 1 m
Max. 42 m</t>
  </si>
  <si>
    <t>Superficie</t>
  </si>
  <si>
    <t>49,36 km2</t>
  </si>
  <si>
    <t>Localisation</t>
  </si>
  <si>
    <t>Géolocalisation sur la carte : Aquitaine
[TABLE] 
Géolocalisation sur la carte : Gironde
[TABLE] 
Géolocalisation sur la carte : France
[TABLE] 
Géolocalisation sur la carte : France
[TABLE]</t>
  </si>
  <si>
    <t>Liens</t>
  </si>
  <si>
    <t>Site web</t>
  </si>
  <si>
    <t>bordeaux.fr</t>
  </si>
  <si>
    <t>Mois</t>
  </si>
  <si>
    <t>jan.</t>
  </si>
  <si>
    <t>fév.</t>
  </si>
  <si>
    <t>mars</t>
  </si>
  <si>
    <t>avril</t>
  </si>
  <si>
    <t>mai</t>
  </si>
  <si>
    <t>juin</t>
  </si>
  <si>
    <t>jui.</t>
  </si>
  <si>
    <t>août</t>
  </si>
  <si>
    <t>sep.</t>
  </si>
  <si>
    <t>oct.</t>
  </si>
  <si>
    <t>nov.</t>
  </si>
  <si>
    <t>déc.</t>
  </si>
  <si>
    <t>année</t>
  </si>
  <si>
    <t>Température minimale moyenne (°C)</t>
  </si>
  <si>
    <t>*8,8*</t>
  </si>
  <si>
    <t>Température moyenne (°C)</t>
  </si>
  <si>
    <t>*12,9*</t>
  </si>
  <si>
    <t>Température maximale moyenne (°C)</t>
  </si>
  <si>
    <t>*17,1*</t>
  </si>
  <si>
    <t>Record de froid (°C)</t>
  </si>
  <si>
    <t>*−26,1*</t>
  </si>
  <si>
    <t>Record de chaleur (°C)</t>
  </si>
  <si>
    <t>*41,1*</t>
  </si>
  <si>
    <t>Ensoleillement (h)</t>
  </si>
  <si>
    <t>*2 534,7*</t>
  </si>
  <si>
    <t>Précipitations (mm)</t>
  </si>
  <si>
    <t>*1 268,1*</t>
  </si>
  <si>
    <t>dont neige (cm)</t>
  </si>
  <si>
    <t>*67,8*</t>
  </si>
  <si>
    <t>dont nombre de jours avec précipitations ≥ 1 mm</t>
  </si>
  <si>
    <t>*97,9*</t>
  </si>
  <si>
    <t>Humidité relative (%)</t>
  </si>
  <si>
    <t>*68*</t>
  </si>
  <si>
    <t>Nombre de jours avec neige</t>
  </si>
  <si>
    <t>*11,5*</t>
  </si>
  <si>
    <t>Total</t>
  </si>
  <si>
    <t>Équipe unifiée de l’ex-URSS</t>
  </si>
  <si>
    <t>*45*</t>
  </si>
  <si>
    <t>*38*</t>
  </si>
  <si>
    <t>*112*</t>
  </si>
  <si>
    <t>*37*</t>
  </si>
  <si>
    <t>Allemagne</t>
  </si>
  <si>
    <t>Cuba</t>
  </si>
  <si>
    <t>Espagne</t>
  </si>
  <si>
    <t>Corée du Sud</t>
  </si>
  <si>
    <t>Hongrie</t>
  </si>
  <si>
    <t>Australie</t>
  </si>
  <si>
    <t>*Tetris*</t>
  </si>
  <si>
    <t>Multiplateforme</t>
  </si>
  <si>
    <t>170 millions[2] (dont 100 sur appareil mobile[3] et 35 sur Game Boy[4])</t>
  </si>
  <si>
    <t>*Minecraft*</t>
  </si>
  <si>
    <t>Windows, OS X, Linux, Java, Xbox 360, Xbox One, PlayStation 3, PlayStation 4, 
PlayStation Vita, Wii U, Android, iOS, Windows Phone, Windows 10, Raspberry 
Pi, Navigateur web, Applet Java, Amazon Fire TV, Apple TV, Amazon Kindle 
Fire, Nintendo Switch, New Nintendo 3DS</t>
  </si>
  <si>
    <t>*Grand Theft Auto V*</t>
  </si>
  <si>
    <t>PlayStation 3, Xbox 360, PlayStation 4, Xbox One, Microsoft Windows</t>
  </si>
  <si>
    <t>85 millions[6]</t>
  </si>
  <si>
    <t>*Wii Sports*</t>
  </si>
  <si>
    <t>Wii</t>
  </si>
  <si>
    <t>82,83 millions[7]</t>
  </si>
  <si>
    <t>*The Oregon Trail*</t>
  </si>
  <si>
    <t>Microsoft Windows, Mac, iOS, Android, 3DS, Apple II</t>
  </si>
  <si>
    <t>65 millions[8][réf. insuffisante]</t>
  </si>
  <si>
    <t>*Super Mario Bros.*</t>
  </si>
  <si>
    <t>Nintendo Entertainment System</t>
  </si>
  <si>
    <t>40,24 millions[9]</t>
  </si>
  <si>
    <t>*Mario Kart Wii*</t>
  </si>
  <si>
    <t>36,38 millions[7]</t>
  </si>
  <si>
    <t>*Overwatch*</t>
  </si>
  <si>
    <t>Microsoft Windows, PlayStation 4, Xbox One</t>
  </si>
  <si>
    <t>35 millions[10][réf. insuffisante]</t>
  </si>
  <si>
    <t>*Wii Sports Resort*</t>
  </si>
  <si>
    <t>32,80 millions[7]</t>
  </si>
  <si>
    <t>*New Super Mario Bros.*</t>
  </si>
  <si>
    <t>Nintendo DS</t>
  </si>
  <si>
    <t>30,79 millions[11]</t>
  </si>
  <si>
    <t>Année de sortie</t>
  </si>
  <si>
    <t>Plateformes</t>
  </si>
  <si>
    <t>Exemplaires vendus</t>
  </si>
  <si>
    <t>144 millions[5]</t>
  </si>
  <si>
    <t>*Call of Duty: Modern Warfare 3*</t>
  </si>
  <si>
    <t>Windows, Xbox 360, PlayStation 3, Wii, Nintendo DS</t>
  </si>
  <si>
    <t>30,5 millions[12]</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</si>
</sst>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
    <numFmt numFmtId="165" formatCode="yyyy-mm-dd hh:mm:ss"/>
    <numFmt numFmtId="166" formatCode="d mmmm yyyy"/>
    <numFmt numFmtId="167" formatCode="mmmm yyyy"/>
  </numFmts>
  <fonts count="6">
    <font>
      <sz val="10.0"/>
      <color rgb="FF000000"/>
      <name val="Arial"/>
    </font>
    <font/>
    <font>
      <color rgb="FF000000"/>
      <name val="Arial"/>
    </font>
    <font>
      <sz val="11.0"/>
      <color rgb="FF000000"/>
      <name val="Inconsolata"/>
    </font>
    <font>
      <u/>
      <color rgb="FF0000FF"/>
    </font>
    <font>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horizontal="left" readingOrder="0"/>
    </xf>
    <xf borderId="0" fillId="0" fontId="1" numFmtId="164" xfId="0" applyFont="1" applyNumberFormat="1"/>
    <xf borderId="0" fillId="0" fontId="1" numFmtId="0" xfId="0" applyFont="1"/>
    <xf borderId="0" fillId="0" fontId="1" numFmtId="165" xfId="0" applyFont="1" applyNumberFormat="1"/>
    <xf borderId="0" fillId="0" fontId="1" numFmtId="166" xfId="0" applyFont="1" applyNumberFormat="1"/>
    <xf borderId="0" fillId="2" fontId="3" numFmtId="0" xfId="0" applyFont="1"/>
    <xf borderId="0" fillId="2" fontId="3" numFmtId="0" xfId="0" applyFont="1"/>
    <xf borderId="0" fillId="2" fontId="3" numFmtId="0" xfId="0" applyAlignment="1" applyFont="1">
      <alignment readingOrder="0"/>
    </xf>
    <xf borderId="0" fillId="0" fontId="1" numFmtId="0" xfId="0" applyAlignment="1" applyFont="1">
      <alignment readingOrder="0"/>
    </xf>
    <xf borderId="0" fillId="0" fontId="1" numFmtId="167" xfId="0" applyFont="1" applyNumberFormat="1"/>
    <xf borderId="0" fillId="0" fontId="3" numFmtId="0" xfId="0" applyFont="1"/>
    <xf borderId="0" fillId="0" fontId="4" numFmtId="0" xfId="0" applyFont="1"/>
    <xf borderId="0" fillId="0" fontId="5" numFmtId="0" xfId="0" applyAlignment="1" applyFont="1">
      <alignment vertical="bottom"/>
    </xf>
    <xf borderId="0" fillId="0" fontId="5"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bordeaux.fr"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13"/>
  </cols>
  <sheetData>
    <row r="1">
      <c r="A1" s="1" t="str">
        <f>IFERROR(__xludf.DUMMYFUNCTION("importhtml(""https://www.infoclimat.fr/climatologie/annee/2017/bordeaux-merignac/valeurs/07510.html"",""table"")"),"")</f>
        <v/>
      </c>
      <c r="B1" t="str">
        <f>IFERROR(__xludf.DUMMYFUNCTION("""COMPUTED_VALUE"""),"janv.
2017")</f>
        <v>janv.
2017</v>
      </c>
      <c r="C1" t="str">
        <f>IFERROR(__xludf.DUMMYFUNCTION("""COMPUTED_VALUE"""),"fev.
2017")</f>
        <v>fev.
2017</v>
      </c>
      <c r="D1" t="str">
        <f>IFERROR(__xludf.DUMMYFUNCTION("""COMPUTED_VALUE"""),"mars
2017")</f>
        <v>mars
2017</v>
      </c>
      <c r="E1" t="str">
        <f>IFERROR(__xludf.DUMMYFUNCTION("""COMPUTED_VALUE"""),"avr.
2017")</f>
        <v>avr.
2017</v>
      </c>
      <c r="F1" t="str">
        <f>IFERROR(__xludf.DUMMYFUNCTION("""COMPUTED_VALUE"""),"mai
2017")</f>
        <v>mai
2017</v>
      </c>
      <c r="G1" t="str">
        <f>IFERROR(__xludf.DUMMYFUNCTION("""COMPUTED_VALUE"""),"juin
2017")</f>
        <v>juin
2017</v>
      </c>
      <c r="H1" t="str">
        <f>IFERROR(__xludf.DUMMYFUNCTION("""COMPUTED_VALUE"""),"juil.
2017")</f>
        <v>juil.
2017</v>
      </c>
      <c r="I1" t="str">
        <f>IFERROR(__xludf.DUMMYFUNCTION("""COMPUTED_VALUE"""),"août
2017")</f>
        <v>août
2017</v>
      </c>
      <c r="J1" t="str">
        <f>IFERROR(__xludf.DUMMYFUNCTION("""COMPUTED_VALUE"""),"sept.
2017")</f>
        <v>sept.
2017</v>
      </c>
      <c r="K1" t="str">
        <f>IFERROR(__xludf.DUMMYFUNCTION("""COMPUTED_VALUE"""),"oct.
2017")</f>
        <v>oct.
2017</v>
      </c>
      <c r="L1" t="str">
        <f>IFERROR(__xludf.DUMMYFUNCTION("""COMPUTED_VALUE"""),"nov.
2017")</f>
        <v>nov.
2017</v>
      </c>
      <c r="M1" t="str">
        <f>IFERROR(__xludf.DUMMYFUNCTION("""COMPUTED_VALUE"""),"dec.
2017")</f>
        <v>dec.
2017</v>
      </c>
      <c r="N1" t="str">
        <f>IFERROR(__xludf.DUMMYFUNCTION("""COMPUTED_VALUE"""),"Année
complète")</f>
        <v>Année
complète</v>
      </c>
    </row>
    <row r="2">
      <c r="A2" t="str">
        <f>IFERROR(__xludf.DUMMYFUNCTION("""COMPUTED_VALUE"""),"Tempé. *maxi*
extrême")</f>
        <v>Tempé. *maxi*
extrême</v>
      </c>
      <c r="B2" t="str">
        <f>IFERROR(__xludf.DUMMYFUNCTION("""COMPUTED_VALUE"""),"16,0
le 31")</f>
        <v>16,0
le 31</v>
      </c>
      <c r="C2" t="str">
        <f>IFERROR(__xludf.DUMMYFUNCTION("""COMPUTED_VALUE"""),"19,5
le 15")</f>
        <v>19,5
le 15</v>
      </c>
      <c r="D2" t="str">
        <f>IFERROR(__xludf.DUMMYFUNCTION("""COMPUTED_VALUE"""),"26,4
le 30")</f>
        <v>26,4
le 30</v>
      </c>
      <c r="E2" t="str">
        <f>IFERROR(__xludf.DUMMYFUNCTION("""COMPUTED_VALUE"""),"28,0
le 9")</f>
        <v>28,0
le 9</v>
      </c>
      <c r="F2" t="str">
        <f>IFERROR(__xludf.DUMMYFUNCTION("""COMPUTED_VALUE"""),"33,9
le 26")</f>
        <v>33,9
le 26</v>
      </c>
      <c r="G2" s="1" t="str">
        <f>IFERROR(__xludf.DUMMYFUNCTION("""COMPUTED_VALUE"""),"37,1
le 21")</f>
        <v>37,1
le 21</v>
      </c>
      <c r="H2" s="2" t="str">
        <f>IFERROR(__xludf.DUMMYFUNCTION("""COMPUTED_VALUE"""),"37,1
le 18")</f>
        <v>37,1
le 18</v>
      </c>
      <c r="I2" t="str">
        <f>IFERROR(__xludf.DUMMYFUNCTION("""COMPUTED_VALUE"""),"35,9
le 28")</f>
        <v>35,9
le 28</v>
      </c>
      <c r="J2" t="str">
        <f>IFERROR(__xludf.DUMMYFUNCTION("""COMPUTED_VALUE"""),"28,0
le 24")</f>
        <v>28,0
le 24</v>
      </c>
      <c r="K2" t="str">
        <f>IFERROR(__xludf.DUMMYFUNCTION("""COMPUTED_VALUE"""),"28,5
le 16")</f>
        <v>28,5
le 16</v>
      </c>
      <c r="L2" t="str">
        <f>IFERROR(__xludf.DUMMYFUNCTION("""COMPUTED_VALUE"""),"22,2
le 2")</f>
        <v>22,2
le 2</v>
      </c>
      <c r="M2" t="str">
        <f>IFERROR(__xludf.DUMMYFUNCTION("""COMPUTED_VALUE"""),"16,9
le 31")</f>
        <v>16,9
le 31</v>
      </c>
      <c r="N2" t="str">
        <f>IFERROR(__xludf.DUMMYFUNCTION("""COMPUTED_VALUE"""),"37,1
le 21 juin")</f>
        <v>37,1
le 21 juin</v>
      </c>
    </row>
    <row r="3">
      <c r="A3" t="str">
        <f>IFERROR(__xludf.DUMMYFUNCTION("""COMPUTED_VALUE"""),"Tempé. *maxi*
moyennes")</f>
        <v>Tempé. *maxi*
moyennes</v>
      </c>
      <c r="B3" t="str">
        <f>IFERROR(__xludf.DUMMYFUNCTION("""COMPUTED_VALUE"""),"8,6
-1,9")</f>
        <v>8,6
-1,9</v>
      </c>
      <c r="C3" t="str">
        <f>IFERROR(__xludf.DUMMYFUNCTION("""COMPUTED_VALUE"""),"14,1
+2,1")</f>
        <v>14,1
+2,1</v>
      </c>
      <c r="D3" t="str">
        <f>IFERROR(__xludf.DUMMYFUNCTION("""COMPUTED_VALUE"""),"16,6
+1,1")</f>
        <v>16,6
+1,1</v>
      </c>
      <c r="E3" t="str">
        <f>IFERROR(__xludf.DUMMYFUNCTION("""COMPUTED_VALUE"""),"19,5
+1,5")</f>
        <v>19,5
+1,5</v>
      </c>
      <c r="F3" t="str">
        <f>IFERROR(__xludf.DUMMYFUNCTION("""COMPUTED_VALUE"""),"23,7
+2,0")</f>
        <v>23,7
+2,0</v>
      </c>
      <c r="G3" t="str">
        <f>IFERROR(__xludf.DUMMYFUNCTION("""COMPUTED_VALUE"""),"27,2
+2,2")</f>
        <v>27,2
+2,2</v>
      </c>
      <c r="H3" t="str">
        <f>IFERROR(__xludf.DUMMYFUNCTION("""COMPUTED_VALUE"""),"26,4
-0,7")</f>
        <v>26,4
-0,7</v>
      </c>
      <c r="I3" t="str">
        <f>IFERROR(__xludf.DUMMYFUNCTION("""COMPUTED_VALUE"""),"28,0
+0,4")</f>
        <v>28,0
+0,4</v>
      </c>
      <c r="J3" t="str">
        <f>IFERROR(__xludf.DUMMYFUNCTION("""COMPUTED_VALUE"""),"22,2
-2,0")</f>
        <v>22,2
-2,0</v>
      </c>
      <c r="K3" t="str">
        <f>IFERROR(__xludf.DUMMYFUNCTION("""COMPUTED_VALUE"""),"21,2
+1,6")</f>
        <v>21,2
+1,6</v>
      </c>
      <c r="L3" t="str">
        <f>IFERROR(__xludf.DUMMYFUNCTION("""COMPUTED_VALUE"""),"13,8
-0,3")</f>
        <v>13,8
-0,3</v>
      </c>
      <c r="M3" t="str">
        <f>IFERROR(__xludf.DUMMYFUNCTION("""COMPUTED_VALUE"""),"10,4
-0,6")</f>
        <v>10,4
-0,6</v>
      </c>
      <c r="N3" t="str">
        <f>IFERROR(__xludf.DUMMYFUNCTION("""COMPUTED_VALUE"""),"19,3
+0,5")</f>
        <v>19,3
+0,5</v>
      </c>
    </row>
    <row r="4">
      <c r="A4" t="str">
        <f>IFERROR(__xludf.DUMMYFUNCTION("""COMPUTED_VALUE"""),"Tempé. *moy*
moyennes")</f>
        <v>Tempé. *moy*
moyennes</v>
      </c>
      <c r="B4" t="str">
        <f>IFERROR(__xludf.DUMMYFUNCTION("""COMPUTED_VALUE"""),"4,7
-2,4")</f>
        <v>4,7
-2,4</v>
      </c>
      <c r="C4" t="str">
        <f>IFERROR(__xludf.DUMMYFUNCTION("""COMPUTED_VALUE"""),"9,8
+2,0")</f>
        <v>9,8
+2,0</v>
      </c>
      <c r="D4" t="str">
        <f>IFERROR(__xludf.DUMMYFUNCTION("""COMPUTED_VALUE"""),"12,2
+1,5")</f>
        <v>12,2
+1,5</v>
      </c>
      <c r="E4" t="str">
        <f>IFERROR(__xludf.DUMMYFUNCTION("""COMPUTED_VALUE"""),"13,0
+0,0")</f>
        <v>13,0
+0,0</v>
      </c>
      <c r="F4" t="str">
        <f>IFERROR(__xludf.DUMMYFUNCTION("""COMPUTED_VALUE"""),"18,2
+1,6")</f>
        <v>18,2
+1,6</v>
      </c>
      <c r="G4" t="str">
        <f>IFERROR(__xludf.DUMMYFUNCTION("""COMPUTED_VALUE"""),"21,7
+1,9")</f>
        <v>21,7
+1,9</v>
      </c>
      <c r="H4" t="str">
        <f>IFERROR(__xludf.DUMMYFUNCTION("""COMPUTED_VALUE"""),"21,8
+0,1")</f>
        <v>21,8
+0,1</v>
      </c>
      <c r="I4" t="str">
        <f>IFERROR(__xludf.DUMMYFUNCTION("""COMPUTED_VALUE"""),"22,1
+0,2")</f>
        <v>22,1
+0,2</v>
      </c>
      <c r="J4" t="str">
        <f>IFERROR(__xludf.DUMMYFUNCTION("""COMPUTED_VALUE"""),"17,3
-1,5")</f>
        <v>17,3
-1,5</v>
      </c>
      <c r="K4" t="str">
        <f>IFERROR(__xludf.DUMMYFUNCTION("""COMPUTED_VALUE"""),"16,4
+1,2")</f>
        <v>16,4
+1,2</v>
      </c>
      <c r="L4" t="str">
        <f>IFERROR(__xludf.DUMMYFUNCTION("""COMPUTED_VALUE"""),"9,1
-1,3")</f>
        <v>9,1
-1,3</v>
      </c>
      <c r="M4" t="str">
        <f>IFERROR(__xludf.DUMMYFUNCTION("""COMPUTED_VALUE"""),"6,9
-0,8")</f>
        <v>6,9
-0,8</v>
      </c>
      <c r="N4" t="str">
        <f>IFERROR(__xludf.DUMMYFUNCTION("""COMPUTED_VALUE"""),"14,4
+0,2")</f>
        <v>14,4
+0,2</v>
      </c>
    </row>
    <row r="5">
      <c r="A5" t="str">
        <f>IFERROR(__xludf.DUMMYFUNCTION("""COMPUTED_VALUE"""),"Tempé. *mini*
moyennes")</f>
        <v>Tempé. *mini*
moyennes</v>
      </c>
      <c r="B5" t="str">
        <f>IFERROR(__xludf.DUMMYFUNCTION("""COMPUTED_VALUE"""),"0,7
-3,0")</f>
        <v>0,7
-3,0</v>
      </c>
      <c r="C5" t="str">
        <f>IFERROR(__xludf.DUMMYFUNCTION("""COMPUTED_VALUE"""),"5,4
+1,8")</f>
        <v>5,4
+1,8</v>
      </c>
      <c r="D5" t="str">
        <f>IFERROR(__xludf.DUMMYFUNCTION("""COMPUTED_VALUE"""),"7,8
+2,0")</f>
        <v>7,8
+2,0</v>
      </c>
      <c r="E5" t="str">
        <f>IFERROR(__xludf.DUMMYFUNCTION("""COMPUTED_VALUE"""),"6,6
-1,4")</f>
        <v>6,6
-1,4</v>
      </c>
      <c r="F5" t="str">
        <f>IFERROR(__xludf.DUMMYFUNCTION("""COMPUTED_VALUE"""),"12,7
+1,3")</f>
        <v>12,7
+1,3</v>
      </c>
      <c r="G5" t="str">
        <f>IFERROR(__xludf.DUMMYFUNCTION("""COMPUTED_VALUE"""),"16,2
+1,6")</f>
        <v>16,2
+1,6</v>
      </c>
      <c r="H5" t="str">
        <f>IFERROR(__xludf.DUMMYFUNCTION("""COMPUTED_VALUE"""),"17,1
+0,9")</f>
        <v>17,1
+0,9</v>
      </c>
      <c r="I5" t="str">
        <f>IFERROR(__xludf.DUMMYFUNCTION("""COMPUTED_VALUE"""),"16,1
-0,2")</f>
        <v>16,1
-0,2</v>
      </c>
      <c r="J5" t="str">
        <f>IFERROR(__xludf.DUMMYFUNCTION("""COMPUTED_VALUE"""),"12,5
-0,8")</f>
        <v>12,5
-0,8</v>
      </c>
      <c r="K5" t="str">
        <f>IFERROR(__xludf.DUMMYFUNCTION("""COMPUTED_VALUE"""),"11,5
+0,8")</f>
        <v>11,5
+0,8</v>
      </c>
      <c r="L5" t="str">
        <f>IFERROR(__xludf.DUMMYFUNCTION("""COMPUTED_VALUE"""),"4,5
-2,2")</f>
        <v>4,5
-2,2</v>
      </c>
      <c r="M5" t="str">
        <f>IFERROR(__xludf.DUMMYFUNCTION("""COMPUTED_VALUE"""),"3,4
-1,0")</f>
        <v>3,4
-1,0</v>
      </c>
      <c r="N5" t="str">
        <f>IFERROR(__xludf.DUMMYFUNCTION("""COMPUTED_VALUE"""),"9,5
+0,0")</f>
        <v>9,5
+0,0</v>
      </c>
    </row>
    <row r="6">
      <c r="A6" t="str">
        <f>IFERROR(__xludf.DUMMYFUNCTION("""COMPUTED_VALUE"""),"Tempé. *mini*
extrême")</f>
        <v>Tempé. *mini*
extrême</v>
      </c>
      <c r="B6" t="str">
        <f>IFERROR(__xludf.DUMMYFUNCTION("""COMPUTED_VALUE"""),"-8,0
le 19")</f>
        <v>-8,0
le 19</v>
      </c>
      <c r="C6" t="str">
        <f>IFERROR(__xludf.DUMMYFUNCTION("""COMPUTED_VALUE"""),"-1,2
le 9")</f>
        <v>-1,2
le 9</v>
      </c>
      <c r="D6" t="str">
        <f>IFERROR(__xludf.DUMMYFUNCTION("""COMPUTED_VALUE"""),"3,0
le 24")</f>
        <v>3,0
le 24</v>
      </c>
      <c r="E6" t="str">
        <f>IFERROR(__xludf.DUMMYFUNCTION("""COMPUTED_VALUE"""),"0,2
le 27")</f>
        <v>0,2
le 27</v>
      </c>
      <c r="F6" t="str">
        <f>IFERROR(__xludf.DUMMYFUNCTION("""COMPUTED_VALUE"""),"5,3
le 3")</f>
        <v>5,3
le 3</v>
      </c>
      <c r="G6" t="str">
        <f>IFERROR(__xludf.DUMMYFUNCTION("""COMPUTED_VALUE"""),"10,0
le 4")</f>
        <v>10,0
le 4</v>
      </c>
      <c r="H6" t="str">
        <f>IFERROR(__xludf.DUMMYFUNCTION("""COMPUTED_VALUE"""),"12,4
le 2")</f>
        <v>12,4
le 2</v>
      </c>
      <c r="I6" t="str">
        <f>IFERROR(__xludf.DUMMYFUNCTION("""COMPUTED_VALUE"""),"10,8
le 20")</f>
        <v>10,8
le 20</v>
      </c>
      <c r="J6" t="str">
        <f>IFERROR(__xludf.DUMMYFUNCTION("""COMPUTED_VALUE"""),"6,7
le 20")</f>
        <v>6,7
le 20</v>
      </c>
      <c r="K6" t="str">
        <f>IFERROR(__xludf.DUMMYFUNCTION("""COMPUTED_VALUE"""),"2,7
le 31")</f>
        <v>2,7
le 31</v>
      </c>
      <c r="L6" t="str">
        <f>IFERROR(__xludf.DUMMYFUNCTION("""COMPUTED_VALUE"""),"-2,7
le 30")</f>
        <v>-2,7
le 30</v>
      </c>
      <c r="M6" t="str">
        <f>IFERROR(__xludf.DUMMYFUNCTION("""COMPUTED_VALUE"""),"-5,7
le 3")</f>
        <v>-5,7
le 3</v>
      </c>
      <c r="N6" t="str">
        <f>IFERROR(__xludf.DUMMYFUNCTION("""COMPUTED_VALUE"""),"-8,0
le 19 janv.")</f>
        <v>-8,0
le 19 janv.</v>
      </c>
    </row>
    <row r="8">
      <c r="A8" t="str">
        <f>IFERROR(__xludf.DUMMYFUNCTION("""COMPUTED_VALUE"""),"Tempé. *maxi*
*minimale*")</f>
        <v>Tempé. *maxi*
*minimale*</v>
      </c>
      <c r="B8" t="str">
        <f>IFERROR(__xludf.DUMMYFUNCTION("""COMPUTED_VALUE"""),"0,5
le 18")</f>
        <v>0,5
le 18</v>
      </c>
      <c r="C8" t="str">
        <f>IFERROR(__xludf.DUMMYFUNCTION("""COMPUTED_VALUE"""),"6,3
le 11")</f>
        <v>6,3
le 11</v>
      </c>
      <c r="D8" t="str">
        <f>IFERROR(__xludf.DUMMYFUNCTION("""COMPUTED_VALUE"""),"10,3
le 21")</f>
        <v>10,3
le 21</v>
      </c>
      <c r="E8" t="str">
        <f>IFERROR(__xludf.DUMMYFUNCTION("""COMPUTED_VALUE"""),"14,0
le 27")</f>
        <v>14,0
le 27</v>
      </c>
      <c r="F8" t="str">
        <f>IFERROR(__xludf.DUMMYFUNCTION("""COMPUTED_VALUE"""),"15,2
le 18")</f>
        <v>15,2
le 18</v>
      </c>
      <c r="G8" t="str">
        <f>IFERROR(__xludf.DUMMYFUNCTION("""COMPUTED_VALUE"""),"18,3
le 30")</f>
        <v>18,3
le 30</v>
      </c>
      <c r="H8" t="str">
        <f>IFERROR(__xludf.DUMMYFUNCTION("""COMPUTED_VALUE"""),"18,8
le 1")</f>
        <v>18,8
le 1</v>
      </c>
      <c r="I8" t="str">
        <f>IFERROR(__xludf.DUMMYFUNCTION("""COMPUTED_VALUE"""),"21,3
le 9")</f>
        <v>21,3
le 9</v>
      </c>
      <c r="J8" t="str">
        <f>IFERROR(__xludf.DUMMYFUNCTION("""COMPUTED_VALUE"""),"16,9
le 17")</f>
        <v>16,9
le 17</v>
      </c>
      <c r="K8" t="str">
        <f>IFERROR(__xludf.DUMMYFUNCTION("""COMPUTED_VALUE"""),"14,0
le 30")</f>
        <v>14,0
le 30</v>
      </c>
      <c r="L8" t="str">
        <f>IFERROR(__xludf.DUMMYFUNCTION("""COMPUTED_VALUE"""),"8,4
le 29")</f>
        <v>8,4
le 29</v>
      </c>
      <c r="M8" t="str">
        <f>IFERROR(__xludf.DUMMYFUNCTION("""COMPUTED_VALUE"""),"1,8
le 6")</f>
        <v>1,8
le 6</v>
      </c>
      <c r="N8" t="str">
        <f>IFERROR(__xludf.DUMMYFUNCTION("""COMPUTED_VALUE"""),"0,5
le 18 janv.")</f>
        <v>0,5
le 18 janv.</v>
      </c>
    </row>
    <row r="9">
      <c r="A9" t="str">
        <f>IFERROR(__xludf.DUMMYFUNCTION("""COMPUTED_VALUE"""),"Tempé. *mini*
*maximale*")</f>
        <v>Tempé. *mini*
*maximale*</v>
      </c>
      <c r="B9" t="str">
        <f>IFERROR(__xludf.DUMMYFUNCTION("""COMPUTED_VALUE"""),"10,7
le 30")</f>
        <v>10,7
le 30</v>
      </c>
      <c r="C9" t="str">
        <f>IFERROR(__xludf.DUMMYFUNCTION("""COMPUTED_VALUE"""),"13,0
le 13")</f>
        <v>13,0
le 13</v>
      </c>
      <c r="D9" t="str">
        <f>IFERROR(__xludf.DUMMYFUNCTION("""COMPUTED_VALUE"""),"12,5
le 31")</f>
        <v>12,5
le 31</v>
      </c>
      <c r="E9" t="str">
        <f>IFERROR(__xludf.DUMMYFUNCTION("""COMPUTED_VALUE"""),"11,8
le 9")</f>
        <v>11,8
le 9</v>
      </c>
      <c r="F9" t="str">
        <f>IFERROR(__xludf.DUMMYFUNCTION("""COMPUTED_VALUE"""),"19,9
le 29")</f>
        <v>19,9
le 29</v>
      </c>
      <c r="G9" t="str">
        <f>IFERROR(__xludf.DUMMYFUNCTION("""COMPUTED_VALUE"""),"21,7
le 19")</f>
        <v>21,7
le 19</v>
      </c>
      <c r="H9" t="str">
        <f>IFERROR(__xludf.DUMMYFUNCTION("""COMPUTED_VALUE"""),"21,5
le 18")</f>
        <v>21,5
le 18</v>
      </c>
      <c r="I9" t="str">
        <f>IFERROR(__xludf.DUMMYFUNCTION("""COMPUTED_VALUE"""),"20,9
le 29")</f>
        <v>20,9
le 29</v>
      </c>
      <c r="J9" t="str">
        <f>IFERROR(__xludf.DUMMYFUNCTION("""COMPUTED_VALUE"""),"16,0
le 25")</f>
        <v>16,0
le 25</v>
      </c>
      <c r="K9" t="str">
        <f>IFERROR(__xludf.DUMMYFUNCTION("""COMPUTED_VALUE"""),"18,3
le 3")</f>
        <v>18,3
le 3</v>
      </c>
      <c r="L9" t="str">
        <f>IFERROR(__xludf.DUMMYFUNCTION("""COMPUTED_VALUE"""),"11,8
le 12")</f>
        <v>11,8
le 12</v>
      </c>
      <c r="M9" t="str">
        <f>IFERROR(__xludf.DUMMYFUNCTION("""COMPUTED_VALUE"""),"12,5
le 30")</f>
        <v>12,5
le 30</v>
      </c>
      <c r="N9" t="str">
        <f>IFERROR(__xludf.DUMMYFUNCTION("""COMPUTED_VALUE"""),"21,7
le 19 juin")</f>
        <v>21,7
le 19 juin</v>
      </c>
    </row>
    <row r="10">
      <c r="A10" t="str">
        <f>IFERROR(__xludf.DUMMYFUNCTION("""COMPUTED_VALUE"""),"*DJU*
(chauffagiste)")</f>
        <v>*DJU*
(chauffagiste)</v>
      </c>
      <c r="B10" t="str">
        <f>IFERROR(__xludf.DUMMYFUNCTION("""COMPUTED_VALUE"""),"414.4")</f>
        <v>414.4</v>
      </c>
      <c r="C10" t="str">
        <f>IFERROR(__xludf.DUMMYFUNCTION("""COMPUTED_VALUE"""),"231.2")</f>
        <v>231.2</v>
      </c>
      <c r="D10" t="str">
        <f>IFERROR(__xludf.DUMMYFUNCTION("""COMPUTED_VALUE"""),"188.8")</f>
        <v>188.8</v>
      </c>
      <c r="E10" t="str">
        <f>IFERROR(__xludf.DUMMYFUNCTION("""COMPUTED_VALUE"""),"165.1")</f>
        <v>165.1</v>
      </c>
      <c r="F10" t="str">
        <f>IFERROR(__xludf.DUMMYFUNCTION("""COMPUTED_VALUE"""),"66.6")</f>
        <v>66.6</v>
      </c>
      <c r="G10" t="str">
        <f>IFERROR(__xludf.DUMMYFUNCTION("""COMPUTED_VALUE"""),"19.4")</f>
        <v>19.4</v>
      </c>
      <c r="H10" s="3">
        <f>IFERROR(__xludf.DUMMYFUNCTION("""COMPUTED_VALUE"""),46334.0)</f>
        <v>46334</v>
      </c>
      <c r="I10" t="str">
        <f>IFERROR(__xludf.DUMMYFUNCTION("""COMPUTED_VALUE"""),"17.5")</f>
        <v>17.5</v>
      </c>
      <c r="J10" t="str">
        <f>IFERROR(__xludf.DUMMYFUNCTION("""COMPUTED_VALUE"""),"58.5")</f>
        <v>58.5</v>
      </c>
      <c r="K10" t="str">
        <f>IFERROR(__xludf.DUMMYFUNCTION("""COMPUTED_VALUE"""),"86.8")</f>
        <v>86.8</v>
      </c>
      <c r="L10" t="str">
        <f>IFERROR(__xludf.DUMMYFUNCTION("""COMPUTED_VALUE"""),"268.4")</f>
        <v>268.4</v>
      </c>
      <c r="M10" t="str">
        <f>IFERROR(__xludf.DUMMYFUNCTION("""COMPUTED_VALUE"""),"344.9")</f>
        <v>344.9</v>
      </c>
      <c r="N10" t="str">
        <f>IFERROR(__xludf.DUMMYFUNCTION("""COMPUTED_VALUE"""),"1873.4
Moy: 156")</f>
        <v>1873.4
Moy: 156</v>
      </c>
    </row>
    <row r="11">
      <c r="A11" t="str">
        <f>IFERROR(__xludf.DUMMYFUNCTION("""COMPUTED_VALUE"""),"*DJU*
(climaticien)")</f>
        <v>*DJU*
(climaticien)</v>
      </c>
      <c r="C11" t="str">
        <f>IFERROR(__xludf.DUMMYFUNCTION("""COMPUTED_VALUE"""),"0.2")</f>
        <v>0.2</v>
      </c>
      <c r="D11">
        <f>IFERROR(__xludf.DUMMYFUNCTION("""COMPUTED_VALUE"""),8.0)</f>
        <v>8</v>
      </c>
      <c r="E11" t="str">
        <f>IFERROR(__xludf.DUMMYFUNCTION("""COMPUTED_VALUE"""),"15.5")</f>
        <v>15.5</v>
      </c>
      <c r="F11" t="str">
        <f>IFERROR(__xludf.DUMMYFUNCTION("""COMPUTED_VALUE"""),"71.9")</f>
        <v>71.9</v>
      </c>
      <c r="G11" t="str">
        <f>IFERROR(__xludf.DUMMYFUNCTION("""COMPUTED_VALUE"""),"129.7")</f>
        <v>129.7</v>
      </c>
      <c r="H11" t="str">
        <f>IFERROR(__xludf.DUMMYFUNCTION("""COMPUTED_VALUE"""),"128.7")</f>
        <v>128.7</v>
      </c>
      <c r="I11" t="str">
        <f>IFERROR(__xludf.DUMMYFUNCTION("""COMPUTED_VALUE"""),"143.4")</f>
        <v>143.4</v>
      </c>
      <c r="J11">
        <f>IFERROR(__xludf.DUMMYFUNCTION("""COMPUTED_VALUE"""),39.0)</f>
        <v>39</v>
      </c>
      <c r="K11" t="str">
        <f>IFERROR(__xludf.DUMMYFUNCTION("""COMPUTED_VALUE"""),"35.8")</f>
        <v>35.8</v>
      </c>
      <c r="L11">
        <f>IFERROR(__xludf.DUMMYFUNCTION("""COMPUTED_VALUE"""),2.0)</f>
        <v>2</v>
      </c>
      <c r="N11" t="str">
        <f>IFERROR(__xludf.DUMMYFUNCTION("""COMPUTED_VALUE"""),"574.2
Moy: 57")</f>
        <v>574.2
Moy: 57</v>
      </c>
    </row>
    <row r="12">
      <c r="A12" t="str">
        <f>IFERROR(__xludf.DUMMYFUNCTION("""COMPUTED_VALUE"""),"*Ensoleillement*
(heures)")</f>
        <v>*Ensoleillement*
(heures)</v>
      </c>
      <c r="B12" t="str">
        <f>IFERROR(__xludf.DUMMYFUNCTION("""COMPUTED_VALUE"""),"132
+47%")</f>
        <v>132
+47%</v>
      </c>
      <c r="C12" s="1" t="str">
        <f>IFERROR(__xludf.DUMMYFUNCTION("""COMPUTED_VALUE"""),"101
-14%")</f>
        <v>101
-14%</v>
      </c>
      <c r="D12" s="4" t="str">
        <f>IFERROR(__xludf.DUMMYFUNCTION("""COMPUTED_VALUE"""),"143
-16%")</f>
        <v>143
-16%</v>
      </c>
      <c r="E12" s="4" t="str">
        <f>IFERROR(__xludf.DUMMYFUNCTION("""COMPUTED_VALUE"""),"279
+50%")</f>
        <v>279
+50%</v>
      </c>
      <c r="F12" t="str">
        <f>IFERROR(__xludf.DUMMYFUNCTION("""COMPUTED_VALUE"""),"263
+19%")</f>
        <v>263
+19%</v>
      </c>
      <c r="G12" t="str">
        <f>IFERROR(__xludf.DUMMYFUNCTION("""COMPUTED_VALUE"""),"262
+10%")</f>
        <v>262
+10%</v>
      </c>
      <c r="H12" t="str">
        <f>IFERROR(__xludf.DUMMYFUNCTION("""COMPUTED_VALUE"""),"189
-26%")</f>
        <v>189
-26%</v>
      </c>
      <c r="I12" t="str">
        <f>IFERROR(__xludf.DUMMYFUNCTION("""COMPUTED_VALUE"""),"263
+6%")</f>
        <v>263
+6%</v>
      </c>
      <c r="J12" t="str">
        <f>IFERROR(__xludf.DUMMYFUNCTION("""COMPUTED_VALUE"""),"174
-17%")</f>
        <v>174
-17%</v>
      </c>
      <c r="K12" t="str">
        <f>IFERROR(__xludf.DUMMYFUNCTION("""COMPUTED_VALUE"""),"184
+22%")</f>
        <v>184
+22%</v>
      </c>
      <c r="L12" t="str">
        <f>IFERROR(__xludf.DUMMYFUNCTION("""COMPUTED_VALUE"""),"161
+61%")</f>
        <v>161
+61%</v>
      </c>
      <c r="M12" t="str">
        <f>IFERROR(__xludf.DUMMYFUNCTION("""COMPUTED_VALUE"""),"62
-26%")</f>
        <v>62
-26%</v>
      </c>
      <c r="N12" t="str">
        <f>IFERROR(__xludf.DUMMYFUNCTION("""COMPUTED_VALUE"""),"2213h +7% 
Moy: 184h")</f>
        <v>2213h +7% 
Moy: 184h</v>
      </c>
    </row>
    <row r="14">
      <c r="B14" t="str">
        <f>IFERROR(__xludf.DUMMYFUNCTION("""COMPUTED_VALUE"""),"janv.
2017")</f>
        <v>janv.
2017</v>
      </c>
      <c r="C14" t="str">
        <f>IFERROR(__xludf.DUMMYFUNCTION("""COMPUTED_VALUE"""),"fev.
2017")</f>
        <v>fev.
2017</v>
      </c>
      <c r="D14" t="str">
        <f>IFERROR(__xludf.DUMMYFUNCTION("""COMPUTED_VALUE"""),"mars
2017")</f>
        <v>mars
2017</v>
      </c>
      <c r="E14" t="str">
        <f>IFERROR(__xludf.DUMMYFUNCTION("""COMPUTED_VALUE"""),"avr.
2017")</f>
        <v>avr.
2017</v>
      </c>
      <c r="F14" t="str">
        <f>IFERROR(__xludf.DUMMYFUNCTION("""COMPUTED_VALUE"""),"mai
2017")</f>
        <v>mai
2017</v>
      </c>
      <c r="G14" t="str">
        <f>IFERROR(__xludf.DUMMYFUNCTION("""COMPUTED_VALUE"""),"juin
2017")</f>
        <v>juin
2017</v>
      </c>
      <c r="H14" t="str">
        <f>IFERROR(__xludf.DUMMYFUNCTION("""COMPUTED_VALUE"""),"juil.
2017")</f>
        <v>juil.
2017</v>
      </c>
      <c r="I14" t="str">
        <f>IFERROR(__xludf.DUMMYFUNCTION("""COMPUTED_VALUE"""),"août
2017")</f>
        <v>août
2017</v>
      </c>
      <c r="J14" t="str">
        <f>IFERROR(__xludf.DUMMYFUNCTION("""COMPUTED_VALUE"""),"sept.
2017")</f>
        <v>sept.
2017</v>
      </c>
      <c r="K14" t="str">
        <f>IFERROR(__xludf.DUMMYFUNCTION("""COMPUTED_VALUE"""),"oct.
2017")</f>
        <v>oct.
2017</v>
      </c>
      <c r="L14" t="str">
        <f>IFERROR(__xludf.DUMMYFUNCTION("""COMPUTED_VALUE"""),"nov.
2017")</f>
        <v>nov.
2017</v>
      </c>
      <c r="M14" t="str">
        <f>IFERROR(__xludf.DUMMYFUNCTION("""COMPUTED_VALUE"""),"dec.
2017")</f>
        <v>dec.
2017</v>
      </c>
      <c r="N14" t="str">
        <f>IFERROR(__xludf.DUMMYFUNCTION("""COMPUTED_VALUE"""),"Année
complète")</f>
        <v>Année
complète</v>
      </c>
    </row>
    <row r="15">
      <c r="A15" t="str">
        <f>IFERROR(__xludf.DUMMYFUNCTION("""COMPUTED_VALUE"""),"*Cumul*
Précips")</f>
        <v>*Cumul*
Précips</v>
      </c>
      <c r="B15" t="str">
        <f>IFERROR(__xludf.DUMMYFUNCTION("""COMPUTED_VALUE"""),"27,5
-68%")</f>
        <v>27,5
-68%</v>
      </c>
      <c r="C15" t="str">
        <f>IFERROR(__xludf.DUMMYFUNCTION("""COMPUTED_VALUE"""),"75,0
+12%")</f>
        <v>75,0
+12%</v>
      </c>
      <c r="D15" t="str">
        <f>IFERROR(__xludf.DUMMYFUNCTION("""COMPUTED_VALUE"""),"65,3
+3%")</f>
        <v>65,3
+3%</v>
      </c>
      <c r="E15" t="str">
        <f>IFERROR(__xludf.DUMMYFUNCTION("""COMPUTED_VALUE"""),"21,5
-72%")</f>
        <v>21,5
-72%</v>
      </c>
      <c r="F15" t="str">
        <f>IFERROR(__xludf.DUMMYFUNCTION("""COMPUTED_VALUE"""),"63,6
-11%")</f>
        <v>63,6
-11%</v>
      </c>
      <c r="G15" t="str">
        <f>IFERROR(__xludf.DUMMYFUNCTION("""COMPUTED_VALUE"""),"136,9
+94%")</f>
        <v>136,9
+94%</v>
      </c>
      <c r="H15" t="str">
        <f>IFERROR(__xludf.DUMMYFUNCTION("""COMPUTED_VALUE"""),"27,8
-43%")</f>
        <v>27,8
-43%</v>
      </c>
      <c r="I15" t="str">
        <f>IFERROR(__xludf.DUMMYFUNCTION("""COMPUTED_VALUE"""),"30,2
-47%")</f>
        <v>30,2
-47%</v>
      </c>
      <c r="J15" t="str">
        <f>IFERROR(__xludf.DUMMYFUNCTION("""COMPUTED_VALUE"""),"72,1
-11%")</f>
        <v>72,1
-11%</v>
      </c>
      <c r="K15" t="str">
        <f>IFERROR(__xludf.DUMMYFUNCTION("""COMPUTED_VALUE"""),"13,4
-84%")</f>
        <v>13,4
-84%</v>
      </c>
      <c r="L15" t="str">
        <f>IFERROR(__xludf.DUMMYFUNCTION("""COMPUTED_VALUE"""),"65,3
-43%")</f>
        <v>65,3
-43%</v>
      </c>
      <c r="M15" t="str">
        <f>IFERROR(__xludf.DUMMYFUNCTION("""COMPUTED_VALUE"""),"162,7
+53%")</f>
        <v>162,7
+53%</v>
      </c>
      <c r="N15" t="str">
        <f>IFERROR(__xludf.DUMMYFUNCTION("""COMPUTED_VALUE"""),"761,3
-18%")</f>
        <v>761,3
-18%</v>
      </c>
    </row>
    <row r="16">
      <c r="A16" t="str">
        <f>IFERROR(__xludf.DUMMYFUNCTION("""COMPUTED_VALUE"""),"*Max en 24h*
de précips")</f>
        <v>*Max en 24h*
de précips</v>
      </c>
      <c r="B16" t="str">
        <f>IFERROR(__xludf.DUMMYFUNCTION("""COMPUTED_VALUE"""),"11,3
le 12")</f>
        <v>11,3
le 12</v>
      </c>
      <c r="C16" t="str">
        <f>IFERROR(__xludf.DUMMYFUNCTION("""COMPUTED_VALUE"""),"25,8
le 3")</f>
        <v>25,8
le 3</v>
      </c>
      <c r="D16" t="str">
        <f>IFERROR(__xludf.DUMMYFUNCTION("""COMPUTED_VALUE"""),"15,3
le 3")</f>
        <v>15,3
le 3</v>
      </c>
      <c r="E16" t="str">
        <f>IFERROR(__xludf.DUMMYFUNCTION("""COMPUTED_VALUE"""),"7,8
le 30")</f>
        <v>7,8
le 30</v>
      </c>
      <c r="F16" t="str">
        <f>IFERROR(__xludf.DUMMYFUNCTION("""COMPUTED_VALUE"""),"19,4
le 18")</f>
        <v>19,4
le 18</v>
      </c>
      <c r="G16" t="str">
        <f>IFERROR(__xludf.DUMMYFUNCTION("""COMPUTED_VALUE"""),"35,4
le 27")</f>
        <v>35,4
le 27</v>
      </c>
      <c r="H16" t="str">
        <f>IFERROR(__xludf.DUMMYFUNCTION("""COMPUTED_VALUE"""),"7,6
le 7")</f>
        <v>7,6
le 7</v>
      </c>
      <c r="I16" t="str">
        <f>IFERROR(__xludf.DUMMYFUNCTION("""COMPUTED_VALUE"""),"8,3
le 29")</f>
        <v>8,3
le 29</v>
      </c>
      <c r="J16" t="str">
        <f>IFERROR(__xludf.DUMMYFUNCTION("""COMPUTED_VALUE"""),"15,6
le 8")</f>
        <v>15,6
le 8</v>
      </c>
      <c r="K16" t="str">
        <f>IFERROR(__xludf.DUMMYFUNCTION("""COMPUTED_VALUE"""),"2,8
le 18")</f>
        <v>2,8
le 18</v>
      </c>
      <c r="L16" t="str">
        <f>IFERROR(__xludf.DUMMYFUNCTION("""COMPUTED_VALUE"""),"21,6
le 24")</f>
        <v>21,6
le 24</v>
      </c>
      <c r="M16" t="str">
        <f>IFERROR(__xludf.DUMMYFUNCTION("""COMPUTED_VALUE"""),"51,4
le 10")</f>
        <v>51,4
le 10</v>
      </c>
      <c r="N16" t="str">
        <f>IFERROR(__xludf.DUMMYFUNCTION("""COMPUTED_VALUE"""),"51,4
le 10 dec.")</f>
        <v>51,4
le 10 dec.</v>
      </c>
    </row>
    <row r="17">
      <c r="A17" t="str">
        <f>IFERROR(__xludf.DUMMYFUNCTION("""COMPUTED_VALUE"""),"*Max en 5j*
de précips")</f>
        <v>*Max en 5j*
de précips</v>
      </c>
      <c r="B17">
        <f>IFERROR(__xludf.DUMMYFUNCTION("""COMPUTED_VALUE"""),19.5)</f>
        <v>19.5</v>
      </c>
      <c r="C17">
        <f>IFERROR(__xludf.DUMMYFUNCTION("""COMPUTED_VALUE"""),50.7)</f>
        <v>50.7</v>
      </c>
      <c r="D17">
        <f>IFERROR(__xludf.DUMMYFUNCTION("""COMPUTED_VALUE"""),39.0)</f>
        <v>39</v>
      </c>
      <c r="E17">
        <f>IFERROR(__xludf.DUMMYFUNCTION("""COMPUTED_VALUE"""),10.9)</f>
        <v>10.9</v>
      </c>
      <c r="F17">
        <f>IFERROR(__xludf.DUMMYFUNCTION("""COMPUTED_VALUE"""),30.8)</f>
        <v>30.8</v>
      </c>
      <c r="G17">
        <f>IFERROR(__xludf.DUMMYFUNCTION("""COMPUTED_VALUE"""),97.3)</f>
        <v>97.3</v>
      </c>
      <c r="H17">
        <f>IFERROR(__xludf.DUMMYFUNCTION("""COMPUTED_VALUE"""),10.0)</f>
        <v>10</v>
      </c>
      <c r="I17">
        <f>IFERROR(__xludf.DUMMYFUNCTION("""COMPUTED_VALUE"""),14.8)</f>
        <v>14.8</v>
      </c>
      <c r="J17">
        <f>IFERROR(__xludf.DUMMYFUNCTION("""COMPUTED_VALUE"""),28.0)</f>
        <v>28</v>
      </c>
      <c r="K17">
        <f>IFERROR(__xludf.DUMMYFUNCTION("""COMPUTED_VALUE"""),6.2)</f>
        <v>6.2</v>
      </c>
      <c r="L17">
        <f>IFERROR(__xludf.DUMMYFUNCTION("""COMPUTED_VALUE"""),32.3)</f>
        <v>32.3</v>
      </c>
      <c r="M17">
        <f>IFERROR(__xludf.DUMMYFUNCTION("""COMPUTED_VALUE"""),94.4)</f>
        <v>94.4</v>
      </c>
      <c r="N17" t="str">
        <f>IFERROR(__xludf.DUMMYFUNCTION("""COMPUTED_VALUE"""),"97,3
juin")</f>
        <v>97,3
juin</v>
      </c>
    </row>
    <row r="18">
      <c r="A18" t="str">
        <f>IFERROR(__xludf.DUMMYFUNCTION("""COMPUTED_VALUE"""),"*Moyenne ≥ 1*
de précips [?]")</f>
        <v>*Moyenne ≥ 1*
de précips [?]</v>
      </c>
      <c r="B18">
        <f>IFERROR(__xludf.DUMMYFUNCTION("""COMPUTED_VALUE"""),3.8)</f>
        <v>3.8</v>
      </c>
      <c r="C18">
        <f>IFERROR(__xludf.DUMMYFUNCTION("""COMPUTED_VALUE"""),9.1)</f>
        <v>9.1</v>
      </c>
      <c r="D18">
        <f>IFERROR(__xludf.DUMMYFUNCTION("""COMPUTED_VALUE"""),5.9)</f>
        <v>5.9</v>
      </c>
      <c r="E18">
        <f>IFERROR(__xludf.DUMMYFUNCTION("""COMPUTED_VALUE"""),4.3)</f>
        <v>4.3</v>
      </c>
      <c r="F18">
        <f>IFERROR(__xludf.DUMMYFUNCTION("""COMPUTED_VALUE"""),5.6)</f>
        <v>5.6</v>
      </c>
      <c r="G18">
        <f>IFERROR(__xludf.DUMMYFUNCTION("""COMPUTED_VALUE"""),12.3)</f>
        <v>12.3</v>
      </c>
      <c r="H18">
        <f>IFERROR(__xludf.DUMMYFUNCTION("""COMPUTED_VALUE"""),3.6)</f>
        <v>3.6</v>
      </c>
      <c r="I18">
        <f>IFERROR(__xludf.DUMMYFUNCTION("""COMPUTED_VALUE"""),4.9)</f>
        <v>4.9</v>
      </c>
      <c r="J18">
        <f>IFERROR(__xludf.DUMMYFUNCTION("""COMPUTED_VALUE"""),4.4)</f>
        <v>4.4</v>
      </c>
      <c r="K18">
        <f>IFERROR(__xludf.DUMMYFUNCTION("""COMPUTED_VALUE"""),2.2)</f>
        <v>2.2</v>
      </c>
      <c r="L18">
        <f>IFERROR(__xludf.DUMMYFUNCTION("""COMPUTED_VALUE"""),6.2)</f>
        <v>6.2</v>
      </c>
      <c r="M18">
        <f>IFERROR(__xludf.DUMMYFUNCTION("""COMPUTED_VALUE"""),9.5)</f>
        <v>9.5</v>
      </c>
      <c r="N18">
        <f>IFERROR(__xludf.DUMMYFUNCTION("""COMPUTED_VALUE"""),6.0)</f>
        <v>6</v>
      </c>
    </row>
    <row r="19">
      <c r="A19" t="str">
        <f>IFERROR(__xludf.DUMMYFUNCTION("""COMPUTED_VALUE"""),"Neige au sol
*maximale*")</f>
        <v>Neige au sol
*maximale*</v>
      </c>
      <c r="B19">
        <f>IFERROR(__xludf.DUMMYFUNCTION("""COMPUTED_VALUE"""),0.0)</f>
        <v>0</v>
      </c>
      <c r="C19">
        <f>IFERROR(__xludf.DUMMYFUNCTION("""COMPUTED_VALUE"""),0.0)</f>
        <v>0</v>
      </c>
      <c r="D19">
        <f>IFERROR(__xludf.DUMMYFUNCTION("""COMPUTED_VALUE"""),0.0)</f>
        <v>0</v>
      </c>
      <c r="F19" s="4"/>
      <c r="G19">
        <f>IFERROR(__xludf.DUMMYFUNCTION("""COMPUTED_VALUE"""),0.0)</f>
        <v>0</v>
      </c>
      <c r="I19">
        <f>IFERROR(__xludf.DUMMYFUNCTION("""COMPUTED_VALUE"""),0.0)</f>
        <v>0</v>
      </c>
      <c r="N19" t="str">
        <f>IFERROR(__xludf.DUMMYFUNCTION("""COMPUTED_VALUE"""),"0,0
le 6 janv.")</f>
        <v>0,0
le 6 janv.</v>
      </c>
    </row>
    <row r="20">
      <c r="E20" s="4"/>
    </row>
    <row r="21">
      <c r="A21" t="str">
        <f>IFERROR(__xludf.DUMMYFUNCTION("""COMPUTED_VALUE"""),"Rafale
*maximale*")</f>
        <v>Rafale
*maximale*</v>
      </c>
      <c r="B21" t="str">
        <f>IFERROR(__xludf.DUMMYFUNCTION("""COMPUTED_VALUE"""),"77,8
le 12")</f>
        <v>77,8
le 12</v>
      </c>
      <c r="C21" t="str">
        <f>IFERROR(__xludf.DUMMYFUNCTION("""COMPUTED_VALUE"""),"120,2
le 4")</f>
        <v>120,2
le 4</v>
      </c>
      <c r="D21" t="str">
        <f>IFERROR(__xludf.DUMMYFUNCTION("""COMPUTED_VALUE"""),"94,3
le 6")</f>
        <v>94,3
le 6</v>
      </c>
      <c r="E21" t="str">
        <f>IFERROR(__xludf.DUMMYFUNCTION("""COMPUTED_VALUE"""),"70,6
le 30")</f>
        <v>70,6
le 30</v>
      </c>
      <c r="F21" t="str">
        <f>IFERROR(__xludf.DUMMYFUNCTION("""COMPUTED_VALUE"""),"61,6
le 26")</f>
        <v>61,6
le 26</v>
      </c>
      <c r="G21" t="str">
        <f>IFERROR(__xludf.DUMMYFUNCTION("""COMPUTED_VALUE"""),"97,9
le 8")</f>
        <v>97,9
le 8</v>
      </c>
      <c r="H21" t="str">
        <f>IFERROR(__xludf.DUMMYFUNCTION("""COMPUTED_VALUE"""),"87,5
le 18")</f>
        <v>87,5
le 18</v>
      </c>
      <c r="I21" t="str">
        <f>IFERROR(__xludf.DUMMYFUNCTION("""COMPUTED_VALUE"""),"56,9
le 8")</f>
        <v>56,9
le 8</v>
      </c>
      <c r="J21" t="str">
        <f>IFERROR(__xludf.DUMMYFUNCTION("""COMPUTED_VALUE"""),"79,6
le 9")</f>
        <v>79,6
le 9</v>
      </c>
      <c r="K21" t="str">
        <f>IFERROR(__xludf.DUMMYFUNCTION("""COMPUTED_VALUE"""),"52,9
le 22")</f>
        <v>52,9
le 22</v>
      </c>
      <c r="L21" t="str">
        <f>IFERROR(__xludf.DUMMYFUNCTION("""COMPUTED_VALUE"""),"58,3
le 12")</f>
        <v>58,3
le 12</v>
      </c>
      <c r="M21" t="str">
        <f>IFERROR(__xludf.DUMMYFUNCTION("""COMPUTED_VALUE"""),"74,5
le 31")</f>
        <v>74,5
le 31</v>
      </c>
      <c r="N21" t="str">
        <f>IFERROR(__xludf.DUMMYFUNCTION("""COMPUTED_VALUE"""),"120,2
le 4 fev.")</f>
        <v>120,2
le 4 fev.</v>
      </c>
    </row>
    <row r="22">
      <c r="A22" t="str">
        <f>IFERROR(__xludf.DUMMYFUNCTION("""COMPUTED_VALUE"""),"Pression
*minimale*")</f>
        <v>Pression
*minimale*</v>
      </c>
      <c r="B22" t="str">
        <f>IFERROR(__xludf.DUMMYFUNCTION("""COMPUTED_VALUE"""),"1009,4
le 27")</f>
        <v>1009,4
le 27</v>
      </c>
      <c r="C22" t="str">
        <f>IFERROR(__xludf.DUMMYFUNCTION("""COMPUTED_VALUE"""),"1005,0
le 4")</f>
        <v>1005,0
le 4</v>
      </c>
      <c r="D22" t="str">
        <f>IFERROR(__xludf.DUMMYFUNCTION("""COMPUTED_VALUE"""),"1001,1
le 3")</f>
        <v>1001,1
le 3</v>
      </c>
      <c r="E22" t="str">
        <f>IFERROR(__xludf.DUMMYFUNCTION("""COMPUTED_VALUE"""),"1006,1
le 30")</f>
        <v>1006,1
le 30</v>
      </c>
      <c r="F22" t="str">
        <f>IFERROR(__xludf.DUMMYFUNCTION("""COMPUTED_VALUE"""),"996,4
le 11")</f>
        <v>996,4
le 11</v>
      </c>
      <c r="G22" t="str">
        <f>IFERROR(__xludf.DUMMYFUNCTION("""COMPUTED_VALUE"""),"1003,3
le 28")</f>
        <v>1003,3
le 28</v>
      </c>
      <c r="H22" t="str">
        <f>IFERROR(__xludf.DUMMYFUNCTION("""COMPUTED_VALUE"""),"1010,1
le 18")</f>
        <v>1010,1
le 18</v>
      </c>
      <c r="I22" t="str">
        <f>IFERROR(__xludf.DUMMYFUNCTION("""COMPUTED_VALUE"""),"1013,3
le 29")</f>
        <v>1013,3
le 29</v>
      </c>
      <c r="J22" t="str">
        <f>IFERROR(__xludf.DUMMYFUNCTION("""COMPUTED_VALUE"""),"1007,5
le 9")</f>
        <v>1007,5
le 9</v>
      </c>
      <c r="K22" t="str">
        <f>IFERROR(__xludf.DUMMYFUNCTION("""COMPUTED_VALUE"""),"1010,5
le 18")</f>
        <v>1010,5
le 18</v>
      </c>
      <c r="L22" t="str">
        <f>IFERROR(__xludf.DUMMYFUNCTION("""COMPUTED_VALUE"""),"1010,8
le 22")</f>
        <v>1010,8
le 22</v>
      </c>
      <c r="M22" t="str">
        <f>IFERROR(__xludf.DUMMYFUNCTION("""COMPUTED_VALUE"""),"989,1
le 11")</f>
        <v>989,1
le 11</v>
      </c>
      <c r="N22" t="str">
        <f>IFERROR(__xludf.DUMMYFUNCTION("""COMPUTED_VALUE"""),"989,1
le 11 dec.")</f>
        <v>989,1
le 11 dec.</v>
      </c>
    </row>
    <row r="23">
      <c r="A23" t="str">
        <f>IFERROR(__xludf.DUMMYFUNCTION("""COMPUTED_VALUE"""),"Pression
*maximale*")</f>
        <v>Pression
*maximale*</v>
      </c>
      <c r="B23" t="str">
        <f>IFERROR(__xludf.DUMMYFUNCTION("""COMPUTED_VALUE"""),"1036,3
le 6")</f>
        <v>1036,3
le 6</v>
      </c>
      <c r="C23" t="str">
        <f>IFERROR(__xludf.DUMMYFUNCTION("""COMPUTED_VALUE"""),"1032,8
le 16")</f>
        <v>1032,8
le 16</v>
      </c>
      <c r="D23" t="str">
        <f>IFERROR(__xludf.DUMMYFUNCTION("""COMPUTED_VALUE"""),"1034,8
le 14")</f>
        <v>1034,8
le 14</v>
      </c>
      <c r="E23" t="str">
        <f>IFERROR(__xludf.DUMMYFUNCTION("""COMPUTED_VALUE"""),"1031,4
le 20")</f>
        <v>1031,4
le 20</v>
      </c>
      <c r="F23" s="4" t="str">
        <f>IFERROR(__xludf.DUMMYFUNCTION("""COMPUTED_VALUE"""),"1027,7
le 15")</f>
        <v>1027,7
le 15</v>
      </c>
      <c r="G23" s="4" t="str">
        <f>IFERROR(__xludf.DUMMYFUNCTION("""COMPUTED_VALUE"""),"1026,2
le 16")</f>
        <v>1026,2
le 16</v>
      </c>
      <c r="H23" t="str">
        <f>IFERROR(__xludf.DUMMYFUNCTION("""COMPUTED_VALUE"""),"1027,5
le 2")</f>
        <v>1027,5
le 2</v>
      </c>
      <c r="I23" t="str">
        <f>IFERROR(__xludf.DUMMYFUNCTION("""COMPUTED_VALUE"""),"1027,2
le 20")</f>
        <v>1027,2
le 20</v>
      </c>
      <c r="J23" t="str">
        <f>IFERROR(__xludf.DUMMYFUNCTION("""COMPUTED_VALUE"""),"1027,1
le 6")</f>
        <v>1027,1
le 6</v>
      </c>
      <c r="K23" t="str">
        <f>IFERROR(__xludf.DUMMYFUNCTION("""COMPUTED_VALUE"""),"1032,9
le 28")</f>
        <v>1032,9
le 28</v>
      </c>
      <c r="L23" t="str">
        <f>IFERROR(__xludf.DUMMYFUNCTION("""COMPUTED_VALUE"""),"1033,6
le 26")</f>
        <v>1033,6
le 26</v>
      </c>
      <c r="M23" t="str">
        <f>IFERROR(__xludf.DUMMYFUNCTION("""COMPUTED_VALUE"""),"1042,3
le 21")</f>
        <v>1042,3
le 21</v>
      </c>
      <c r="N23" t="str">
        <f>IFERROR(__xludf.DUMMYFUNCTION("""COMPUTED_VALUE"""),"1042,3
le 21 dec.")</f>
        <v>1042,3
le 21 dec.</v>
      </c>
    </row>
    <row r="24">
      <c r="A24" t="str">
        <f>IFERROR(__xludf.DUMMYFUNCTION("""COMPUTED_VALUE"""),"Mise à
jour")</f>
        <v>Mise à
jour</v>
      </c>
      <c r="B24" s="5">
        <f>IFERROR(__xludf.DUMMYFUNCTION("""COMPUTED_VALUE"""),43478.83479166667)</f>
        <v>43478.83479</v>
      </c>
      <c r="C24" s="5">
        <f>IFERROR(__xludf.DUMMYFUNCTION("""COMPUTED_VALUE"""),43478.83568287037)</f>
        <v>43478.83568</v>
      </c>
      <c r="D24" s="5">
        <f>IFERROR(__xludf.DUMMYFUNCTION("""COMPUTED_VALUE"""),43478.836550925924)</f>
        <v>43478.83655</v>
      </c>
      <c r="E24" s="5">
        <f>IFERROR(__xludf.DUMMYFUNCTION("""COMPUTED_VALUE"""),43478.83744212963)</f>
        <v>43478.83744</v>
      </c>
      <c r="F24" s="5">
        <f>IFERROR(__xludf.DUMMYFUNCTION("""COMPUTED_VALUE"""),43478.83831018519)</f>
        <v>43478.83831</v>
      </c>
      <c r="G24" s="5">
        <f>IFERROR(__xludf.DUMMYFUNCTION("""COMPUTED_VALUE"""),43478.839224537034)</f>
        <v>43478.83922</v>
      </c>
      <c r="H24" s="5">
        <f>IFERROR(__xludf.DUMMYFUNCTION("""COMPUTED_VALUE"""),43478.84012731481)</f>
        <v>43478.84013</v>
      </c>
      <c r="I24" s="5">
        <f>IFERROR(__xludf.DUMMYFUNCTION("""COMPUTED_VALUE"""),43478.84105324074)</f>
        <v>43478.84105</v>
      </c>
      <c r="J24" s="5">
        <f>IFERROR(__xludf.DUMMYFUNCTION("""COMPUTED_VALUE"""),43478.841944444444)</f>
        <v>43478.84194</v>
      </c>
      <c r="K24" s="5">
        <f>IFERROR(__xludf.DUMMYFUNCTION("""COMPUTED_VALUE"""),43478.842824074076)</f>
        <v>43478.84282</v>
      </c>
      <c r="L24" s="5">
        <f>IFERROR(__xludf.DUMMYFUNCTION("""COMPUTED_VALUE"""),43478.843773148146)</f>
        <v>43478.84377</v>
      </c>
      <c r="M24" s="5">
        <f>IFERROR(__xludf.DUMMYFUNCTION("""COMPUTED_VALUE"""),43478.844814814816)</f>
        <v>43478.84481</v>
      </c>
    </row>
    <row r="25">
      <c r="F25" s="4"/>
    </row>
    <row r="33">
      <c r="A33" t="str">
        <f>IFERROR(__xludf.DUMMYFUNCTION("importhtml(""https://fr.wikipedia.org/wiki/R%C3%A9gion_fran%C3%A7aise"",""table"",1)"),"Région")</f>
        <v>Région</v>
      </c>
    </row>
    <row r="34">
      <c r="A34" t="str">
        <f>IFERROR(__xludf.DUMMYFUNCTION("""COMPUTED_VALUE"""),"Administration")</f>
        <v>Administration</v>
      </c>
    </row>
    <row r="35">
      <c r="A35" t="str">
        <f>IFERROR(__xludf.DUMMYFUNCTION("""COMPUTED_VALUE"""),"Pays")</f>
        <v>Pays</v>
      </c>
      <c r="B35" t="str">
        <f>IFERROR(__xludf.DUMMYFUNCTION("""COMPUTED_VALUE"""),"France")</f>
        <v>France</v>
      </c>
    </row>
    <row r="36">
      <c r="A36" t="str">
        <f>IFERROR(__xludf.DUMMYFUNCTION("""COMPUTED_VALUE"""),"Type")</f>
        <v>Type</v>
      </c>
      <c r="B36" t="str">
        <f>IFERROR(__xludf.DUMMYFUNCTION("""COMPUTED_VALUE"""),"Collectivité territoriale")</f>
        <v>Collectivité territoriale</v>
      </c>
    </row>
    <row r="37">
      <c r="A37" t="str">
        <f>IFERROR(__xludf.DUMMYFUNCTION("""COMPUTED_VALUE"""),"Division inférieure")</f>
        <v>Division inférieure</v>
      </c>
      <c r="B37" t="str">
        <f>IFERROR(__xludf.DUMMYFUNCTION("""COMPUTED_VALUE"""),"Département, commune")</f>
        <v>Département, commune</v>
      </c>
    </row>
    <row r="38">
      <c r="A38" t="str">
        <f>IFERROR(__xludf.DUMMYFUNCTION("""COMPUTED_VALUE"""),"Nombre de subdivisions")</f>
        <v>Nombre de subdivisions</v>
      </c>
      <c r="B38" t="str">
        <f>IFERROR(__xludf.DUMMYFUNCTION("""COMPUTED_VALUE"""),"18 (2016)")</f>
        <v>18 (2016)</v>
      </c>
    </row>
    <row r="39">
      <c r="A39" t="str">
        <f>IFERROR(__xludf.DUMMYFUNCTION("""COMPUTED_VALUE"""),"Assemblée délibérante")</f>
        <v>Assemblée délibérante</v>
      </c>
      <c r="B39" t="str">
        <f>IFERROR(__xludf.DUMMYFUNCTION("""COMPUTED_VALUE"""),"Conseil régional")</f>
        <v>Conseil régional</v>
      </c>
    </row>
    <row r="40">
      <c r="A40" t="str">
        <f>IFERROR(__xludf.DUMMYFUNCTION("""COMPUTED_VALUE"""),"Création")</f>
        <v>Création</v>
      </c>
      <c r="B40" s="6">
        <f>IFERROR(__xludf.DUMMYFUNCTION("""COMPUTED_VALUE"""),30012.0)</f>
        <v>30012</v>
      </c>
    </row>
    <row r="41">
      <c r="A41" t="str">
        <f>IFERROR(__xludf.DUMMYFUNCTION("""COMPUTED_VALUE"""),"Localisation")</f>
        <v>Localisation</v>
      </c>
    </row>
    <row r="42">
      <c r="A42" t="str">
        <f>IFERROR(__xludf.DUMMYFUNCTION("""COMPUTED_VALUE"""),"[TABLE]")</f>
        <v>[TABLE]</v>
      </c>
    </row>
    <row r="44">
      <c r="A44" t="str">
        <f>IFERROR(__xludf.DUMMYFUNCTION("""COMPUTED_VALUE"""),"modifier")</f>
        <v>modifier</v>
      </c>
    </row>
    <row r="55">
      <c r="H55" t="s">
        <v>0</v>
      </c>
      <c r="I55" t="s">
        <v>1</v>
      </c>
      <c r="J55" t="s">
        <v>2</v>
      </c>
      <c r="K55" t="s">
        <v>3</v>
      </c>
      <c r="L55" t="s">
        <v>4</v>
      </c>
      <c r="M55" t="s">
        <v>5</v>
      </c>
      <c r="N55" t="s">
        <v>6</v>
      </c>
    </row>
    <row r="56">
      <c r="H56">
        <v>1.0</v>
      </c>
      <c r="I56" t="s">
        <v>7</v>
      </c>
      <c r="J56" t="s">
        <v>8</v>
      </c>
      <c r="K56" t="s">
        <v>9</v>
      </c>
      <c r="L56" t="s">
        <v>10</v>
      </c>
      <c r="M56">
        <v>4.25E8</v>
      </c>
      <c r="N56">
        <v>2.787965087E9</v>
      </c>
    </row>
    <row r="57">
      <c r="H57">
        <v>2.0</v>
      </c>
      <c r="I57" t="s">
        <v>11</v>
      </c>
      <c r="J57" s="1" t="s">
        <v>12</v>
      </c>
      <c r="K57" t="s">
        <v>13</v>
      </c>
      <c r="L57" t="s">
        <v>10</v>
      </c>
      <c r="M57">
        <v>2.0E8</v>
      </c>
      <c r="N57">
        <v>2.187463944E9</v>
      </c>
    </row>
    <row r="58">
      <c r="H58">
        <v>3.0</v>
      </c>
      <c r="I58" t="s">
        <v>14</v>
      </c>
      <c r="J58" t="s">
        <v>15</v>
      </c>
      <c r="K58" t="s">
        <v>16</v>
      </c>
      <c r="L58" t="s">
        <v>10</v>
      </c>
      <c r="M58">
        <v>2.45E8</v>
      </c>
      <c r="N58">
        <v>2.068223624E9</v>
      </c>
    </row>
    <row r="59">
      <c r="H59">
        <v>4.0</v>
      </c>
      <c r="I59" t="s">
        <v>17</v>
      </c>
      <c r="J59" t="s">
        <v>18</v>
      </c>
      <c r="K59" t="s">
        <v>16</v>
      </c>
      <c r="L59" t="s">
        <v>10</v>
      </c>
      <c r="M59">
        <v>1.5E8</v>
      </c>
      <c r="N59">
        <v>1.670400637E9</v>
      </c>
    </row>
    <row r="60">
      <c r="H60">
        <v>5.0</v>
      </c>
      <c r="I60" t="s">
        <v>19</v>
      </c>
      <c r="J60" t="s">
        <v>20</v>
      </c>
      <c r="K60" t="s">
        <v>21</v>
      </c>
      <c r="L60" t="s">
        <v>10</v>
      </c>
      <c r="M60">
        <v>2.2E8</v>
      </c>
      <c r="N60">
        <v>1.51955791E9</v>
      </c>
    </row>
    <row r="61">
      <c r="H61">
        <v>6.0</v>
      </c>
      <c r="I61" t="s">
        <v>22</v>
      </c>
      <c r="J61" t="s">
        <v>23</v>
      </c>
      <c r="K61" t="s">
        <v>16</v>
      </c>
      <c r="L61" t="s">
        <v>10</v>
      </c>
      <c r="M61">
        <v>2.5E8</v>
      </c>
      <c r="N61">
        <v>1.516045911E9</v>
      </c>
    </row>
    <row r="62">
      <c r="H62">
        <v>7.0</v>
      </c>
      <c r="I62" t="s">
        <v>24</v>
      </c>
      <c r="J62" t="s">
        <v>20</v>
      </c>
      <c r="K62" t="s">
        <v>16</v>
      </c>
      <c r="L62" t="s">
        <v>10</v>
      </c>
      <c r="M62">
        <v>2.674E8</v>
      </c>
      <c r="N62">
        <v>1.405403694E9</v>
      </c>
    </row>
    <row r="63">
      <c r="H63">
        <v>8.0</v>
      </c>
      <c r="I63" t="s">
        <v>25</v>
      </c>
      <c r="J63" t="s">
        <v>26</v>
      </c>
      <c r="K63" t="s">
        <v>27</v>
      </c>
      <c r="L63" t="s">
        <v>28</v>
      </c>
      <c r="M63">
        <v>1.25E8</v>
      </c>
      <c r="N63">
        <v>1.341511219E9</v>
      </c>
    </row>
    <row r="64">
      <c r="H64">
        <v>9.0</v>
      </c>
      <c r="I64" t="s">
        <v>29</v>
      </c>
      <c r="J64" t="s">
        <v>30</v>
      </c>
      <c r="K64" t="s">
        <v>31</v>
      </c>
      <c r="L64" t="s">
        <v>10</v>
      </c>
      <c r="M64">
        <v>2.0E8</v>
      </c>
      <c r="N64">
        <v>1.296284476E9</v>
      </c>
    </row>
    <row r="65">
      <c r="H65">
        <v>10.0</v>
      </c>
      <c r="I65" t="s">
        <v>32</v>
      </c>
      <c r="J65" t="s">
        <v>33</v>
      </c>
      <c r="K65" t="s">
        <v>34</v>
      </c>
      <c r="L65" t="s">
        <v>10</v>
      </c>
      <c r="M65">
        <v>1.5E8</v>
      </c>
      <c r="N65">
        <v>1.276480335E9</v>
      </c>
    </row>
    <row r="66">
      <c r="H66">
        <v>11.0</v>
      </c>
      <c r="I66" t="s">
        <v>35</v>
      </c>
      <c r="J66" t="s">
        <v>36</v>
      </c>
      <c r="K66" t="s">
        <v>31</v>
      </c>
      <c r="L66" t="s">
        <v>10</v>
      </c>
      <c r="M66">
        <v>1.6E8</v>
      </c>
      <c r="N66">
        <v>1.263521126E9</v>
      </c>
    </row>
    <row r="67">
      <c r="H67">
        <v>12.0</v>
      </c>
      <c r="I67" t="s">
        <v>37</v>
      </c>
      <c r="J67" t="s">
        <v>38</v>
      </c>
      <c r="K67" t="s">
        <v>31</v>
      </c>
      <c r="L67" t="s">
        <v>10</v>
      </c>
      <c r="M67">
        <v>2.5E8</v>
      </c>
      <c r="N67">
        <v>1.238764765E9</v>
      </c>
    </row>
    <row r="68">
      <c r="H68">
        <v>13.0</v>
      </c>
      <c r="I68" t="s">
        <v>39</v>
      </c>
      <c r="J68" t="s">
        <v>40</v>
      </c>
      <c r="K68" t="s">
        <v>34</v>
      </c>
      <c r="L68" t="s">
        <v>10</v>
      </c>
      <c r="M68">
        <v>2.0E8</v>
      </c>
      <c r="N68">
        <v>1.215439994E9</v>
      </c>
    </row>
    <row r="69">
      <c r="H69">
        <v>14.0</v>
      </c>
      <c r="I69" t="s">
        <v>41</v>
      </c>
      <c r="J69" t="s">
        <v>42</v>
      </c>
      <c r="K69" t="s">
        <v>16</v>
      </c>
      <c r="L69" t="s">
        <v>10</v>
      </c>
      <c r="M69">
        <v>7.4E7</v>
      </c>
      <c r="N69">
        <v>1.159398397E9</v>
      </c>
    </row>
    <row r="70">
      <c r="H70">
        <v>15.0</v>
      </c>
      <c r="I70" t="s">
        <v>43</v>
      </c>
      <c r="J70" t="s">
        <v>44</v>
      </c>
      <c r="K70" t="s">
        <v>45</v>
      </c>
      <c r="L70" t="s">
        <v>10</v>
      </c>
      <c r="M70">
        <v>2.5E8</v>
      </c>
      <c r="N70">
        <v>1.153304495E9</v>
      </c>
    </row>
    <row r="71">
      <c r="H71">
        <v>16.0</v>
      </c>
      <c r="I71" t="s">
        <v>46</v>
      </c>
      <c r="J71" t="s">
        <v>47</v>
      </c>
      <c r="K71" t="s">
        <v>27</v>
      </c>
      <c r="L71" t="s">
        <v>10</v>
      </c>
      <c r="M71">
        <v>1.95E8</v>
      </c>
      <c r="N71">
        <v>1.123794079E9</v>
      </c>
    </row>
    <row r="72">
      <c r="H72">
        <v>17.0</v>
      </c>
      <c r="I72" t="s">
        <v>48</v>
      </c>
      <c r="J72" t="s">
        <v>49</v>
      </c>
      <c r="K72">
        <v>2003.0</v>
      </c>
      <c r="L72" t="s">
        <v>50</v>
      </c>
      <c r="M72">
        <v>9.3E7</v>
      </c>
      <c r="N72">
        <v>1.119929521E9</v>
      </c>
    </row>
    <row r="73">
      <c r="H73">
        <v>18.0</v>
      </c>
      <c r="I73" t="s">
        <v>51</v>
      </c>
      <c r="J73" t="s">
        <v>52</v>
      </c>
      <c r="K73">
        <v>2012.0</v>
      </c>
      <c r="L73" t="s">
        <v>28</v>
      </c>
      <c r="M73">
        <v>2.0E8</v>
      </c>
      <c r="N73">
        <v>1.108561013E9</v>
      </c>
    </row>
    <row r="74">
      <c r="H74">
        <v>19.0</v>
      </c>
      <c r="I74" t="s">
        <v>53</v>
      </c>
      <c r="J74" t="s">
        <v>47</v>
      </c>
      <c r="K74" t="s">
        <v>54</v>
      </c>
      <c r="L74" t="s">
        <v>10</v>
      </c>
      <c r="M74">
        <v>2.1E8</v>
      </c>
      <c r="N74">
        <v>1.104039076E9</v>
      </c>
    </row>
    <row r="75">
      <c r="H75">
        <v>20.0</v>
      </c>
      <c r="I75" t="s">
        <v>55</v>
      </c>
      <c r="J75" t="s">
        <v>56</v>
      </c>
      <c r="K75">
        <v>2012.0</v>
      </c>
      <c r="L75" t="s">
        <v>57</v>
      </c>
      <c r="M75">
        <v>2.3E8</v>
      </c>
      <c r="N75">
        <v>1.084439099E9</v>
      </c>
    </row>
    <row r="76">
      <c r="H76">
        <v>21.0</v>
      </c>
      <c r="I76" t="s">
        <v>58</v>
      </c>
      <c r="J76" t="s">
        <v>59</v>
      </c>
      <c r="K76">
        <v>2006.0</v>
      </c>
      <c r="L76" t="s">
        <v>10</v>
      </c>
      <c r="M76">
        <v>2.25E8</v>
      </c>
      <c r="N76">
        <v>1.066179725E9</v>
      </c>
    </row>
    <row r="77">
      <c r="H77">
        <v>22.0</v>
      </c>
      <c r="I77" t="s">
        <v>60</v>
      </c>
      <c r="J77" t="s">
        <v>61</v>
      </c>
      <c r="K77" t="s">
        <v>62</v>
      </c>
      <c r="L77" t="s">
        <v>10</v>
      </c>
      <c r="M77">
        <v>2.0E8</v>
      </c>
      <c r="N77">
        <v>1.063171911E9</v>
      </c>
    </row>
    <row r="78">
      <c r="H78">
        <v>23.0</v>
      </c>
      <c r="I78" t="s">
        <v>63</v>
      </c>
      <c r="J78" t="s">
        <v>64</v>
      </c>
      <c r="K78" t="s">
        <v>45</v>
      </c>
      <c r="L78" t="s">
        <v>10</v>
      </c>
      <c r="M78">
        <v>2.0E8</v>
      </c>
      <c r="N78">
        <v>1.056057273E9</v>
      </c>
    </row>
    <row r="79">
      <c r="H79">
        <v>24.0</v>
      </c>
      <c r="I79" t="s">
        <v>65</v>
      </c>
      <c r="J79" t="s">
        <v>66</v>
      </c>
      <c r="K79" t="s">
        <v>27</v>
      </c>
      <c r="L79" t="s">
        <v>10</v>
      </c>
      <c r="M79">
        <v>2.5E8</v>
      </c>
      <c r="N79">
        <v>1.045713802E9</v>
      </c>
    </row>
    <row r="80">
      <c r="H80">
        <v>25.0</v>
      </c>
      <c r="I80" t="s">
        <v>67</v>
      </c>
      <c r="J80" t="s">
        <v>42</v>
      </c>
      <c r="K80">
        <v>2017.0</v>
      </c>
      <c r="L80" t="s">
        <v>10</v>
      </c>
      <c r="M80">
        <v>8.0E7</v>
      </c>
      <c r="N80">
        <v>1.033508147E9</v>
      </c>
    </row>
    <row r="81">
      <c r="H81">
        <v>26.0</v>
      </c>
      <c r="I81" t="s">
        <v>68</v>
      </c>
      <c r="J81" t="s">
        <v>69</v>
      </c>
      <c r="K81" t="s">
        <v>70</v>
      </c>
      <c r="L81" t="s">
        <v>10</v>
      </c>
      <c r="M81">
        <v>6.3E7</v>
      </c>
      <c r="N81">
        <v>1.029153882E9</v>
      </c>
    </row>
    <row r="82">
      <c r="H82">
        <v>27.0</v>
      </c>
      <c r="I82" t="s">
        <v>71</v>
      </c>
      <c r="J82" t="s">
        <v>72</v>
      </c>
      <c r="K82" t="s">
        <v>45</v>
      </c>
      <c r="L82" t="s">
        <v>10</v>
      </c>
      <c r="M82">
        <v>2.0E8</v>
      </c>
      <c r="N82">
        <v>1.028194984E9</v>
      </c>
    </row>
    <row r="83">
      <c r="H83">
        <v>28.0</v>
      </c>
      <c r="I83" t="s">
        <v>73</v>
      </c>
      <c r="J83" t="s">
        <v>74</v>
      </c>
      <c r="K83" t="s">
        <v>75</v>
      </c>
      <c r="L83" t="s">
        <v>10</v>
      </c>
      <c r="M83">
        <v>1.15E8</v>
      </c>
      <c r="N83">
        <v>1.027044677E9</v>
      </c>
    </row>
    <row r="84">
      <c r="H84">
        <v>29.0</v>
      </c>
      <c r="I84" t="s">
        <v>76</v>
      </c>
      <c r="J84" t="s">
        <v>77</v>
      </c>
      <c r="K84" t="s">
        <v>62</v>
      </c>
      <c r="L84" t="s">
        <v>10</v>
      </c>
      <c r="M84">
        <v>2.0E8</v>
      </c>
      <c r="N84">
        <v>1.024299904E9</v>
      </c>
    </row>
    <row r="85">
      <c r="H85">
        <v>30.0</v>
      </c>
      <c r="I85" t="s">
        <v>78</v>
      </c>
      <c r="J85" t="s">
        <v>79</v>
      </c>
      <c r="K85" t="s">
        <v>45</v>
      </c>
      <c r="L85" t="s">
        <v>10</v>
      </c>
      <c r="M85">
        <v>1.5E8</v>
      </c>
      <c r="N85">
        <v>1.023784195E9</v>
      </c>
    </row>
    <row r="86">
      <c r="H86">
        <v>31.0</v>
      </c>
      <c r="I86" t="s">
        <v>80</v>
      </c>
      <c r="J86" t="s">
        <v>49</v>
      </c>
      <c r="K86" t="s">
        <v>21</v>
      </c>
      <c r="L86" t="s">
        <v>81</v>
      </c>
      <c r="M86">
        <v>3.15E8</v>
      </c>
      <c r="N86">
        <v>1.021103568E9</v>
      </c>
    </row>
    <row r="87">
      <c r="H87">
        <v>32.0</v>
      </c>
      <c r="I87" t="s">
        <v>82</v>
      </c>
      <c r="J87" t="s">
        <v>56</v>
      </c>
      <c r="K87">
        <v>2008.0</v>
      </c>
      <c r="L87" t="s">
        <v>57</v>
      </c>
      <c r="M87">
        <v>1.85E8</v>
      </c>
      <c r="N87">
        <v>1.004558444E9</v>
      </c>
    </row>
    <row r="88">
      <c r="H88">
        <v>33.0</v>
      </c>
      <c r="I88" t="s">
        <v>83</v>
      </c>
      <c r="J88" t="s">
        <v>84</v>
      </c>
      <c r="K88">
        <v>2001.0</v>
      </c>
      <c r="L88" t="s">
        <v>28</v>
      </c>
      <c r="M88">
        <v>1.0E8</v>
      </c>
      <c r="N88">
        <v>9.74755371E8</v>
      </c>
    </row>
    <row r="89">
      <c r="H89">
        <v>34.0</v>
      </c>
      <c r="I89" t="s">
        <v>85</v>
      </c>
      <c r="J89" t="s">
        <v>86</v>
      </c>
      <c r="K89" t="s">
        <v>34</v>
      </c>
      <c r="L89" t="s">
        <v>10</v>
      </c>
      <c r="M89">
        <v>7.6E7</v>
      </c>
      <c r="N89">
        <v>9.70761885E8</v>
      </c>
    </row>
    <row r="90">
      <c r="H90">
        <v>35.0</v>
      </c>
      <c r="I90" t="s">
        <v>87</v>
      </c>
      <c r="J90" t="s">
        <v>88</v>
      </c>
      <c r="K90" t="s">
        <v>89</v>
      </c>
      <c r="L90" t="s">
        <v>10</v>
      </c>
      <c r="M90">
        <v>6.5E7</v>
      </c>
      <c r="N90">
        <v>9.68483777E8</v>
      </c>
    </row>
    <row r="91">
      <c r="H91">
        <v>36.0</v>
      </c>
      <c r="I91" t="s">
        <v>90</v>
      </c>
      <c r="J91" t="s">
        <v>91</v>
      </c>
      <c r="K91" t="s">
        <v>45</v>
      </c>
      <c r="L91" t="s">
        <v>10</v>
      </c>
      <c r="M91">
        <v>1.75E8</v>
      </c>
      <c r="N91">
        <v>9.665506E8</v>
      </c>
    </row>
    <row r="92">
      <c r="H92">
        <v>37.0</v>
      </c>
      <c r="I92" t="s">
        <v>92</v>
      </c>
      <c r="J92" t="s">
        <v>59</v>
      </c>
      <c r="K92">
        <v>2007.0</v>
      </c>
      <c r="L92" t="s">
        <v>10</v>
      </c>
      <c r="M92">
        <v>3.0E8</v>
      </c>
      <c r="N92">
        <v>9.63420425E8</v>
      </c>
    </row>
    <row r="93">
      <c r="H93">
        <v>38.0</v>
      </c>
      <c r="I93" t="s">
        <v>93</v>
      </c>
      <c r="J93" t="s">
        <v>26</v>
      </c>
      <c r="K93">
        <v>2010.0</v>
      </c>
      <c r="L93" t="s">
        <v>28</v>
      </c>
      <c r="M93">
        <v>1.5E8</v>
      </c>
      <c r="N93">
        <v>9.60283305E8</v>
      </c>
    </row>
    <row r="94">
      <c r="H94">
        <v>39.0</v>
      </c>
      <c r="I94" t="s">
        <v>94</v>
      </c>
      <c r="J94" t="s">
        <v>49</v>
      </c>
      <c r="K94" t="s">
        <v>34</v>
      </c>
      <c r="L94" t="s">
        <v>81</v>
      </c>
      <c r="M94">
        <v>2.25E8</v>
      </c>
      <c r="N94">
        <v>9.58366855E8</v>
      </c>
    </row>
    <row r="95">
      <c r="H95">
        <v>40.0</v>
      </c>
      <c r="I95" t="s">
        <v>95</v>
      </c>
      <c r="J95" t="s">
        <v>49</v>
      </c>
      <c r="K95" t="s">
        <v>54</v>
      </c>
      <c r="L95" t="s">
        <v>81</v>
      </c>
      <c r="M95">
        <v>2.5E8</v>
      </c>
      <c r="N95">
        <v>9.56019788E8</v>
      </c>
    </row>
    <row r="96">
      <c r="H96">
        <v>41.0</v>
      </c>
      <c r="I96" t="s">
        <v>96</v>
      </c>
      <c r="J96" t="s">
        <v>26</v>
      </c>
      <c r="K96">
        <v>2007.0</v>
      </c>
      <c r="L96" t="s">
        <v>28</v>
      </c>
      <c r="M96">
        <v>1.5E8</v>
      </c>
      <c r="N96">
        <v>9.39885929E8</v>
      </c>
    </row>
    <row r="97">
      <c r="H97">
        <v>42.0</v>
      </c>
      <c r="I97" t="s">
        <v>97</v>
      </c>
      <c r="J97" t="s">
        <v>72</v>
      </c>
      <c r="K97" t="s">
        <v>98</v>
      </c>
      <c r="L97" t="s">
        <v>10</v>
      </c>
      <c r="M97">
        <v>9.3E7</v>
      </c>
      <c r="N97">
        <v>9.36743261E8</v>
      </c>
    </row>
    <row r="98">
      <c r="H98">
        <v>43.0</v>
      </c>
      <c r="I98" t="s">
        <v>99</v>
      </c>
      <c r="J98" t="s">
        <v>26</v>
      </c>
      <c r="K98">
        <v>2009.0</v>
      </c>
      <c r="L98" t="s">
        <v>28</v>
      </c>
      <c r="M98">
        <v>2.5E8</v>
      </c>
      <c r="N98">
        <v>9.34416487E8</v>
      </c>
    </row>
    <row r="99">
      <c r="H99">
        <v>44.0</v>
      </c>
      <c r="I99" t="s">
        <v>100</v>
      </c>
      <c r="J99" t="s">
        <v>49</v>
      </c>
      <c r="K99">
        <v>2002.0</v>
      </c>
      <c r="L99" t="s">
        <v>50</v>
      </c>
      <c r="M99">
        <v>9.4E7</v>
      </c>
      <c r="N99">
        <v>9.26047111E8</v>
      </c>
    </row>
    <row r="100">
      <c r="H100">
        <v>45.0</v>
      </c>
      <c r="I100" t="s">
        <v>101</v>
      </c>
      <c r="J100" t="s">
        <v>102</v>
      </c>
      <c r="K100">
        <v>2004.0</v>
      </c>
      <c r="L100" t="s">
        <v>10</v>
      </c>
      <c r="M100">
        <v>1.5E8</v>
      </c>
      <c r="N100">
        <v>9.19838758E8</v>
      </c>
    </row>
    <row r="101">
      <c r="H101">
        <v>46.0</v>
      </c>
      <c r="I101" t="s">
        <v>103</v>
      </c>
      <c r="J101" t="s">
        <v>104</v>
      </c>
      <c r="K101">
        <v>2005.0</v>
      </c>
      <c r="L101" t="s">
        <v>28</v>
      </c>
      <c r="M101">
        <v>1.5E8</v>
      </c>
      <c r="N101">
        <v>8.96911078E8</v>
      </c>
    </row>
    <row r="102">
      <c r="H102">
        <v>47.0</v>
      </c>
      <c r="I102" t="s">
        <v>105</v>
      </c>
      <c r="J102" t="s">
        <v>106</v>
      </c>
      <c r="K102">
        <v>2007.0</v>
      </c>
      <c r="L102" t="s">
        <v>10</v>
      </c>
      <c r="M102">
        <v>2.58E8</v>
      </c>
      <c r="N102">
        <v>8.90871626E8</v>
      </c>
    </row>
    <row r="103">
      <c r="H103">
        <v>48.0</v>
      </c>
      <c r="I103" t="s">
        <v>107</v>
      </c>
      <c r="J103" t="s">
        <v>108</v>
      </c>
      <c r="K103" t="s">
        <v>9</v>
      </c>
      <c r="L103" t="s">
        <v>10</v>
      </c>
      <c r="M103">
        <v>9.0E7</v>
      </c>
      <c r="N103">
        <v>8.86686817E8</v>
      </c>
    </row>
    <row r="104">
      <c r="H104">
        <v>49.0</v>
      </c>
      <c r="I104" t="s">
        <v>109</v>
      </c>
      <c r="J104" t="s">
        <v>52</v>
      </c>
      <c r="K104">
        <v>2015.0</v>
      </c>
      <c r="L104" t="s">
        <v>110</v>
      </c>
      <c r="M104">
        <v>2.5E8</v>
      </c>
      <c r="N104">
        <v>8.80674609E8</v>
      </c>
    </row>
    <row r="105">
      <c r="H105">
        <v>50.0</v>
      </c>
      <c r="I105" t="s">
        <v>111</v>
      </c>
      <c r="J105" t="s">
        <v>112</v>
      </c>
      <c r="K105" t="s">
        <v>31</v>
      </c>
      <c r="L105" t="s">
        <v>10</v>
      </c>
      <c r="M105">
        <v>1.75E8</v>
      </c>
      <c r="N105">
        <v>8.80166924E8</v>
      </c>
    </row>
    <row r="106">
      <c r="H106">
        <v>51.0</v>
      </c>
      <c r="I106" t="s">
        <v>113</v>
      </c>
      <c r="J106" t="s">
        <v>114</v>
      </c>
      <c r="K106">
        <v>2002.0</v>
      </c>
      <c r="L106" t="s">
        <v>115</v>
      </c>
      <c r="M106">
        <v>1.0E8</v>
      </c>
      <c r="N106">
        <v>8.78979634E8</v>
      </c>
    </row>
    <row r="107">
      <c r="H107">
        <v>52.0</v>
      </c>
      <c r="I107" t="s">
        <v>116</v>
      </c>
      <c r="J107" t="s">
        <v>117</v>
      </c>
      <c r="K107" t="s">
        <v>21</v>
      </c>
      <c r="L107" t="s">
        <v>10</v>
      </c>
      <c r="M107">
        <v>9.5E7</v>
      </c>
      <c r="N107">
        <v>8.77244782E8</v>
      </c>
    </row>
    <row r="108">
      <c r="H108">
        <v>53.0</v>
      </c>
      <c r="I108" t="s">
        <v>118</v>
      </c>
      <c r="J108" t="s">
        <v>119</v>
      </c>
      <c r="K108" t="s">
        <v>45</v>
      </c>
      <c r="L108" t="s">
        <v>10</v>
      </c>
      <c r="M108">
        <v>7.5E7</v>
      </c>
      <c r="N108">
        <v>8.75457937E8</v>
      </c>
    </row>
    <row r="109">
      <c r="H109">
        <v>54.0</v>
      </c>
      <c r="I109" t="s">
        <v>120</v>
      </c>
      <c r="J109" t="s">
        <v>121</v>
      </c>
      <c r="K109" t="s">
        <v>45</v>
      </c>
      <c r="L109" t="s">
        <v>10</v>
      </c>
      <c r="M109">
        <v>2.5E8</v>
      </c>
      <c r="N109">
        <v>8.73260194E8</v>
      </c>
    </row>
    <row r="110">
      <c r="H110">
        <v>55.0</v>
      </c>
      <c r="I110" t="s">
        <v>122</v>
      </c>
      <c r="J110" t="s">
        <v>49</v>
      </c>
      <c r="K110">
        <v>2001.0</v>
      </c>
      <c r="L110" t="s">
        <v>50</v>
      </c>
      <c r="M110">
        <v>9.3E7</v>
      </c>
      <c r="N110">
        <v>8.71530324E8</v>
      </c>
    </row>
    <row r="111">
      <c r="H111">
        <v>56.0</v>
      </c>
      <c r="I111" t="s">
        <v>123</v>
      </c>
      <c r="J111" t="s">
        <v>124</v>
      </c>
      <c r="K111">
        <v>2017.0</v>
      </c>
      <c r="L111" t="s">
        <v>125</v>
      </c>
      <c r="M111">
        <v>3.01E7</v>
      </c>
      <c r="N111">
        <v>8.70325439E8</v>
      </c>
    </row>
    <row r="112">
      <c r="H112">
        <v>57.0</v>
      </c>
      <c r="I112" t="s">
        <v>126</v>
      </c>
      <c r="J112" t="s">
        <v>127</v>
      </c>
      <c r="K112">
        <v>2013.0</v>
      </c>
      <c r="L112" t="s">
        <v>10</v>
      </c>
      <c r="M112">
        <v>1.3E8</v>
      </c>
      <c r="N112">
        <v>8.65011746E8</v>
      </c>
    </row>
    <row r="113">
      <c r="H113">
        <v>58.0</v>
      </c>
      <c r="I113" t="s">
        <v>128</v>
      </c>
      <c r="J113" t="s">
        <v>129</v>
      </c>
      <c r="K113" t="s">
        <v>31</v>
      </c>
      <c r="L113" t="s">
        <v>10</v>
      </c>
      <c r="M113">
        <v>2.0E8</v>
      </c>
      <c r="N113">
        <v>8.63562289E8</v>
      </c>
    </row>
    <row r="114">
      <c r="H114">
        <v>59.0</v>
      </c>
      <c r="I114" t="s">
        <v>130</v>
      </c>
      <c r="J114" t="s">
        <v>131</v>
      </c>
      <c r="K114" t="s">
        <v>16</v>
      </c>
      <c r="L114" t="s">
        <v>10</v>
      </c>
      <c r="M114">
        <v>1.75E8</v>
      </c>
      <c r="N114">
        <v>8.57611174E8</v>
      </c>
    </row>
    <row r="115">
      <c r="H115">
        <v>60.0</v>
      </c>
      <c r="I115" t="s">
        <v>132</v>
      </c>
      <c r="J115" t="s">
        <v>133</v>
      </c>
      <c r="K115" t="s">
        <v>31</v>
      </c>
      <c r="L115" t="s">
        <v>10</v>
      </c>
      <c r="M115">
        <v>1.8E8</v>
      </c>
      <c r="N115">
        <v>8.51510421E8</v>
      </c>
    </row>
    <row r="116">
      <c r="H116">
        <v>61.0</v>
      </c>
      <c r="I116" t="s">
        <v>134</v>
      </c>
      <c r="J116" t="s">
        <v>74</v>
      </c>
      <c r="K116">
        <v>2005.0</v>
      </c>
      <c r="L116" t="s">
        <v>10</v>
      </c>
      <c r="M116">
        <v>1.13E8</v>
      </c>
      <c r="N116">
        <v>8.48754768E8</v>
      </c>
    </row>
    <row r="117">
      <c r="H117">
        <v>62.0</v>
      </c>
      <c r="I117" t="s">
        <v>135</v>
      </c>
      <c r="J117" t="s">
        <v>47</v>
      </c>
      <c r="K117">
        <v>2009.0</v>
      </c>
      <c r="L117" t="s">
        <v>10</v>
      </c>
      <c r="M117">
        <v>2.0E8</v>
      </c>
      <c r="N117">
        <v>8.36303693E8</v>
      </c>
    </row>
    <row r="118">
      <c r="H118">
        <v>63.0</v>
      </c>
      <c r="I118" t="s">
        <v>136</v>
      </c>
      <c r="J118" t="s">
        <v>36</v>
      </c>
      <c r="K118">
        <v>2012.0</v>
      </c>
      <c r="L118" t="s">
        <v>10</v>
      </c>
      <c r="M118">
        <v>1.2E8</v>
      </c>
      <c r="N118">
        <v>8.29224737E8</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38"/>
    <col customWidth="1" min="3" max="3" width="14.5"/>
    <col customWidth="1" min="4" max="5" width="0.38"/>
    <col customWidth="1" min="6" max="6" width="0.75"/>
    <col customWidth="1" min="7" max="7" width="0.88"/>
  </cols>
  <sheetData>
    <row r="1">
      <c r="A1" s="7" t="str">
        <f>IFERROR(__xludf.DUMMYFUNCTION("importhtml(""https://fr.wikipedia.org/wiki/Jean-Vincent_Placé"", ""table"", 1)"),"Jean-Vincent Placé")</f>
        <v>Jean-Vincent Placé</v>
      </c>
      <c r="D1" s="1" t="s">
        <v>137</v>
      </c>
      <c r="H1" s="1" t="s">
        <v>138</v>
      </c>
    </row>
    <row r="2">
      <c r="A2" t="str">
        <f>IFERROR(__xludf.DUMMYFUNCTION("""COMPUTED_VALUE"""),"Jean-Vincent Placé en 2011.")</f>
        <v>Jean-Vincent Placé en 2011.</v>
      </c>
      <c r="B2" s="1"/>
      <c r="H2" s="1" t="s">
        <v>139</v>
      </c>
    </row>
    <row r="3">
      <c r="A3" t="str">
        <f>IFERROR(__xludf.DUMMYFUNCTION("""COMPUTED_VALUE"""),"Fonctions")</f>
        <v>Fonctions</v>
      </c>
      <c r="D3" s="8"/>
      <c r="E3" s="1"/>
      <c r="G3" s="1"/>
      <c r="H3" s="1" t="s">
        <v>140</v>
      </c>
      <c r="I3" s="1" t="s">
        <v>138</v>
      </c>
    </row>
    <row r="4">
      <c r="A4" t="str">
        <f>IFERROR(__xludf.DUMMYFUNCTION("""COMPUTED_VALUE"""),"Conseiller régional d’Île-de-France")</f>
        <v>Conseiller régional d’Île-de-France</v>
      </c>
      <c r="B4" s="8"/>
      <c r="D4" s="1"/>
      <c r="F4" s="8"/>
      <c r="H4" s="9" t="s">
        <v>141</v>
      </c>
      <c r="I4" s="1">
        <v>1951.0</v>
      </c>
    </row>
    <row r="5">
      <c r="A5" t="str">
        <f>IFERROR(__xludf.DUMMYFUNCTION("""COMPUTED_VALUE"""),"*28mars2004 – 27juin2021(17 ans, 2 mois et 30 jours)*")</f>
        <v>*28mars2004 – 27juin2021(17 ans, 2 mois et 30 jours)*</v>
      </c>
      <c r="C5" s="8"/>
      <c r="H5" s="1" t="s">
        <v>142</v>
      </c>
    </row>
    <row r="6">
      <c r="A6" t="str">
        <f>IFERROR(__xludf.DUMMYFUNCTION("""COMPUTED_VALUE"""),"Élection")</f>
        <v>Élection</v>
      </c>
      <c r="B6" s="6">
        <f>IFERROR(__xludf.DUMMYFUNCTION("""COMPUTED_VALUE"""),38074.0)</f>
        <v>38074</v>
      </c>
      <c r="C6" s="1"/>
      <c r="H6" s="1" t="s">
        <v>143</v>
      </c>
    </row>
    <row r="7">
      <c r="A7" t="str">
        <f>IFERROR(__xludf.DUMMYFUNCTION("""COMPUTED_VALUE"""),"Réélection")</f>
        <v>Réélection</v>
      </c>
      <c r="B7" t="str">
        <f>IFERROR(__xludf.DUMMYFUNCTION("""COMPUTED_VALUE"""),"21 mars 2010
13 décembre 2015")</f>
        <v>21 mars 2010
13 décembre 2015</v>
      </c>
      <c r="H7" s="1" t="s">
        <v>144</v>
      </c>
    </row>
    <row r="8">
      <c r="A8" s="8" t="str">
        <f>IFERROR(__xludf.DUMMYFUNCTION("""COMPUTED_VALUE"""),"Circonscription")</f>
        <v>Circonscription</v>
      </c>
      <c r="B8" t="str">
        <f>IFERROR(__xludf.DUMMYFUNCTION("""COMPUTED_VALUE"""),"Essonne")</f>
        <v>Essonne</v>
      </c>
      <c r="F8" s="1"/>
      <c r="H8" s="1" t="s">
        <v>145</v>
      </c>
    </row>
    <row r="9">
      <c r="A9" t="str">
        <f>IFERROR(__xludf.DUMMYFUNCTION("""COMPUTED_VALUE"""),"Sénateur français")</f>
        <v>Sénateur français</v>
      </c>
      <c r="H9" s="1" t="s">
        <v>146</v>
      </c>
    </row>
    <row r="10">
      <c r="A10" t="str">
        <f>IFERROR(__xludf.DUMMYFUNCTION("""COMPUTED_VALUE"""),"*18juin – 1eroctobre2017(3 mois et 13 jours)*")</f>
        <v>*18juin – 1eroctobre2017(3 mois et 13 jours)*</v>
      </c>
      <c r="D10" s="1"/>
      <c r="H10" s="1" t="s">
        <v>147</v>
      </c>
      <c r="I10" s="1" t="s">
        <v>148</v>
      </c>
      <c r="K10" s="8"/>
    </row>
    <row r="11">
      <c r="A11" t="str">
        <f>IFERROR(__xludf.DUMMYFUNCTION("""COMPUTED_VALUE"""),"Circonscription")</f>
        <v>Circonscription</v>
      </c>
      <c r="B11" t="str">
        <f>IFERROR(__xludf.DUMMYFUNCTION("""COMPUTED_VALUE"""),"Essonne")</f>
        <v>Essonne</v>
      </c>
      <c r="D11" s="1"/>
      <c r="H11" s="1" t="s">
        <v>149</v>
      </c>
    </row>
    <row r="12">
      <c r="A12" t="str">
        <f>IFERROR(__xludf.DUMMYFUNCTION("""COMPUTED_VALUE"""),"Groupe politique")</f>
        <v>Groupe politique</v>
      </c>
      <c r="B12" t="str">
        <f>IFERROR(__xludf.DUMMYFUNCTION("""COMPUTED_VALUE"""),"SOCR")</f>
        <v>SOCR</v>
      </c>
      <c r="D12" s="8"/>
      <c r="H12" s="1" t="s">
        <v>150</v>
      </c>
    </row>
    <row r="13">
      <c r="A13" t="str">
        <f>IFERROR(__xludf.DUMMYFUNCTION("""COMPUTED_VALUE"""),"Prédécesseur")</f>
        <v>Prédécesseur</v>
      </c>
      <c r="B13" t="str">
        <f>IFERROR(__xludf.DUMMYFUNCTION("""COMPUTED_VALUE"""),"Bernard Vera")</f>
        <v>Bernard Vera</v>
      </c>
      <c r="H13" s="1" t="s">
        <v>151</v>
      </c>
    </row>
    <row r="14">
      <c r="A14" t="str">
        <f>IFERROR(__xludf.DUMMYFUNCTION("""COMPUTED_VALUE"""),"*1eroctobre2011 – 11mars2016(4 ans, 5 mois et 10 jours)*")</f>
        <v>*1eroctobre2011 – 11mars2016(4 ans, 5 mois et 10 jours)*</v>
      </c>
      <c r="H14" s="1" t="s">
        <v>152</v>
      </c>
    </row>
    <row r="15">
      <c r="A15" t="str">
        <f>IFERROR(__xludf.DUMMYFUNCTION("""COMPUTED_VALUE"""),"Élection")</f>
        <v>Élection</v>
      </c>
      <c r="B15" s="6">
        <f>IFERROR(__xludf.DUMMYFUNCTION("""COMPUTED_VALUE"""),40811.0)</f>
        <v>40811</v>
      </c>
    </row>
    <row r="16">
      <c r="A16" t="str">
        <f>IFERROR(__xludf.DUMMYFUNCTION("""COMPUTED_VALUE"""),"Circonscription")</f>
        <v>Circonscription</v>
      </c>
      <c r="B16" t="str">
        <f>IFERROR(__xludf.DUMMYFUNCTION("""COMPUTED_VALUE"""),"Essonne")</f>
        <v>Essonne</v>
      </c>
    </row>
    <row r="17">
      <c r="A17" t="str">
        <f>IFERROR(__xludf.DUMMYFUNCTION("""COMPUTED_VALUE"""),"Groupe politique")</f>
        <v>Groupe politique</v>
      </c>
      <c r="B17" t="str">
        <f>IFERROR(__xludf.DUMMYFUNCTION("""COMPUTED_VALUE"""),"SOC(2011-2012)
ECO(2012-2016)")</f>
        <v>SOC(2011-2012)
ECO(2012-2016)</v>
      </c>
    </row>
    <row r="18">
      <c r="A18" t="str">
        <f>IFERROR(__xludf.DUMMYFUNCTION("""COMPUTED_VALUE"""),"Successeur")</f>
        <v>Successeur</v>
      </c>
      <c r="B18" t="str">
        <f>IFERROR(__xludf.DUMMYFUNCTION("""COMPUTED_VALUE"""),"Bernard Vera")</f>
        <v>Bernard Vera</v>
      </c>
      <c r="H18" s="7"/>
    </row>
    <row r="19">
      <c r="A19" t="str">
        <f>IFERROR(__xludf.DUMMYFUNCTION("""COMPUTED_VALUE"""),"Secrétaire d'État chargé de la Réforme de l'État et de la Simplification")</f>
        <v>Secrétaire d'État chargé de la Réforme de l'État et de la Simplification</v>
      </c>
      <c r="B19" s="8"/>
    </row>
    <row r="20">
      <c r="A20" t="str">
        <f>IFERROR(__xludf.DUMMYFUNCTION("""COMPUTED_VALUE"""),"*11février2016 – 10mai2017(1 an, 2 mois et 29 jours)*")</f>
        <v>*11février2016 – 10mai2017(1 an, 2 mois et 29 jours)*</v>
      </c>
    </row>
    <row r="21">
      <c r="A21" t="str">
        <f>IFERROR(__xludf.DUMMYFUNCTION("""COMPUTED_VALUE"""),"Président")</f>
        <v>Président</v>
      </c>
      <c r="B21" t="str">
        <f>IFERROR(__xludf.DUMMYFUNCTION("""COMPUTED_VALUE"""),"François Hollande")</f>
        <v>François Hollande</v>
      </c>
    </row>
    <row r="22">
      <c r="A22" t="str">
        <f>IFERROR(__xludf.DUMMYFUNCTION("""COMPUTED_VALUE"""),"Premier ministre")</f>
        <v>Premier ministre</v>
      </c>
      <c r="B22" t="str">
        <f>IFERROR(__xludf.DUMMYFUNCTION("""COMPUTED_VALUE"""),"Manuel Valls
Bernard Cazeneuve")</f>
        <v>Manuel Valls
Bernard Cazeneuve</v>
      </c>
    </row>
    <row r="23">
      <c r="A23" t="str">
        <f>IFERROR(__xludf.DUMMYFUNCTION("""COMPUTED_VALUE"""),"Gouvernement")</f>
        <v>Gouvernement</v>
      </c>
      <c r="B23" t="str">
        <f>IFERROR(__xludf.DUMMYFUNCTION("""COMPUTED_VALUE"""),"Valls II
Cazeneuve")</f>
        <v>Valls II
Cazeneuve</v>
      </c>
    </row>
    <row r="24">
      <c r="A24" t="str">
        <f>IFERROR(__xludf.DUMMYFUNCTION("""COMPUTED_VALUE"""),"Prédécesseur")</f>
        <v>Prédécesseur</v>
      </c>
      <c r="B24" t="str">
        <f>IFERROR(__xludf.DUMMYFUNCTION("""COMPUTED_VALUE"""),"Clotilde Valter")</f>
        <v>Clotilde Valter</v>
      </c>
    </row>
    <row r="25">
      <c r="A25" t="str">
        <f>IFERROR(__xludf.DUMMYFUNCTION("""COMPUTED_VALUE"""),"Successeur")</f>
        <v>Successeur</v>
      </c>
      <c r="B25" t="str">
        <f>IFERROR(__xludf.DUMMYFUNCTION("""COMPUTED_VALUE"""),"Gérald Darmanin")</f>
        <v>Gérald Darmanin</v>
      </c>
    </row>
    <row r="26">
      <c r="A26" t="str">
        <f>IFERROR(__xludf.DUMMYFUNCTION("""COMPUTED_VALUE"""),"Président de l’Union des démocrates et des écologistes")</f>
        <v>Président de l’Union des démocrates et des écologistes</v>
      </c>
    </row>
    <row r="27">
      <c r="A27" t="str">
        <f>IFERROR(__xludf.DUMMYFUNCTION("""COMPUTED_VALUE"""),"*17octobre2015 – 10avril2018(2 ans, 5 mois et 24 jours)*")</f>
        <v>*17octobre2015 – 10avril2018(2 ans, 5 mois et 24 jours)*</v>
      </c>
    </row>
    <row r="28">
      <c r="A28" t="str">
        <f>IFERROR(__xludf.DUMMYFUNCTION("""COMPUTED_VALUE"""),"Vice-président")</f>
        <v>Vice-président</v>
      </c>
      <c r="B28" t="str">
        <f>IFERROR(__xludf.DUMMYFUNCTION("""COMPUTED_VALUE"""),"Jean-Luc Bennahmias")</f>
        <v>Jean-Luc Bennahmias</v>
      </c>
    </row>
    <row r="29">
      <c r="A29" t="str">
        <f>IFERROR(__xludf.DUMMYFUNCTION("""COMPUTED_VALUE"""),"Secrétaire général")</f>
        <v>Secrétaire général</v>
      </c>
      <c r="B29" t="str">
        <f>IFERROR(__xludf.DUMMYFUNCTION("""COMPUTED_VALUE"""),"Christophe Madrolle")</f>
        <v>Christophe Madrolle</v>
      </c>
    </row>
    <row r="30">
      <c r="A30" t="str">
        <f>IFERROR(__xludf.DUMMYFUNCTION("""COMPUTED_VALUE"""),"Prédécesseur")</f>
        <v>Prédécesseur</v>
      </c>
      <c r="B30" t="str">
        <f>IFERROR(__xludf.DUMMYFUNCTION("""COMPUTED_VALUE"""),"*Parti créé*")</f>
        <v>*Parti créé*</v>
      </c>
    </row>
    <row r="31">
      <c r="A31" t="str">
        <f>IFERROR(__xludf.DUMMYFUNCTION("""COMPUTED_VALUE"""),"Successeur")</f>
        <v>Successeur</v>
      </c>
      <c r="B31" t="str">
        <f>IFERROR(__xludf.DUMMYFUNCTION("""COMPUTED_VALUE"""),"*Vacant*")</f>
        <v>*Vacant*</v>
      </c>
    </row>
    <row r="32">
      <c r="A32" t="str">
        <f>IFERROR(__xludf.DUMMYFUNCTION("""COMPUTED_VALUE"""),"Président du groupe écologiste au Sénat")</f>
        <v>Président du groupe écologiste au Sénat</v>
      </c>
    </row>
    <row r="33">
      <c r="A33" t="str">
        <f>IFERROR(__xludf.DUMMYFUNCTION("""COMPUTED_VALUE"""),"*11janvier2012 – 14février2016(4 ans, 1 mois et 3 jours)*")</f>
        <v>*11janvier2012 – 14février2016(4 ans, 1 mois et 3 jours)*</v>
      </c>
    </row>
    <row r="34">
      <c r="A34" t="str">
        <f>IFERROR(__xludf.DUMMYFUNCTION("""COMPUTED_VALUE"""),"Avec")</f>
        <v>Avec</v>
      </c>
      <c r="B34" t="str">
        <f>IFERROR(__xludf.DUMMYFUNCTION("""COMPUTED_VALUE"""),"Corinne Bouchoux(2015)")</f>
        <v>Corinne Bouchoux(2015)</v>
      </c>
    </row>
    <row r="35">
      <c r="A35" t="str">
        <f>IFERROR(__xludf.DUMMYFUNCTION("""COMPUTED_VALUE"""),"Prédécesseur")</f>
        <v>Prédécesseur</v>
      </c>
      <c r="B35" t="str">
        <f>IFERROR(__xludf.DUMMYFUNCTION("""COMPUTED_VALUE"""),"*Groupe créé*")</f>
        <v>*Groupe créé*</v>
      </c>
    </row>
    <row r="36">
      <c r="A36" t="str">
        <f>IFERROR(__xludf.DUMMYFUNCTION("""COMPUTED_VALUE"""),"Successeur")</f>
        <v>Successeur</v>
      </c>
      <c r="B36" t="str">
        <f>IFERROR(__xludf.DUMMYFUNCTION("""COMPUTED_VALUE"""),"Corinne Bouchoux")</f>
        <v>Corinne Bouchoux</v>
      </c>
    </row>
    <row r="37">
      <c r="A37" t="str">
        <f>IFERROR(__xludf.DUMMYFUNCTION("""COMPUTED_VALUE"""),"Biographie")</f>
        <v>Biographie</v>
      </c>
    </row>
    <row r="38">
      <c r="A38" t="str">
        <f>IFERROR(__xludf.DUMMYFUNCTION("""COMPUTED_VALUE"""),"Nom de naissance")</f>
        <v>Nom de naissance</v>
      </c>
      <c r="B38" t="str">
        <f>IFERROR(__xludf.DUMMYFUNCTION("""COMPUTED_VALUE"""),"Kwon Oh bok")</f>
        <v>Kwon Oh bok</v>
      </c>
    </row>
    <row r="39">
      <c r="A39" t="str">
        <f>IFERROR(__xludf.DUMMYFUNCTION("""COMPUTED_VALUE"""),"Date de naissance")</f>
        <v>Date de naissance</v>
      </c>
      <c r="B39" t="str">
        <f>IFERROR(__xludf.DUMMYFUNCTION("""COMPUTED_VALUE"""),"12mars1968(57 ans)")</f>
        <v>12mars1968(57 ans)</v>
      </c>
    </row>
    <row r="40">
      <c r="A40" t="str">
        <f>IFERROR(__xludf.DUMMYFUNCTION("""COMPUTED_VALUE"""),"Lieu de naissance")</f>
        <v>Lieu de naissance</v>
      </c>
      <c r="B40" t="str">
        <f>IFERROR(__xludf.DUMMYFUNCTION("""COMPUTED_VALUE"""),"Séoul (Corée du Sud)")</f>
        <v>Séoul (Corée du Sud)</v>
      </c>
    </row>
    <row r="41">
      <c r="A41" t="str">
        <f>IFERROR(__xludf.DUMMYFUNCTION("""COMPUTED_VALUE"""),"Nationalité")</f>
        <v>Nationalité</v>
      </c>
      <c r="B41" t="str">
        <f>IFERROR(__xludf.DUMMYFUNCTION("""COMPUTED_VALUE"""),"Française")</f>
        <v>Française</v>
      </c>
    </row>
    <row r="42">
      <c r="A42" t="str">
        <f>IFERROR(__xludf.DUMMYFUNCTION("""COMPUTED_VALUE"""),"Parti politique")</f>
        <v>Parti politique</v>
      </c>
      <c r="B42" t="str">
        <f>IFERROR(__xludf.DUMMYFUNCTION("""COMPUTED_VALUE"""),"RAD/PRS/PRG(1992-2001)
LV(2001-2010)
EÉLV(2010-2015)
UDE(2015-2018)
PÉ(depuis 2015)")</f>
        <v>RAD/PRS/PRG(1992-2001)
LV(2001-2010)
EÉLV(2010-2015)
UDE(2015-2018)
PÉ(depuis 2015)</v>
      </c>
    </row>
    <row r="43">
      <c r="A43" t="str">
        <f>IFERROR(__xludf.DUMMYFUNCTION("""COMPUTED_VALUE"""),"Conjoint")</f>
        <v>Conjoint</v>
      </c>
      <c r="B43" t="str">
        <f>IFERROR(__xludf.DUMMYFUNCTION("""COMPUTED_VALUE"""),"Cécile Duflot(séparés)
Éva Sas(séparés)")</f>
        <v>Cécile Duflot(séparés)
Éva Sas(séparés)</v>
      </c>
    </row>
    <row r="44">
      <c r="A44" t="str">
        <f>IFERROR(__xludf.DUMMYFUNCTION("""COMPUTED_VALUE"""),"Profession")</f>
        <v>Profession</v>
      </c>
      <c r="B44" t="str">
        <f>IFERROR(__xludf.DUMMYFUNCTION("""COMPUTED_VALUE"""),"Auditeur financier")</f>
        <v>Auditeur financier</v>
      </c>
    </row>
    <row r="45">
      <c r="A45" t="str">
        <f>IFERROR(__xludf.DUMMYFUNCTION("""COMPUTED_VALUE"""),"modifier")</f>
        <v>modifier</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t="str">
        <f>IFERROR(__xludf.DUMMYFUNCTION("IMPORTHTML(""https://fr.wikipedia.org/wiki/Liste_des_plus_gros_succ%C3%A8s_du_box-office_mondial"",""table"",1) "),"Rang")</f>
        <v>Rang</v>
      </c>
      <c r="B1" t="str">
        <f>IFERROR(__xludf.DUMMYFUNCTION("""COMPUTED_VALUE"""),"Meilleur
rang")</f>
        <v>Meilleur
rang</v>
      </c>
      <c r="C1" t="str">
        <f>IFERROR(__xludf.DUMMYFUNCTION("""COMPUTED_VALUE"""),"Titre")</f>
        <v>Titre</v>
      </c>
      <c r="D1" t="str">
        <f>IFERROR(__xludf.DUMMYFUNCTION("""COMPUTED_VALUE"""),"Réalisateur")</f>
        <v>Réalisateur</v>
      </c>
      <c r="E1" t="str">
        <f>IFERROR(__xludf.DUMMYFUNCTION("""COMPUTED_VALUE"""),"Année")</f>
        <v>Année</v>
      </c>
      <c r="F1" t="str">
        <f>IFERROR(__xludf.DUMMYFUNCTION("""COMPUTED_VALUE"""),"Pays de
production")</f>
        <v>Pays de
production</v>
      </c>
      <c r="G1" t="str">
        <f>IFERROR(__xludf.DUMMYFUNCTION("""COMPUTED_VALUE"""),"Recettes")</f>
        <v>Recettes</v>
      </c>
    </row>
    <row r="2">
      <c r="A2">
        <f>IFERROR(__xludf.DUMMYFUNCTION("""COMPUTED_VALUE"""),1.0)</f>
        <v>1</v>
      </c>
      <c r="B2">
        <f>IFERROR(__xludf.DUMMYFUNCTION("""COMPUTED_VALUE"""),1.0)</f>
        <v>1</v>
      </c>
      <c r="C2" t="str">
        <f>IFERROR(__xludf.DUMMYFUNCTION("""COMPUTED_VALUE"""),"*Avatar*")</f>
        <v>*Avatar*</v>
      </c>
      <c r="D2" t="str">
        <f>IFERROR(__xludf.DUMMYFUNCTION("""COMPUTED_VALUE"""),"James Cameron")</f>
        <v>James Cameron</v>
      </c>
      <c r="E2">
        <f>IFERROR(__xludf.DUMMYFUNCTION("""COMPUTED_VALUE"""),2009.0)</f>
        <v>2009</v>
      </c>
      <c r="F2" t="str">
        <f>IFERROR(__xludf.DUMMYFUNCTION("""COMPUTED_VALUE"""),"États-Unis")</f>
        <v>États-Unis</v>
      </c>
      <c r="G2" t="str">
        <f>IFERROR(__xludf.DUMMYFUNCTION("""COMPUTED_VALUE"""),"2 923 710 708 $[a 2]")</f>
        <v>2 923 710 708 $[a 2]</v>
      </c>
    </row>
    <row r="3">
      <c r="A3">
        <f>IFERROR(__xludf.DUMMYFUNCTION("""COMPUTED_VALUE"""),2.0)</f>
        <v>2</v>
      </c>
      <c r="B3">
        <f>IFERROR(__xludf.DUMMYFUNCTION("""COMPUTED_VALUE"""),1.0)</f>
        <v>1</v>
      </c>
      <c r="C3" t="str">
        <f>IFERROR(__xludf.DUMMYFUNCTION("""COMPUTED_VALUE"""),"*Avengers: Endgame*")</f>
        <v>*Avengers: Endgame*</v>
      </c>
      <c r="D3" t="str">
        <f>IFERROR(__xludf.DUMMYFUNCTION("""COMPUTED_VALUE"""),"Anthony et
Joe Russo")</f>
        <v>Anthony et
Joe Russo</v>
      </c>
      <c r="E3">
        <f>IFERROR(__xludf.DUMMYFUNCTION("""COMPUTED_VALUE"""),2019.0)</f>
        <v>2019</v>
      </c>
      <c r="F3" t="str">
        <f>IFERROR(__xludf.DUMMYFUNCTION("""COMPUTED_VALUE"""),"États-Unis")</f>
        <v>États-Unis</v>
      </c>
      <c r="G3" t="str">
        <f>IFERROR(__xludf.DUMMYFUNCTION("""COMPUTED_VALUE"""),"2 799 439 100 $[a 3]")</f>
        <v>2 799 439 100 $[a 3]</v>
      </c>
    </row>
    <row r="4">
      <c r="A4">
        <f>IFERROR(__xludf.DUMMYFUNCTION("""COMPUTED_VALUE"""),3.0)</f>
        <v>3</v>
      </c>
      <c r="B4">
        <f>IFERROR(__xludf.DUMMYFUNCTION("""COMPUTED_VALUE"""),3.0)</f>
        <v>3</v>
      </c>
      <c r="C4" t="str">
        <f>IFERROR(__xludf.DUMMYFUNCTION("""COMPUTED_VALUE"""),"*Avatar : La Voie de l'eau*")</f>
        <v>*Avatar : La Voie de l'eau*</v>
      </c>
      <c r="D4" t="str">
        <f>IFERROR(__xludf.DUMMYFUNCTION("""COMPUTED_VALUE"""),"James Cameron")</f>
        <v>James Cameron</v>
      </c>
      <c r="E4">
        <f>IFERROR(__xludf.DUMMYFUNCTION("""COMPUTED_VALUE"""),2022.0)</f>
        <v>2022</v>
      </c>
      <c r="F4" t="str">
        <f>IFERROR(__xludf.DUMMYFUNCTION("""COMPUTED_VALUE"""),"États-Unis")</f>
        <v>États-Unis</v>
      </c>
      <c r="G4" t="str">
        <f>IFERROR(__xludf.DUMMYFUNCTION("""COMPUTED_VALUE"""),"2 334 484 620 $[a 4]")</f>
        <v>2 334 484 620 $[a 4]</v>
      </c>
    </row>
    <row r="5">
      <c r="A5">
        <f>IFERROR(__xludf.DUMMYFUNCTION("""COMPUTED_VALUE"""),4.0)</f>
        <v>4</v>
      </c>
      <c r="B5">
        <f>IFERROR(__xludf.DUMMYFUNCTION("""COMPUTED_VALUE"""),1.0)</f>
        <v>1</v>
      </c>
      <c r="C5" t="str">
        <f>IFERROR(__xludf.DUMMYFUNCTION("""COMPUTED_VALUE"""),"*Titanic*")</f>
        <v>*Titanic*</v>
      </c>
      <c r="D5" t="str">
        <f>IFERROR(__xludf.DUMMYFUNCTION("""COMPUTED_VALUE"""),"James Cameron")</f>
        <v>James Cameron</v>
      </c>
      <c r="E5">
        <f>IFERROR(__xludf.DUMMYFUNCTION("""COMPUTED_VALUE"""),1997.0)</f>
        <v>1997</v>
      </c>
      <c r="F5" t="str">
        <f>IFERROR(__xludf.DUMMYFUNCTION("""COMPUTED_VALUE"""),"États-Unis")</f>
        <v>États-Unis</v>
      </c>
      <c r="G5" t="str">
        <f>IFERROR(__xludf.DUMMYFUNCTION("""COMPUTED_VALUE"""),"2 264 812 968 $[a 5]")</f>
        <v>2 264 812 968 $[a 5]</v>
      </c>
    </row>
    <row r="6">
      <c r="A6">
        <f>IFERROR(__xludf.DUMMYFUNCTION("""COMPUTED_VALUE"""),5.0)</f>
        <v>5</v>
      </c>
      <c r="B6">
        <f>IFERROR(__xludf.DUMMYFUNCTION("""COMPUTED_VALUE"""),5.0)</f>
        <v>5</v>
      </c>
      <c r="C6" t="str">
        <f>IFERROR(__xludf.DUMMYFUNCTION("""COMPUTED_VALUE"""),"*Ne Zha 2*")</f>
        <v>*Ne Zha 2*</v>
      </c>
      <c r="D6" t="str">
        <f>IFERROR(__xludf.DUMMYFUNCTION("""COMPUTED_VALUE"""),"Jiaozi (en)")</f>
        <v>Jiaozi (en)</v>
      </c>
      <c r="E6">
        <f>IFERROR(__xludf.DUMMYFUNCTION("""COMPUTED_VALUE"""),2025.0)</f>
        <v>2025</v>
      </c>
      <c r="F6" t="str">
        <f>IFERROR(__xludf.DUMMYFUNCTION("""COMPUTED_VALUE"""),"Chine")</f>
        <v>Chine</v>
      </c>
      <c r="G6" t="str">
        <f>IFERROR(__xludf.DUMMYFUNCTION("""COMPUTED_VALUE"""),"2 259 822 417 $[a 6]")</f>
        <v>2 259 822 417 $[a 6]</v>
      </c>
    </row>
    <row r="7">
      <c r="A7">
        <f>IFERROR(__xludf.DUMMYFUNCTION("""COMPUTED_VALUE"""),6.0)</f>
        <v>6</v>
      </c>
      <c r="B7">
        <f>IFERROR(__xludf.DUMMYFUNCTION("""COMPUTED_VALUE"""),3.0)</f>
        <v>3</v>
      </c>
      <c r="C7" t="str">
        <f>IFERROR(__xludf.DUMMYFUNCTION("""COMPUTED_VALUE"""),"*Star Wars, épisode VII : Le Réveil de la Force*")</f>
        <v>*Star Wars, épisode VII : Le Réveil de la Force*</v>
      </c>
      <c r="D7" t="str">
        <f>IFERROR(__xludf.DUMMYFUNCTION("""COMPUTED_VALUE"""),"J. J. Abrams")</f>
        <v>J. J. Abrams</v>
      </c>
      <c r="E7">
        <f>IFERROR(__xludf.DUMMYFUNCTION("""COMPUTED_VALUE"""),2015.0)</f>
        <v>2015</v>
      </c>
      <c r="F7" t="str">
        <f>IFERROR(__xludf.DUMMYFUNCTION("""COMPUTED_VALUE"""),"États-Unis")</f>
        <v>États-Unis</v>
      </c>
      <c r="G7" t="str">
        <f>IFERROR(__xludf.DUMMYFUNCTION("""COMPUTED_VALUE"""),"2 071 310 218 $[a 7]")</f>
        <v>2 071 310 218 $[a 7]</v>
      </c>
    </row>
    <row r="8">
      <c r="A8">
        <f>IFERROR(__xludf.DUMMYFUNCTION("""COMPUTED_VALUE"""),7.0)</f>
        <v>7</v>
      </c>
      <c r="B8">
        <f>IFERROR(__xludf.DUMMYFUNCTION("""COMPUTED_VALUE"""),4.0)</f>
        <v>4</v>
      </c>
      <c r="C8" t="str">
        <f>IFERROR(__xludf.DUMMYFUNCTION("""COMPUTED_VALUE"""),"*Avengers: Infinity War*")</f>
        <v>*Avengers: Infinity War*</v>
      </c>
      <c r="D8" t="str">
        <f>IFERROR(__xludf.DUMMYFUNCTION("""COMPUTED_VALUE"""),"Anthony et
Joe Russo")</f>
        <v>Anthony et
Joe Russo</v>
      </c>
      <c r="E8">
        <f>IFERROR(__xludf.DUMMYFUNCTION("""COMPUTED_VALUE"""),2018.0)</f>
        <v>2018</v>
      </c>
      <c r="F8" t="str">
        <f>IFERROR(__xludf.DUMMYFUNCTION("""COMPUTED_VALUE"""),"États-Unis")</f>
        <v>États-Unis</v>
      </c>
      <c r="G8" t="str">
        <f>IFERROR(__xludf.DUMMYFUNCTION("""COMPUTED_VALUE"""),"2 052 415 039 $[a 8]")</f>
        <v>2 052 415 039 $[a 8]</v>
      </c>
    </row>
    <row r="9">
      <c r="A9">
        <f>IFERROR(__xludf.DUMMYFUNCTION("""COMPUTED_VALUE"""),8.0)</f>
        <v>8</v>
      </c>
      <c r="B9">
        <f>IFERROR(__xludf.DUMMYFUNCTION("""COMPUTED_VALUE"""),6.0)</f>
        <v>6</v>
      </c>
      <c r="C9" t="str">
        <f>IFERROR(__xludf.DUMMYFUNCTION("""COMPUTED_VALUE"""),"*Spider-Man: No Way Home*")</f>
        <v>*Spider-Man: No Way Home*</v>
      </c>
      <c r="D9" t="str">
        <f>IFERROR(__xludf.DUMMYFUNCTION("""COMPUTED_VALUE"""),"Jon Watts")</f>
        <v>Jon Watts</v>
      </c>
      <c r="E9">
        <f>IFERROR(__xludf.DUMMYFUNCTION("""COMPUTED_VALUE"""),2021.0)</f>
        <v>2021</v>
      </c>
      <c r="F9" t="str">
        <f>IFERROR(__xludf.DUMMYFUNCTION("""COMPUTED_VALUE"""),"États-Unis")</f>
        <v>États-Unis</v>
      </c>
      <c r="G9" t="str">
        <f>IFERROR(__xludf.DUMMYFUNCTION("""COMPUTED_VALUE"""),"1 921 426 073 $[a 9]")</f>
        <v>1 921 426 073 $[a 9]</v>
      </c>
    </row>
    <row r="10">
      <c r="A10">
        <f>IFERROR(__xludf.DUMMYFUNCTION("""COMPUTED_VALUE"""),9.0)</f>
        <v>9</v>
      </c>
      <c r="B10">
        <f>IFERROR(__xludf.DUMMYFUNCTION("""COMPUTED_VALUE"""),9.0)</f>
        <v>9</v>
      </c>
      <c r="C10" t="str">
        <f>IFERROR(__xludf.DUMMYFUNCTION("""COMPUTED_VALUE"""),"*Zootopie 2*")</f>
        <v>*Zootopie 2*</v>
      </c>
      <c r="D10" t="str">
        <f>IFERROR(__xludf.DUMMYFUNCTION("""COMPUTED_VALUE"""),"Jared Bush")</f>
        <v>Jared Bush</v>
      </c>
      <c r="E10">
        <f>IFERROR(__xludf.DUMMYFUNCTION("""COMPUTED_VALUE"""),2025.0)</f>
        <v>2025</v>
      </c>
      <c r="F10" t="str">
        <f>IFERROR(__xludf.DUMMYFUNCTION("""COMPUTED_VALUE"""),"États-Unis")</f>
        <v>États-Unis</v>
      </c>
      <c r="G10" t="str">
        <f>IFERROR(__xludf.DUMMYFUNCTION("""COMPUTED_VALUE"""),"1 830 211 739 $[a 10]")</f>
        <v>1 830 211 739 $[a 10]</v>
      </c>
    </row>
    <row r="11">
      <c r="A11">
        <f>IFERROR(__xludf.DUMMYFUNCTION("""COMPUTED_VALUE"""),10.0)</f>
        <v>10</v>
      </c>
      <c r="B11">
        <f>IFERROR(__xludf.DUMMYFUNCTION("""COMPUTED_VALUE"""),8.0)</f>
        <v>8</v>
      </c>
      <c r="C11" t="str">
        <f>IFERROR(__xludf.DUMMYFUNCTION("""COMPUTED_VALUE"""),"*Vice-versa 2*")</f>
        <v>*Vice-versa 2*</v>
      </c>
      <c r="D11" t="str">
        <f>IFERROR(__xludf.DUMMYFUNCTION("""COMPUTED_VALUE"""),"Kelsey Mann")</f>
        <v>Kelsey Mann</v>
      </c>
      <c r="E11">
        <f>IFERROR(__xludf.DUMMYFUNCTION("""COMPUTED_VALUE"""),2024.0)</f>
        <v>2024</v>
      </c>
      <c r="F11" t="str">
        <f>IFERROR(__xludf.DUMMYFUNCTION("""COMPUTED_VALUE"""),"États-Unis")</f>
        <v>États-Unis</v>
      </c>
      <c r="G11" t="str">
        <f>IFERROR(__xludf.DUMMYFUNCTION("""COMPUTED_VALUE"""),"1 698 863 816 $[a 11]")</f>
        <v>1 698 863 816 $[a 11]</v>
      </c>
    </row>
    <row r="12">
      <c r="A12">
        <f>IFERROR(__xludf.DUMMYFUNCTION("""COMPUTED_VALUE"""),11.0)</f>
        <v>11</v>
      </c>
      <c r="B12">
        <f>IFERROR(__xludf.DUMMYFUNCTION("""COMPUTED_VALUE"""),3.0)</f>
        <v>3</v>
      </c>
      <c r="C12" t="str">
        <f>IFERROR(__xludf.DUMMYFUNCTION("""COMPUTED_VALUE"""),"*Jurassic World*")</f>
        <v>*Jurassic World*</v>
      </c>
      <c r="D12" t="str">
        <f>IFERROR(__xludf.DUMMYFUNCTION("""COMPUTED_VALUE"""),"Colin Trevorrow")</f>
        <v>Colin Trevorrow</v>
      </c>
      <c r="E12">
        <f>IFERROR(__xludf.DUMMYFUNCTION("""COMPUTED_VALUE"""),2015.0)</f>
        <v>2015</v>
      </c>
      <c r="F12" t="str">
        <f>IFERROR(__xludf.DUMMYFUNCTION("""COMPUTED_VALUE"""),"États-Unis")</f>
        <v>États-Unis</v>
      </c>
      <c r="G12" t="str">
        <f>IFERROR(__xludf.DUMMYFUNCTION("""COMPUTED_VALUE"""),"1 671 537 444 $[a 12]")</f>
        <v>1 671 537 444 $[a 12]</v>
      </c>
    </row>
    <row r="13">
      <c r="A13">
        <f>IFERROR(__xludf.DUMMYFUNCTION("""COMPUTED_VALUE"""),12.0)</f>
        <v>12</v>
      </c>
      <c r="B13">
        <f>IFERROR(__xludf.DUMMYFUNCTION("""COMPUTED_VALUE"""),7.0)</f>
        <v>7</v>
      </c>
      <c r="C13" t="str">
        <f>IFERROR(__xludf.DUMMYFUNCTION("""COMPUTED_VALUE"""),"*Le Roi lion*")</f>
        <v>*Le Roi lion*</v>
      </c>
      <c r="D13" t="str">
        <f>IFERROR(__xludf.DUMMYFUNCTION("""COMPUTED_VALUE"""),"Jon Favreau")</f>
        <v>Jon Favreau</v>
      </c>
      <c r="E13">
        <f>IFERROR(__xludf.DUMMYFUNCTION("""COMPUTED_VALUE"""),2019.0)</f>
        <v>2019</v>
      </c>
      <c r="F13" t="str">
        <f>IFERROR(__xludf.DUMMYFUNCTION("""COMPUTED_VALUE"""),"États-Unis")</f>
        <v>États-Unis</v>
      </c>
      <c r="G13" t="str">
        <f>IFERROR(__xludf.DUMMYFUNCTION("""COMPUTED_VALUE"""),"1 662 020 819 $[a 13]")</f>
        <v>1 662 020 819 $[a 13]</v>
      </c>
    </row>
    <row r="14">
      <c r="A14">
        <f>IFERROR(__xludf.DUMMYFUNCTION("""COMPUTED_VALUE"""),13.0)</f>
        <v>13</v>
      </c>
      <c r="B14">
        <f>IFERROR(__xludf.DUMMYFUNCTION("""COMPUTED_VALUE"""),3.0)</f>
        <v>3</v>
      </c>
      <c r="C14" t="str">
        <f>IFERROR(__xludf.DUMMYFUNCTION("""COMPUTED_VALUE"""),"*Avengers*")</f>
        <v>*Avengers*</v>
      </c>
      <c r="D14" t="str">
        <f>IFERROR(__xludf.DUMMYFUNCTION("""COMPUTED_VALUE"""),"Joss Whedon")</f>
        <v>Joss Whedon</v>
      </c>
      <c r="E14">
        <f>IFERROR(__xludf.DUMMYFUNCTION("""COMPUTED_VALUE"""),2012.0)</f>
        <v>2012</v>
      </c>
      <c r="F14" t="str">
        <f>IFERROR(__xludf.DUMMYFUNCTION("""COMPUTED_VALUE"""),"États-Unis")</f>
        <v>États-Unis</v>
      </c>
      <c r="G14" t="str">
        <f>IFERROR(__xludf.DUMMYFUNCTION("""COMPUTED_VALUE"""),"1 520 538 536 $[a 14]")</f>
        <v>1 520 538 536 $[a 14]</v>
      </c>
    </row>
    <row r="15">
      <c r="A15">
        <f>IFERROR(__xludf.DUMMYFUNCTION("""COMPUTED_VALUE"""),14.0)</f>
        <v>14</v>
      </c>
      <c r="B15">
        <f>IFERROR(__xludf.DUMMYFUNCTION("""COMPUTED_VALUE"""),4.0)</f>
        <v>4</v>
      </c>
      <c r="C15" t="str">
        <f>IFERROR(__xludf.DUMMYFUNCTION("""COMPUTED_VALUE"""),"*Fast and Furious 7*")</f>
        <v>*Fast and Furious 7*</v>
      </c>
      <c r="D15" t="str">
        <f>IFERROR(__xludf.DUMMYFUNCTION("""COMPUTED_VALUE"""),"James Wan")</f>
        <v>James Wan</v>
      </c>
      <c r="E15">
        <f>IFERROR(__xludf.DUMMYFUNCTION("""COMPUTED_VALUE"""),2015.0)</f>
        <v>2015</v>
      </c>
      <c r="F15" t="str">
        <f>IFERROR(__xludf.DUMMYFUNCTION("""COMPUTED_VALUE"""),"États-Unis")</f>
        <v>États-Unis</v>
      </c>
      <c r="G15" t="str">
        <f>IFERROR(__xludf.DUMMYFUNCTION("""COMPUTED_VALUE"""),"1 515 342 457 $[a 15]")</f>
        <v>1 515 342 457 $[a 15]</v>
      </c>
    </row>
    <row r="16">
      <c r="A16">
        <f>IFERROR(__xludf.DUMMYFUNCTION("""COMPUTED_VALUE"""),15.0)</f>
        <v>15</v>
      </c>
      <c r="B16">
        <f>IFERROR(__xludf.DUMMYFUNCTION("""COMPUTED_VALUE"""),11.0)</f>
        <v>11</v>
      </c>
      <c r="C16" t="str">
        <f>IFERROR(__xludf.DUMMYFUNCTION("""COMPUTED_VALUE"""),"*Top Gun: Maverick*")</f>
        <v>*Top Gun: Maverick*</v>
      </c>
      <c r="D16" t="str">
        <f>IFERROR(__xludf.DUMMYFUNCTION("""COMPUTED_VALUE"""),"Joseph Kosinski")</f>
        <v>Joseph Kosinski</v>
      </c>
      <c r="E16">
        <f>IFERROR(__xludf.DUMMYFUNCTION("""COMPUTED_VALUE"""),2022.0)</f>
        <v>2022</v>
      </c>
      <c r="F16" t="str">
        <f>IFERROR(__xludf.DUMMYFUNCTION("""COMPUTED_VALUE"""),"États-Unis")</f>
        <v>États-Unis</v>
      </c>
      <c r="G16" t="str">
        <f>IFERROR(__xludf.DUMMYFUNCTION("""COMPUTED_VALUE"""),"1 495 696 292 $[a 16]")</f>
        <v>1 495 696 292 $[a 16]</v>
      </c>
    </row>
    <row r="17">
      <c r="A17">
        <f>IFERROR(__xludf.DUMMYFUNCTION("""COMPUTED_VALUE"""),16.0)</f>
        <v>16</v>
      </c>
      <c r="B17">
        <f>IFERROR(__xludf.DUMMYFUNCTION("""COMPUTED_VALUE"""),16.0)</f>
        <v>16</v>
      </c>
      <c r="C17" t="str">
        <f>IFERROR(__xludf.DUMMYFUNCTION("""COMPUTED_VALUE"""),"*Avatar : De feu et de cendres*")</f>
        <v>*Avatar : De feu et de cendres*</v>
      </c>
      <c r="D17" t="str">
        <f>IFERROR(__xludf.DUMMYFUNCTION("""COMPUTED_VALUE"""),"James Cameron")</f>
        <v>James Cameron</v>
      </c>
      <c r="E17">
        <f>IFERROR(__xludf.DUMMYFUNCTION("""COMPUTED_VALUE"""),2025.0)</f>
        <v>2025</v>
      </c>
      <c r="F17" t="str">
        <f>IFERROR(__xludf.DUMMYFUNCTION("""COMPUTED_VALUE"""),"États-Unis")</f>
        <v>États-Unis</v>
      </c>
      <c r="G17" t="str">
        <f>IFERROR(__xludf.DUMMYFUNCTION("""COMPUTED_VALUE"""),"1 460 066 244 $[a 17]")</f>
        <v>1 460 066 244 $[a 17]</v>
      </c>
    </row>
    <row r="18">
      <c r="A18">
        <f>IFERROR(__xludf.DUMMYFUNCTION("""COMPUTED_VALUE"""),17.0)</f>
        <v>17</v>
      </c>
      <c r="B18">
        <f>IFERROR(__xludf.DUMMYFUNCTION("""COMPUTED_VALUE"""),10.0)</f>
        <v>10</v>
      </c>
      <c r="C18" t="str">
        <f>IFERROR(__xludf.DUMMYFUNCTION("""COMPUTED_VALUE"""),"*La Reine des neiges 2*")</f>
        <v>*La Reine des neiges 2*</v>
      </c>
      <c r="D18" t="str">
        <f>IFERROR(__xludf.DUMMYFUNCTION("""COMPUTED_VALUE"""),"Chris Buck
Jennifer Lee")</f>
        <v>Chris Buck
Jennifer Lee</v>
      </c>
      <c r="E18">
        <f>IFERROR(__xludf.DUMMYFUNCTION("""COMPUTED_VALUE"""),2019.0)</f>
        <v>2019</v>
      </c>
      <c r="F18" t="str">
        <f>IFERROR(__xludf.DUMMYFUNCTION("""COMPUTED_VALUE"""),"États-Unis")</f>
        <v>États-Unis</v>
      </c>
      <c r="G18" t="str">
        <f>IFERROR(__xludf.DUMMYFUNCTION("""COMPUTED_VALUE"""),"1 453 683 476 $[a 18]")</f>
        <v>1 453 683 476 $[a 18]</v>
      </c>
    </row>
    <row r="19">
      <c r="A19">
        <f>IFERROR(__xludf.DUMMYFUNCTION("""COMPUTED_VALUE"""),18.0)</f>
        <v>18</v>
      </c>
      <c r="B19">
        <f>IFERROR(__xludf.DUMMYFUNCTION("""COMPUTED_VALUE"""),14.0)</f>
        <v>14</v>
      </c>
      <c r="C19" t="str">
        <f>IFERROR(__xludf.DUMMYFUNCTION("""COMPUTED_VALUE"""),"*Barbie*")</f>
        <v>*Barbie*</v>
      </c>
      <c r="D19" t="str">
        <f>IFERROR(__xludf.DUMMYFUNCTION("""COMPUTED_VALUE"""),"Greta Gerwig")</f>
        <v>Greta Gerwig</v>
      </c>
      <c r="E19">
        <f>IFERROR(__xludf.DUMMYFUNCTION("""COMPUTED_VALUE"""),2023.0)</f>
        <v>2023</v>
      </c>
      <c r="F19" t="str">
        <f>IFERROR(__xludf.DUMMYFUNCTION("""COMPUTED_VALUE"""),"États-Unis
Royaume-Uni")</f>
        <v>États-Unis
Royaume-Uni</v>
      </c>
      <c r="G19" t="str">
        <f>IFERROR(__xludf.DUMMYFUNCTION("""COMPUTED_VALUE"""),"1 447 038 421 $[a 19]")</f>
        <v>1 447 038 421 $[a 19]</v>
      </c>
    </row>
    <row r="20">
      <c r="A20">
        <f>IFERROR(__xludf.DUMMYFUNCTION("""COMPUTED_VALUE"""),19.0)</f>
        <v>19</v>
      </c>
      <c r="B20">
        <f>IFERROR(__xludf.DUMMYFUNCTION("""COMPUTED_VALUE"""),5.0)</f>
        <v>5</v>
      </c>
      <c r="C20" t="str">
        <f>IFERROR(__xludf.DUMMYFUNCTION("""COMPUTED_VALUE"""),"*Avengers : L'Ère d'Ultron*")</f>
        <v>*Avengers : L'Ère d'Ultron*</v>
      </c>
      <c r="D20" t="str">
        <f>IFERROR(__xludf.DUMMYFUNCTION("""COMPUTED_VALUE"""),"Joss Whedon")</f>
        <v>Joss Whedon</v>
      </c>
      <c r="E20">
        <f>IFERROR(__xludf.DUMMYFUNCTION("""COMPUTED_VALUE"""),2015.0)</f>
        <v>2015</v>
      </c>
      <c r="F20" t="str">
        <f>IFERROR(__xludf.DUMMYFUNCTION("""COMPUTED_VALUE"""),"États-Unis")</f>
        <v>États-Unis</v>
      </c>
      <c r="G20" t="str">
        <f>IFERROR(__xludf.DUMMYFUNCTION("""COMPUTED_VALUE"""),"1 405 018 048 $[a 20]")</f>
        <v>1 405 018 048 $[a 20]</v>
      </c>
    </row>
    <row r="21">
      <c r="A21">
        <f>IFERROR(__xludf.DUMMYFUNCTION("""COMPUTED_VALUE"""),20.0)</f>
        <v>20</v>
      </c>
      <c r="B21">
        <f>IFERROR(__xludf.DUMMYFUNCTION("""COMPUTED_VALUE"""),15.0)</f>
        <v>15</v>
      </c>
      <c r="C21" t="str">
        <f>IFERROR(__xludf.DUMMYFUNCTION("""COMPUTED_VALUE"""),"*Super Mario Bros. le film*")</f>
        <v>*Super Mario Bros. le film*</v>
      </c>
      <c r="D21" t="str">
        <f>IFERROR(__xludf.DUMMYFUNCTION("""COMPUTED_VALUE"""),"Aaron Horvath
Michael Jelenic (en)")</f>
        <v>Aaron Horvath
Michael Jelenic (en)</v>
      </c>
      <c r="E21">
        <f>IFERROR(__xludf.DUMMYFUNCTION("""COMPUTED_VALUE"""),2023.0)</f>
        <v>2023</v>
      </c>
      <c r="F21" t="str">
        <f>IFERROR(__xludf.DUMMYFUNCTION("""COMPUTED_VALUE"""),"États-Unis
Japon")</f>
        <v>États-Unis
Japon</v>
      </c>
      <c r="G21" t="str">
        <f>IFERROR(__xludf.DUMMYFUNCTION("""COMPUTED_VALUE"""),"1 360 879 735 $[a 21]")</f>
        <v>1 360 879 735 $[a 21]</v>
      </c>
    </row>
    <row r="22">
      <c r="A22">
        <f>IFERROR(__xludf.DUMMYFUNCTION("""COMPUTED_VALUE"""),21.0)</f>
        <v>21</v>
      </c>
      <c r="B22">
        <f>IFERROR(__xludf.DUMMYFUNCTION("""COMPUTED_VALUE"""),9.0)</f>
        <v>9</v>
      </c>
      <c r="C22" t="str">
        <f>IFERROR(__xludf.DUMMYFUNCTION("""COMPUTED_VALUE"""),"*Black Panther*")</f>
        <v>*Black Panther*</v>
      </c>
      <c r="D22" t="str">
        <f>IFERROR(__xludf.DUMMYFUNCTION("""COMPUTED_VALUE"""),"Ryan Coogler")</f>
        <v>Ryan Coogler</v>
      </c>
      <c r="E22">
        <f>IFERROR(__xludf.DUMMYFUNCTION("""COMPUTED_VALUE"""),2018.0)</f>
        <v>2018</v>
      </c>
      <c r="F22" t="str">
        <f>IFERROR(__xludf.DUMMYFUNCTION("""COMPUTED_VALUE"""),"États-Unis")</f>
        <v>États-Unis</v>
      </c>
      <c r="G22" t="str">
        <f>IFERROR(__xludf.DUMMYFUNCTION("""COMPUTED_VALUE"""),"1 349 926 083 $[a 22]")</f>
        <v>1 349 926 083 $[a 22]</v>
      </c>
    </row>
    <row r="23">
      <c r="A23">
        <f>IFERROR(__xludf.DUMMYFUNCTION("""COMPUTED_VALUE"""),22.0)</f>
        <v>22</v>
      </c>
      <c r="B23">
        <f>IFERROR(__xludf.DUMMYFUNCTION("""COMPUTED_VALUE"""),3.0)</f>
        <v>3</v>
      </c>
      <c r="C23" t="str">
        <f>IFERROR(__xludf.DUMMYFUNCTION("""COMPUTED_VALUE"""),"*Harry Potter et les Reliques de la Mort : Partie 2*")</f>
        <v>*Harry Potter et les Reliques de la Mort : Partie 2*</v>
      </c>
      <c r="D23" t="str">
        <f>IFERROR(__xludf.DUMMYFUNCTION("""COMPUTED_VALUE"""),"David Yates")</f>
        <v>David Yates</v>
      </c>
      <c r="E23">
        <f>IFERROR(__xludf.DUMMYFUNCTION("""COMPUTED_VALUE"""),2011.0)</f>
        <v>2011</v>
      </c>
      <c r="F23" t="str">
        <f>IFERROR(__xludf.DUMMYFUNCTION("""COMPUTED_VALUE"""),"États-Unis
Royaume-Uni")</f>
        <v>États-Unis
Royaume-Uni</v>
      </c>
      <c r="G23" t="str">
        <f>IFERROR(__xludf.DUMMYFUNCTION("""COMPUTED_VALUE"""),"1 342 505 340 $[a 23]")</f>
        <v>1 342 505 340 $[a 23]</v>
      </c>
    </row>
    <row r="24">
      <c r="A24">
        <f>IFERROR(__xludf.DUMMYFUNCTION("""COMPUTED_VALUE"""),23.0)</f>
        <v>23</v>
      </c>
      <c r="B24">
        <f>IFERROR(__xludf.DUMMYFUNCTION("""COMPUTED_VALUE"""),20.0)</f>
        <v>20</v>
      </c>
      <c r="C24" t="str">
        <f>IFERROR(__xludf.DUMMYFUNCTION("""COMPUTED_VALUE"""),"*Deadpool et Wolverine*")</f>
        <v>*Deadpool et Wolverine*</v>
      </c>
      <c r="D24" t="str">
        <f>IFERROR(__xludf.DUMMYFUNCTION("""COMPUTED_VALUE"""),"Shawn Levy")</f>
        <v>Shawn Levy</v>
      </c>
      <c r="E24">
        <f>IFERROR(__xludf.DUMMYFUNCTION("""COMPUTED_VALUE"""),2024.0)</f>
        <v>2024</v>
      </c>
      <c r="F24" t="str">
        <f>IFERROR(__xludf.DUMMYFUNCTION("""COMPUTED_VALUE"""),"États-Unis")</f>
        <v>États-Unis</v>
      </c>
      <c r="G24" t="str">
        <f>IFERROR(__xludf.DUMMYFUNCTION("""COMPUTED_VALUE"""),"1 338 073 645 $[a 24]")</f>
        <v>1 338 073 645 $[a 24]</v>
      </c>
    </row>
    <row r="25">
      <c r="A25">
        <f>IFERROR(__xludf.DUMMYFUNCTION("""COMPUTED_VALUE"""),24.0)</f>
        <v>24</v>
      </c>
      <c r="B25">
        <f>IFERROR(__xludf.DUMMYFUNCTION("""COMPUTED_VALUE"""),9.0)</f>
        <v>9</v>
      </c>
      <c r="C25" t="str">
        <f>IFERROR(__xludf.DUMMYFUNCTION("""COMPUTED_VALUE"""),"*Star Wars, épisode VIII : Les Derniers Jedi*")</f>
        <v>*Star Wars, épisode VIII : Les Derniers Jedi*</v>
      </c>
      <c r="D25" t="str">
        <f>IFERROR(__xludf.DUMMYFUNCTION("""COMPUTED_VALUE"""),"Rian Johnson")</f>
        <v>Rian Johnson</v>
      </c>
      <c r="E25">
        <f>IFERROR(__xludf.DUMMYFUNCTION("""COMPUTED_VALUE"""),2017.0)</f>
        <v>2017</v>
      </c>
      <c r="F25" t="str">
        <f>IFERROR(__xludf.DUMMYFUNCTION("""COMPUTED_VALUE"""),"États-Unis")</f>
        <v>États-Unis</v>
      </c>
      <c r="G25" t="str">
        <f>IFERROR(__xludf.DUMMYFUNCTION("""COMPUTED_VALUE"""),"1 334 407 706 $[a 25]")</f>
        <v>1 334 407 706 $[a 25]</v>
      </c>
    </row>
    <row r="26">
      <c r="A26">
        <f>IFERROR(__xludf.DUMMYFUNCTION("""COMPUTED_VALUE"""),25.0)</f>
        <v>25</v>
      </c>
      <c r="B26">
        <f>IFERROR(__xludf.DUMMYFUNCTION("""COMPUTED_VALUE"""),5.0)</f>
        <v>5</v>
      </c>
      <c r="C26" t="str">
        <f>IFERROR(__xludf.DUMMYFUNCTION("""COMPUTED_VALUE"""),"*La Reine des neiges*")</f>
        <v>*La Reine des neiges*</v>
      </c>
      <c r="D26" t="str">
        <f>IFERROR(__xludf.DUMMYFUNCTION("""COMPUTED_VALUE"""),"Chris Buck
Jennifer Lee")</f>
        <v>Chris Buck
Jennifer Lee</v>
      </c>
      <c r="E26">
        <f>IFERROR(__xludf.DUMMYFUNCTION("""COMPUTED_VALUE"""),2013.0)</f>
        <v>2013</v>
      </c>
      <c r="F26" t="str">
        <f>IFERROR(__xludf.DUMMYFUNCTION("""COMPUTED_VALUE"""),"États-Unis")</f>
        <v>États-Unis</v>
      </c>
      <c r="G26" t="str">
        <f>IFERROR(__xludf.DUMMYFUNCTION("""COMPUTED_VALUE"""),"1 310 530 830 $[a 26]")</f>
        <v>1 310 530 830 $[a 26]</v>
      </c>
    </row>
    <row r="27">
      <c r="A27">
        <f>IFERROR(__xludf.DUMMYFUNCTION("""COMPUTED_VALUE"""),26.0)</f>
        <v>26</v>
      </c>
      <c r="B27">
        <f>IFERROR(__xludf.DUMMYFUNCTION("""COMPUTED_VALUE"""),12.0)</f>
        <v>12</v>
      </c>
      <c r="C27" t="str">
        <f>IFERROR(__xludf.DUMMYFUNCTION("""COMPUTED_VALUE"""),"*Jurassic World: Fallen Kingdom*")</f>
        <v>*Jurassic World: Fallen Kingdom*</v>
      </c>
      <c r="D27" t="str">
        <f>IFERROR(__xludf.DUMMYFUNCTION("""COMPUTED_VALUE"""),"J.A. Bayona")</f>
        <v>J.A. Bayona</v>
      </c>
      <c r="E27">
        <f>IFERROR(__xludf.DUMMYFUNCTION("""COMPUTED_VALUE"""),2018.0)</f>
        <v>2018</v>
      </c>
      <c r="F27" t="str">
        <f>IFERROR(__xludf.DUMMYFUNCTION("""COMPUTED_VALUE"""),"États-Unis")</f>
        <v>États-Unis</v>
      </c>
      <c r="G27" t="str">
        <f>IFERROR(__xludf.DUMMYFUNCTION("""COMPUTED_VALUE"""),"1 308 566 455 $[a 27]")</f>
        <v>1 308 566 455 $[a 27]</v>
      </c>
    </row>
    <row r="28">
      <c r="A28">
        <f>IFERROR(__xludf.DUMMYFUNCTION("""COMPUTED_VALUE"""),27.0)</f>
        <v>27</v>
      </c>
      <c r="B28">
        <f>IFERROR(__xludf.DUMMYFUNCTION("""COMPUTED_VALUE"""),10.0)</f>
        <v>10</v>
      </c>
      <c r="C28" t="str">
        <f>IFERROR(__xludf.DUMMYFUNCTION("""COMPUTED_VALUE"""),"*La Belle et la Bête*")</f>
        <v>*La Belle et la Bête*</v>
      </c>
      <c r="D28" t="str">
        <f>IFERROR(__xludf.DUMMYFUNCTION("""COMPUTED_VALUE"""),"Bill Condon")</f>
        <v>Bill Condon</v>
      </c>
      <c r="E28">
        <f>IFERROR(__xludf.DUMMYFUNCTION("""COMPUTED_VALUE"""),2017.0)</f>
        <v>2017</v>
      </c>
      <c r="F28" t="str">
        <f>IFERROR(__xludf.DUMMYFUNCTION("""COMPUTED_VALUE"""),"États-Unis")</f>
        <v>États-Unis</v>
      </c>
      <c r="G28" t="str">
        <f>IFERROR(__xludf.DUMMYFUNCTION("""COMPUTED_VALUE"""),"1 266 115 964 $[a 28]")</f>
        <v>1 266 115 964 $[a 28]</v>
      </c>
    </row>
    <row r="29">
      <c r="A29">
        <f>IFERROR(__xludf.DUMMYFUNCTION("""COMPUTED_VALUE"""),28.0)</f>
        <v>28</v>
      </c>
      <c r="B29">
        <f>IFERROR(__xludf.DUMMYFUNCTION("""COMPUTED_VALUE"""),15.0)</f>
        <v>15</v>
      </c>
      <c r="C29" t="str">
        <f>IFERROR(__xludf.DUMMYFUNCTION("""COMPUTED_VALUE"""),"*Les Indestructibles 2*")</f>
        <v>*Les Indestructibles 2*</v>
      </c>
      <c r="D29" t="str">
        <f>IFERROR(__xludf.DUMMYFUNCTION("""COMPUTED_VALUE"""),"Brad Bird")</f>
        <v>Brad Bird</v>
      </c>
      <c r="E29">
        <f>IFERROR(__xludf.DUMMYFUNCTION("""COMPUTED_VALUE"""),2018.0)</f>
        <v>2018</v>
      </c>
      <c r="F29" t="str">
        <f>IFERROR(__xludf.DUMMYFUNCTION("""COMPUTED_VALUE"""),"États-Unis")</f>
        <v>États-Unis</v>
      </c>
      <c r="G29" t="str">
        <f>IFERROR(__xludf.DUMMYFUNCTION("""COMPUTED_VALUE"""),"1 243 225 667 $[a 29]")</f>
        <v>1 243 225 667 $[a 29]</v>
      </c>
    </row>
    <row r="30">
      <c r="A30">
        <f>IFERROR(__xludf.DUMMYFUNCTION("""COMPUTED_VALUE"""),29.0)</f>
        <v>29</v>
      </c>
      <c r="B30">
        <f>IFERROR(__xludf.DUMMYFUNCTION("""COMPUTED_VALUE"""),11.0)</f>
        <v>11</v>
      </c>
      <c r="C30" t="str">
        <f>IFERROR(__xludf.DUMMYFUNCTION("""COMPUTED_VALUE"""),"*Fast and Furious 8*")</f>
        <v>*Fast and Furious 8*</v>
      </c>
      <c r="D30" t="str">
        <f>IFERROR(__xludf.DUMMYFUNCTION("""COMPUTED_VALUE"""),"F. Gary Gray")</f>
        <v>F. Gary Gray</v>
      </c>
      <c r="E30">
        <f>IFERROR(__xludf.DUMMYFUNCTION("""COMPUTED_VALUE"""),2017.0)</f>
        <v>2017</v>
      </c>
      <c r="F30" t="str">
        <f>IFERROR(__xludf.DUMMYFUNCTION("""COMPUTED_VALUE"""),"États-Unis")</f>
        <v>États-Unis</v>
      </c>
      <c r="G30" t="str">
        <f>IFERROR(__xludf.DUMMYFUNCTION("""COMPUTED_VALUE"""),"1 236 009 236 $[a 30]")</f>
        <v>1 236 009 236 $[a 30]</v>
      </c>
    </row>
    <row r="31">
      <c r="A31">
        <f>IFERROR(__xludf.DUMMYFUNCTION("""COMPUTED_VALUE"""),30.0)</f>
        <v>30</v>
      </c>
      <c r="B31">
        <f>IFERROR(__xludf.DUMMYFUNCTION("""COMPUTED_VALUE"""),5.0)</f>
        <v>5</v>
      </c>
      <c r="C31" t="str">
        <f>IFERROR(__xludf.DUMMYFUNCTION("""COMPUTED_VALUE"""),"*Iron Man 3*")</f>
        <v>*Iron Man 3*</v>
      </c>
      <c r="D31" t="str">
        <f>IFERROR(__xludf.DUMMYFUNCTION("""COMPUTED_VALUE"""),"Shane Black")</f>
        <v>Shane Black</v>
      </c>
      <c r="E31">
        <f>IFERROR(__xludf.DUMMYFUNCTION("""COMPUTED_VALUE"""),2013.0)</f>
        <v>2013</v>
      </c>
      <c r="F31" t="str">
        <f>IFERROR(__xludf.DUMMYFUNCTION("""COMPUTED_VALUE"""),"États-Unis")</f>
        <v>États-Unis</v>
      </c>
      <c r="G31" t="str">
        <f>IFERROR(__xludf.DUMMYFUNCTION("""COMPUTED_VALUE"""),"1 215 577 205 $[a 31]")</f>
        <v>1 215 577 205 $[a 31]</v>
      </c>
    </row>
    <row r="32">
      <c r="A32">
        <f>IFERROR(__xludf.DUMMYFUNCTION("""COMPUTED_VALUE"""),31.0)</f>
        <v>31</v>
      </c>
      <c r="B32">
        <f>IFERROR(__xludf.DUMMYFUNCTION("""COMPUTED_VALUE"""),10.0)</f>
        <v>10</v>
      </c>
      <c r="C32" t="str">
        <f>IFERROR(__xludf.DUMMYFUNCTION("""COMPUTED_VALUE"""),"*Les Minions*")</f>
        <v>*Les Minions*</v>
      </c>
      <c r="D32" t="str">
        <f>IFERROR(__xludf.DUMMYFUNCTION("""COMPUTED_VALUE"""),"Kyle Balda
Pierre Coffin")</f>
        <v>Kyle Balda
Pierre Coffin</v>
      </c>
      <c r="E32">
        <f>IFERROR(__xludf.DUMMYFUNCTION("""COMPUTED_VALUE"""),2015.0)</f>
        <v>2015</v>
      </c>
      <c r="F32" t="str">
        <f>IFERROR(__xludf.DUMMYFUNCTION("""COMPUTED_VALUE"""),"États-Unis")</f>
        <v>États-Unis</v>
      </c>
      <c r="G32" t="str">
        <f>IFERROR(__xludf.DUMMYFUNCTION("""COMPUTED_VALUE"""),"1 159 457 503 $[a 32]")</f>
        <v>1 159 457 503 $[a 32]</v>
      </c>
    </row>
    <row r="33">
      <c r="A33">
        <f>IFERROR(__xludf.DUMMYFUNCTION("""COMPUTED_VALUE"""),32.0)</f>
        <v>32</v>
      </c>
      <c r="B33">
        <f>IFERROR(__xludf.DUMMYFUNCTION("""COMPUTED_VALUE"""),12.0)</f>
        <v>12</v>
      </c>
      <c r="C33" t="str">
        <f>IFERROR(__xludf.DUMMYFUNCTION("""COMPUTED_VALUE"""),"*Captain America: Civil War*")</f>
        <v>*Captain America: Civil War*</v>
      </c>
      <c r="D33" t="str">
        <f>IFERROR(__xludf.DUMMYFUNCTION("""COMPUTED_VALUE"""),"Anthony et
Joe Russo")</f>
        <v>Anthony et
Joe Russo</v>
      </c>
      <c r="E33">
        <f>IFERROR(__xludf.DUMMYFUNCTION("""COMPUTED_VALUE"""),2016.0)</f>
        <v>2016</v>
      </c>
      <c r="F33" t="str">
        <f>IFERROR(__xludf.DUMMYFUNCTION("""COMPUTED_VALUE"""),"États-Unis")</f>
        <v>États-Unis</v>
      </c>
      <c r="G33" t="str">
        <f>IFERROR(__xludf.DUMMYFUNCTION("""COMPUTED_VALUE"""),"1 155 046 416 $[a 33]")</f>
        <v>1 155 046 416 $[a 33]</v>
      </c>
    </row>
    <row r="34">
      <c r="A34">
        <f>IFERROR(__xludf.DUMMYFUNCTION("""COMPUTED_VALUE"""),33.0)</f>
        <v>33</v>
      </c>
      <c r="B34">
        <f>IFERROR(__xludf.DUMMYFUNCTION("""COMPUTED_VALUE"""),20.0)</f>
        <v>20</v>
      </c>
      <c r="C34" t="str">
        <f>IFERROR(__xludf.DUMMYFUNCTION("""COMPUTED_VALUE"""),"*Aquaman*")</f>
        <v>*Aquaman*</v>
      </c>
      <c r="D34" t="str">
        <f>IFERROR(__xludf.DUMMYFUNCTION("""COMPUTED_VALUE"""),"James Wan")</f>
        <v>James Wan</v>
      </c>
      <c r="E34">
        <f>IFERROR(__xludf.DUMMYFUNCTION("""COMPUTED_VALUE"""),2018.0)</f>
        <v>2018</v>
      </c>
      <c r="F34" t="str">
        <f>IFERROR(__xludf.DUMMYFUNCTION("""COMPUTED_VALUE"""),"États-Unis")</f>
        <v>États-Unis</v>
      </c>
      <c r="G34" t="str">
        <f>IFERROR(__xludf.DUMMYFUNCTION("""COMPUTED_VALUE"""),"1 152 028 393 $[a 34]")</f>
        <v>1 152 028 393 $[a 34]</v>
      </c>
    </row>
    <row r="35">
      <c r="A35">
        <f>IFERROR(__xludf.DUMMYFUNCTION("""COMPUTED_VALUE"""),34.0)</f>
        <v>34</v>
      </c>
      <c r="B35">
        <f>IFERROR(__xludf.DUMMYFUNCTION("""COMPUTED_VALUE"""),2.0)</f>
        <v>2</v>
      </c>
      <c r="C35" t="str">
        <f>IFERROR(__xludf.DUMMYFUNCTION("""COMPUTED_VALUE"""),"*Le Seigneur des anneaux : Le Retour du roi*")</f>
        <v>*Le Seigneur des anneaux : Le Retour du roi*</v>
      </c>
      <c r="D35" t="str">
        <f>IFERROR(__xludf.DUMMYFUNCTION("""COMPUTED_VALUE"""),"Peter Jackson")</f>
        <v>Peter Jackson</v>
      </c>
      <c r="E35">
        <f>IFERROR(__xludf.DUMMYFUNCTION("""COMPUTED_VALUE"""),2003.0)</f>
        <v>2003</v>
      </c>
      <c r="F35" t="str">
        <f>IFERROR(__xludf.DUMMYFUNCTION("""COMPUTED_VALUE"""),"États-Unis
Nouvelle-Zélande")</f>
        <v>États-Unis
Nouvelle-Zélande</v>
      </c>
      <c r="G35" t="str">
        <f>IFERROR(__xludf.DUMMYFUNCTION("""COMPUTED_VALUE"""),"1 148 738 106 $[a 35]")</f>
        <v>1 148 738 106 $[a 35]</v>
      </c>
    </row>
    <row r="36">
      <c r="A36">
        <f>IFERROR(__xludf.DUMMYFUNCTION("""COMPUTED_VALUE"""),35.0)</f>
        <v>35</v>
      </c>
      <c r="B36">
        <f>IFERROR(__xludf.DUMMYFUNCTION("""COMPUTED_VALUE"""),24.0)</f>
        <v>24</v>
      </c>
      <c r="C36" t="str">
        <f>IFERROR(__xludf.DUMMYFUNCTION("""COMPUTED_VALUE"""),"*Spider-Man: Far From Home*")</f>
        <v>*Spider-Man: Far From Home*</v>
      </c>
      <c r="D36" t="str">
        <f>IFERROR(__xludf.DUMMYFUNCTION("""COMPUTED_VALUE"""),"Jon Watts")</f>
        <v>Jon Watts</v>
      </c>
      <c r="E36">
        <f>IFERROR(__xludf.DUMMYFUNCTION("""COMPUTED_VALUE"""),2019.0)</f>
        <v>2019</v>
      </c>
      <c r="F36" t="str">
        <f>IFERROR(__xludf.DUMMYFUNCTION("""COMPUTED_VALUE"""),"États-Unis")</f>
        <v>États-Unis</v>
      </c>
      <c r="G36" t="str">
        <f>IFERROR(__xludf.DUMMYFUNCTION("""COMPUTED_VALUE"""),"1 132 723 226 $[a 36]")</f>
        <v>1 132 723 226 $[a 36]</v>
      </c>
    </row>
    <row r="37">
      <c r="A37">
        <f>IFERROR(__xludf.DUMMYFUNCTION("""COMPUTED_VALUE"""),36.0)</f>
        <v>36</v>
      </c>
      <c r="B37">
        <f>IFERROR(__xludf.DUMMYFUNCTION("""COMPUTED_VALUE"""),23.0)</f>
        <v>23</v>
      </c>
      <c r="C37" t="str">
        <f>IFERROR(__xludf.DUMMYFUNCTION("""COMPUTED_VALUE"""),"*Captain Marvel*")</f>
        <v>*Captain Marvel*</v>
      </c>
      <c r="D37" t="str">
        <f>IFERROR(__xludf.DUMMYFUNCTION("""COMPUTED_VALUE"""),"Anna Boden
Ryan Fleck")</f>
        <v>Anna Boden
Ryan Fleck</v>
      </c>
      <c r="E37">
        <f>IFERROR(__xludf.DUMMYFUNCTION("""COMPUTED_VALUE"""),2019.0)</f>
        <v>2019</v>
      </c>
      <c r="F37" t="str">
        <f>IFERROR(__xludf.DUMMYFUNCTION("""COMPUTED_VALUE"""),"États-Unis")</f>
        <v>États-Unis</v>
      </c>
      <c r="G37" t="str">
        <f>IFERROR(__xludf.DUMMYFUNCTION("""COMPUTED_VALUE"""),"1 131 416 446 $[a 37]")</f>
        <v>1 131 416 446 $[a 37]</v>
      </c>
    </row>
    <row r="38">
      <c r="A38">
        <f>IFERROR(__xludf.DUMMYFUNCTION("""COMPUTED_VALUE"""),37.0)</f>
        <v>37</v>
      </c>
      <c r="B38">
        <f>IFERROR(__xludf.DUMMYFUNCTION("""COMPUTED_VALUE"""),5.0)</f>
        <v>5</v>
      </c>
      <c r="C38" t="str">
        <f>IFERROR(__xludf.DUMMYFUNCTION("""COMPUTED_VALUE"""),"*Transformers 3 : La Face cachée de la Lune*")</f>
        <v>*Transformers 3 : La Face cachée de la Lune*</v>
      </c>
      <c r="D38" t="str">
        <f>IFERROR(__xludf.DUMMYFUNCTION("""COMPUTED_VALUE"""),"Michael Bay")</f>
        <v>Michael Bay</v>
      </c>
      <c r="E38">
        <f>IFERROR(__xludf.DUMMYFUNCTION("""COMPUTED_VALUE"""),2011.0)</f>
        <v>2011</v>
      </c>
      <c r="F38" t="str">
        <f>IFERROR(__xludf.DUMMYFUNCTION("""COMPUTED_VALUE"""),"États-Unis")</f>
        <v>États-Unis</v>
      </c>
      <c r="G38" t="str">
        <f>IFERROR(__xludf.DUMMYFUNCTION("""COMPUTED_VALUE"""),"1 123 794 079 $[a 38]")</f>
        <v>1 123 794 079 $[a 38]</v>
      </c>
    </row>
    <row r="39">
      <c r="A39">
        <f>IFERROR(__xludf.DUMMYFUNCTION("""COMPUTED_VALUE"""),38.0)</f>
        <v>38</v>
      </c>
      <c r="B39">
        <f>IFERROR(__xludf.DUMMYFUNCTION("""COMPUTED_VALUE"""),7.0)</f>
        <v>7</v>
      </c>
      <c r="C39" t="str">
        <f>IFERROR(__xludf.DUMMYFUNCTION("""COMPUTED_VALUE"""),"*Skyfall*")</f>
        <v>*Skyfall*</v>
      </c>
      <c r="D39" t="str">
        <f>IFERROR(__xludf.DUMMYFUNCTION("""COMPUTED_VALUE"""),"Sam Mendes")</f>
        <v>Sam Mendes</v>
      </c>
      <c r="E39">
        <f>IFERROR(__xludf.DUMMYFUNCTION("""COMPUTED_VALUE"""),2012.0)</f>
        <v>2012</v>
      </c>
      <c r="F39" t="str">
        <f>IFERROR(__xludf.DUMMYFUNCTION("""COMPUTED_VALUE"""),"États-Unis
Royaume-Uni")</f>
        <v>États-Unis
Royaume-Uni</v>
      </c>
      <c r="G39" t="str">
        <f>IFERROR(__xludf.DUMMYFUNCTION("""COMPUTED_VALUE"""),"1 108 594 137 $[a 39]")</f>
        <v>1 108 594 137 $[a 39]</v>
      </c>
    </row>
    <row r="40">
      <c r="A40">
        <f>IFERROR(__xludf.DUMMYFUNCTION("""COMPUTED_VALUE"""),39.0)</f>
        <v>39</v>
      </c>
      <c r="B40">
        <f>IFERROR(__xludf.DUMMYFUNCTION("""COMPUTED_VALUE"""),10.0)</f>
        <v>10</v>
      </c>
      <c r="C40" t="str">
        <f>IFERROR(__xludf.DUMMYFUNCTION("""COMPUTED_VALUE"""),"*Transformers : L'Âge de l'extinction*")</f>
        <v>*Transformers : L'Âge de l'extinction*</v>
      </c>
      <c r="D40" t="str">
        <f>IFERROR(__xludf.DUMMYFUNCTION("""COMPUTED_VALUE"""),"Michael Bay")</f>
        <v>Michael Bay</v>
      </c>
      <c r="E40">
        <f>IFERROR(__xludf.DUMMYFUNCTION("""COMPUTED_VALUE"""),2014.0)</f>
        <v>2014</v>
      </c>
      <c r="F40" t="str">
        <f>IFERROR(__xludf.DUMMYFUNCTION("""COMPUTED_VALUE"""),"États-Unis")</f>
        <v>États-Unis</v>
      </c>
      <c r="G40" t="str">
        <f>IFERROR(__xludf.DUMMYFUNCTION("""COMPUTED_VALUE"""),"1 105 261 713 $[a 40]")</f>
        <v>1 105 261 713 $[a 40]</v>
      </c>
    </row>
    <row r="41">
      <c r="A41">
        <f>IFERROR(__xludf.DUMMYFUNCTION("""COMPUTED_VALUE"""),40.0)</f>
        <v>40</v>
      </c>
      <c r="B41">
        <f>IFERROR(__xludf.DUMMYFUNCTION("""COMPUTED_VALUE"""),1.0)</f>
        <v>1</v>
      </c>
      <c r="C41" t="str">
        <f>IFERROR(__xludf.DUMMYFUNCTION("""COMPUTED_VALUE"""),"*Jurassic Park*")</f>
        <v>*Jurassic Park*</v>
      </c>
      <c r="D41" t="str">
        <f>IFERROR(__xludf.DUMMYFUNCTION("""COMPUTED_VALUE"""),"Steven Spielberg")</f>
        <v>Steven Spielberg</v>
      </c>
      <c r="E41">
        <f>IFERROR(__xludf.DUMMYFUNCTION("""COMPUTED_VALUE"""),1993.0)</f>
        <v>1993</v>
      </c>
      <c r="F41" t="str">
        <f>IFERROR(__xludf.DUMMYFUNCTION("""COMPUTED_VALUE"""),"États-Unis")</f>
        <v>États-Unis</v>
      </c>
      <c r="G41" t="str">
        <f>IFERROR(__xludf.DUMMYFUNCTION("""COMPUTED_VALUE"""),"1 103 096 466 $[a 41]")</f>
        <v>1 103 096 466 $[a 41]</v>
      </c>
    </row>
    <row r="42">
      <c r="A42">
        <f>IFERROR(__xludf.DUMMYFUNCTION("""COMPUTED_VALUE"""),41.0)</f>
        <v>41</v>
      </c>
      <c r="B42">
        <f>IFERROR(__xludf.DUMMYFUNCTION("""COMPUTED_VALUE"""),7.0)</f>
        <v>7</v>
      </c>
      <c r="C42" t="str">
        <f>IFERROR(__xludf.DUMMYFUNCTION("""COMPUTED_VALUE"""),"*The Dark Knight Rises*")</f>
        <v>*The Dark Knight Rises*</v>
      </c>
      <c r="D42" t="str">
        <f>IFERROR(__xludf.DUMMYFUNCTION("""COMPUTED_VALUE"""),"Christopher Nolan")</f>
        <v>Christopher Nolan</v>
      </c>
      <c r="E42">
        <f>IFERROR(__xludf.DUMMYFUNCTION("""COMPUTED_VALUE"""),2012.0)</f>
        <v>2012</v>
      </c>
      <c r="F42" t="str">
        <f>IFERROR(__xludf.DUMMYFUNCTION("""COMPUTED_VALUE"""),"États-Unis
Royaume-Uni")</f>
        <v>États-Unis
Royaume-Uni</v>
      </c>
      <c r="G42" t="str">
        <f>IFERROR(__xludf.DUMMYFUNCTION("""COMPUTED_VALUE"""),"1 085 199 115 $[a 42]")</f>
        <v>1 085 199 115 $[a 42]</v>
      </c>
    </row>
    <row r="43">
      <c r="A43">
        <f>IFERROR(__xludf.DUMMYFUNCTION("""COMPUTED_VALUE"""),42.0)</f>
        <v>42</v>
      </c>
      <c r="B43">
        <f>IFERROR(__xludf.DUMMYFUNCTION("""COMPUTED_VALUE"""),31.0)</f>
        <v>31</v>
      </c>
      <c r="C43" t="str">
        <f>IFERROR(__xludf.DUMMYFUNCTION("""COMPUTED_VALUE"""),"*Joker*")</f>
        <v>*Joker*</v>
      </c>
      <c r="D43" t="str">
        <f>IFERROR(__xludf.DUMMYFUNCTION("""COMPUTED_VALUE"""),"Todd Phillips")</f>
        <v>Todd Phillips</v>
      </c>
      <c r="E43">
        <f>IFERROR(__xludf.DUMMYFUNCTION("""COMPUTED_VALUE"""),2019.0)</f>
        <v>2019</v>
      </c>
      <c r="F43" t="str">
        <f>IFERROR(__xludf.DUMMYFUNCTION("""COMPUTED_VALUE"""),"États-Unis")</f>
        <v>États-Unis</v>
      </c>
      <c r="G43" t="str">
        <f>IFERROR(__xludf.DUMMYFUNCTION("""COMPUTED_VALUE"""),"1 078 958 629 $[a 43]")</f>
        <v>1 078 958 629 $[a 43]</v>
      </c>
    </row>
    <row r="44">
      <c r="A44">
        <f>IFERROR(__xludf.DUMMYFUNCTION("""COMPUTED_VALUE"""),43.0)</f>
        <v>43</v>
      </c>
      <c r="B44">
        <f>IFERROR(__xludf.DUMMYFUNCTION("""COMPUTED_VALUE"""),32.0)</f>
        <v>32</v>
      </c>
      <c r="C44" t="str">
        <f>IFERROR(__xludf.DUMMYFUNCTION("""COMPUTED_VALUE"""),"*Star Wars, épisode IX : L'Ascension de Skywalker*")</f>
        <v>*Star Wars, épisode IX : L'Ascension de Skywalker*</v>
      </c>
      <c r="D44" t="str">
        <f>IFERROR(__xludf.DUMMYFUNCTION("""COMPUTED_VALUE"""),"J. J. Abrams")</f>
        <v>J. J. Abrams</v>
      </c>
      <c r="E44">
        <f>IFERROR(__xludf.DUMMYFUNCTION("""COMPUTED_VALUE"""),2019.0)</f>
        <v>2019</v>
      </c>
      <c r="F44" t="str">
        <f>IFERROR(__xludf.DUMMYFUNCTION("""COMPUTED_VALUE"""),"États-Unis")</f>
        <v>États-Unis</v>
      </c>
      <c r="G44" t="str">
        <f>IFERROR(__xludf.DUMMYFUNCTION("""COMPUTED_VALUE"""),"1 077 022 372 $[a 44]")</f>
        <v>1 077 022 372 $[a 44]</v>
      </c>
    </row>
    <row r="45">
      <c r="A45">
        <f>IFERROR(__xludf.DUMMYFUNCTION("""COMPUTED_VALUE"""),44.0)</f>
        <v>44</v>
      </c>
      <c r="B45">
        <f>IFERROR(__xludf.DUMMYFUNCTION("""COMPUTED_VALUE"""),30.0)</f>
        <v>30</v>
      </c>
      <c r="C45" t="str">
        <f>IFERROR(__xludf.DUMMYFUNCTION("""COMPUTED_VALUE"""),"*Toy Story 4*")</f>
        <v>*Toy Story 4*</v>
      </c>
      <c r="D45" t="str">
        <f>IFERROR(__xludf.DUMMYFUNCTION("""COMPUTED_VALUE"""),"Josh Cooley")</f>
        <v>Josh Cooley</v>
      </c>
      <c r="E45">
        <f>IFERROR(__xludf.DUMMYFUNCTION("""COMPUTED_VALUE"""),2019.0)</f>
        <v>2019</v>
      </c>
      <c r="F45" t="str">
        <f>IFERROR(__xludf.DUMMYFUNCTION("""COMPUTED_VALUE"""),"États-Unis")</f>
        <v>États-Unis</v>
      </c>
      <c r="G45" t="str">
        <f>IFERROR(__xludf.DUMMYFUNCTION("""COMPUTED_VALUE"""),"1 073 841 394 $[a 45]")</f>
        <v>1 073 841 394 $[a 45]</v>
      </c>
    </row>
    <row r="46">
      <c r="A46">
        <f>IFERROR(__xludf.DUMMYFUNCTION("""COMPUTED_VALUE"""),45.0)</f>
        <v>45</v>
      </c>
      <c r="B46">
        <f>IFERROR(__xludf.DUMMYFUNCTION("""COMPUTED_VALUE"""),4.0)</f>
        <v>4</v>
      </c>
      <c r="C46" t="str">
        <f>IFERROR(__xludf.DUMMYFUNCTION("""COMPUTED_VALUE"""),"*Toy Story 3*")</f>
        <v>*Toy Story 3*</v>
      </c>
      <c r="D46" t="str">
        <f>IFERROR(__xludf.DUMMYFUNCTION("""COMPUTED_VALUE"""),"Lee Unkrich")</f>
        <v>Lee Unkrich</v>
      </c>
      <c r="E46">
        <f>IFERROR(__xludf.DUMMYFUNCTION("""COMPUTED_VALUE"""),2010.0)</f>
        <v>2010</v>
      </c>
      <c r="F46" t="str">
        <f>IFERROR(__xludf.DUMMYFUNCTION("""COMPUTED_VALUE"""),"États-Unis")</f>
        <v>États-Unis</v>
      </c>
      <c r="G46" t="str">
        <f>IFERROR(__xludf.DUMMYFUNCTION("""COMPUTED_VALUE"""),"1 067 316 101 $[a 46]")</f>
        <v>1 067 316 101 $[a 46]</v>
      </c>
    </row>
    <row r="47">
      <c r="A47">
        <f>IFERROR(__xludf.DUMMYFUNCTION("""COMPUTED_VALUE"""),46.0)</f>
        <v>46</v>
      </c>
      <c r="B47">
        <f>IFERROR(__xludf.DUMMYFUNCTION("""COMPUTED_VALUE"""),3.0)</f>
        <v>3</v>
      </c>
      <c r="C47" t="str">
        <f>IFERROR(__xludf.DUMMYFUNCTION("""COMPUTED_VALUE"""),"*Pirates des Caraïbes : Le Secret du coffre maudit*")</f>
        <v>*Pirates des Caraïbes : Le Secret du coffre maudit*</v>
      </c>
      <c r="D47" t="str">
        <f>IFERROR(__xludf.DUMMYFUNCTION("""COMPUTED_VALUE"""),"Gore Verbinski")</f>
        <v>Gore Verbinski</v>
      </c>
      <c r="E47">
        <f>IFERROR(__xludf.DUMMYFUNCTION("""COMPUTED_VALUE"""),2006.0)</f>
        <v>2006</v>
      </c>
      <c r="F47" t="str">
        <f>IFERROR(__xludf.DUMMYFUNCTION("""COMPUTED_VALUE"""),"États-Unis")</f>
        <v>États-Unis</v>
      </c>
      <c r="G47" t="str">
        <f>IFERROR(__xludf.DUMMYFUNCTION("""COMPUTED_VALUE"""),"1 066 179 747 $[a 47]")</f>
        <v>1 066 179 747 $[a 47]</v>
      </c>
    </row>
    <row r="48">
      <c r="A48">
        <f>IFERROR(__xludf.DUMMYFUNCTION("""COMPUTED_VALUE"""),47.0)</f>
        <v>47</v>
      </c>
      <c r="B48">
        <f>IFERROR(__xludf.DUMMYFUNCTION("""COMPUTED_VALUE"""),45.0)</f>
        <v>45</v>
      </c>
      <c r="C48" t="str">
        <f>IFERROR(__xludf.DUMMYFUNCTION("""COMPUTED_VALUE"""),"*Vaiana 2*")</f>
        <v>*Vaiana 2*</v>
      </c>
      <c r="D48" t="str">
        <f>IFERROR(__xludf.DUMMYFUNCTION("""COMPUTED_VALUE"""),"David Derrick Jr. (en)")</f>
        <v>David Derrick Jr. (en)</v>
      </c>
      <c r="E48">
        <f>IFERROR(__xludf.DUMMYFUNCTION("""COMPUTED_VALUE"""),2024.0)</f>
        <v>2024</v>
      </c>
      <c r="F48" t="str">
        <f>IFERROR(__xludf.DUMMYFUNCTION("""COMPUTED_VALUE"""),"États-Unis")</f>
        <v>États-Unis</v>
      </c>
      <c r="G48" t="str">
        <f>IFERROR(__xludf.DUMMYFUNCTION("""COMPUTED_VALUE"""),"1 059 242 164 $[a 48]")</f>
        <v>1 059 242 164 $[a 48]</v>
      </c>
    </row>
    <row r="49">
      <c r="A49">
        <f>IFERROR(__xludf.DUMMYFUNCTION("""COMPUTED_VALUE"""),48.0)</f>
        <v>48</v>
      </c>
      <c r="B49">
        <f>IFERROR(__xludf.DUMMYFUNCTION("""COMPUTED_VALUE"""),20.0)</f>
        <v>20</v>
      </c>
      <c r="C49" t="str">
        <f>IFERROR(__xludf.DUMMYFUNCTION("""COMPUTED_VALUE"""),"*Rogue One: A Star Wars Story*")</f>
        <v>*Rogue One: A Star Wars Story*</v>
      </c>
      <c r="D49" t="str">
        <f>IFERROR(__xludf.DUMMYFUNCTION("""COMPUTED_VALUE"""),"Gareth Edwards")</f>
        <v>Gareth Edwards</v>
      </c>
      <c r="E49">
        <f>IFERROR(__xludf.DUMMYFUNCTION("""COMPUTED_VALUE"""),2016.0)</f>
        <v>2016</v>
      </c>
      <c r="F49" t="str">
        <f>IFERROR(__xludf.DUMMYFUNCTION("""COMPUTED_VALUE"""),"États-Unis")</f>
        <v>États-Unis</v>
      </c>
      <c r="G49" t="str">
        <f>IFERROR(__xludf.DUMMYFUNCTION("""COMPUTED_VALUE"""),"1 058 684 742 $[a 49]")</f>
        <v>1 058 684 742 $[a 49]</v>
      </c>
    </row>
    <row r="50">
      <c r="A50">
        <f>IFERROR(__xludf.DUMMYFUNCTION("""COMPUTED_VALUE"""),49.0)</f>
        <v>49</v>
      </c>
      <c r="B50">
        <f>IFERROR(__xludf.DUMMYFUNCTION("""COMPUTED_VALUE"""),34.0)</f>
        <v>34</v>
      </c>
      <c r="C50" t="str">
        <f>IFERROR(__xludf.DUMMYFUNCTION("""COMPUTED_VALUE"""),"*Aladdin*")</f>
        <v>*Aladdin*</v>
      </c>
      <c r="D50" t="str">
        <f>IFERROR(__xludf.DUMMYFUNCTION("""COMPUTED_VALUE"""),"Guy Ritchie")</f>
        <v>Guy Ritchie</v>
      </c>
      <c r="E50">
        <f>IFERROR(__xludf.DUMMYFUNCTION("""COMPUTED_VALUE"""),2019.0)</f>
        <v>2019</v>
      </c>
      <c r="F50" t="str">
        <f>IFERROR(__xludf.DUMMYFUNCTION("""COMPUTED_VALUE"""),"États-Unis")</f>
        <v>États-Unis</v>
      </c>
      <c r="G50" t="str">
        <f>IFERROR(__xludf.DUMMYFUNCTION("""COMPUTED_VALUE"""),"1 054 304 000 $[a 50]")</f>
        <v>1 054 304 000 $[a 50]</v>
      </c>
    </row>
    <row r="51">
      <c r="A51">
        <f>IFERROR(__xludf.DUMMYFUNCTION("""COMPUTED_VALUE"""),50.0)</f>
        <v>50</v>
      </c>
      <c r="B51">
        <f>IFERROR(__xludf.DUMMYFUNCTION("""COMPUTED_VALUE"""),6.0)</f>
        <v>6</v>
      </c>
      <c r="C51" t="str">
        <f>IFERROR(__xludf.DUMMYFUNCTION("""COMPUTED_VALUE"""),"*Pirates des Caraïbes : La Fontaine de Jouvence*")</f>
        <v>*Pirates des Caraïbes : La Fontaine de Jouvence*</v>
      </c>
      <c r="D51" t="str">
        <f>IFERROR(__xludf.DUMMYFUNCTION("""COMPUTED_VALUE"""),"Rob Marshall")</f>
        <v>Rob Marshall</v>
      </c>
      <c r="E51">
        <f>IFERROR(__xludf.DUMMYFUNCTION("""COMPUTED_VALUE"""),2011.0)</f>
        <v>2011</v>
      </c>
      <c r="F51" t="str">
        <f>IFERROR(__xludf.DUMMYFUNCTION("""COMPUTED_VALUE"""),"États-Unis")</f>
        <v>États-Unis</v>
      </c>
      <c r="G51" t="str">
        <f>IFERROR(__xludf.DUMMYFUNCTION("""COMPUTED_VALUE"""),"1 046 721 266 $[a 51]")</f>
        <v>1 046 721 266 $[a 51]</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t="str">
        <f>IFERROR(__xludf.DUMMYFUNCTION("IMPORTHTML(""https://fr.wikipedia.org/wiki/Liste_des_plus_gros_succès_du_box-office_mondial"",""table"",2)"),"#REF!")</f>
        <v>#REF!</v>
      </c>
    </row>
    <row r="2">
      <c r="A2" s="1" t="s">
        <v>8</v>
      </c>
      <c r="C2" s="1"/>
    </row>
    <row r="4">
      <c r="C4" s="10"/>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1.88"/>
    <col customWidth="1" min="4" max="4" width="26.63"/>
    <col customWidth="1" min="5" max="5" width="25.63"/>
  </cols>
  <sheetData>
    <row r="1">
      <c r="A1" t="str">
        <f>IFERROR(__xludf.DUMMYFUNCTION("importhtml(""https://fr.wikipedia.org/wiki/Liste_des_jeux_vid%C3%A9o_les_plus_vendus"",""table"",2)"),"Rang")</f>
        <v>Rang</v>
      </c>
      <c r="B1" t="str">
        <f>IFERROR(__xludf.DUMMYFUNCTION("""COMPUTED_VALUE"""),"Titre")</f>
        <v>Titre</v>
      </c>
      <c r="C1" t="str">
        <f>IFERROR(__xludf.DUMMYFUNCTION("""COMPUTED_VALUE"""),"Date de sortie")</f>
        <v>Date de sortie</v>
      </c>
      <c r="D1" t="str">
        <f>IFERROR(__xludf.DUMMYFUNCTION("""COMPUTED_VALUE"""),"Exemplaires vendus")</f>
        <v>Exemplaires vendus</v>
      </c>
      <c r="E1" t="str">
        <f>IFERROR(__xludf.DUMMYFUNCTION("""COMPUTED_VALUE"""),"Commentaires")</f>
        <v>Commentaires</v>
      </c>
    </row>
    <row r="2">
      <c r="A2">
        <f>IFERROR(__xludf.DUMMYFUNCTION("""COMPUTED_VALUE"""),1.0)</f>
        <v>1</v>
      </c>
      <c r="B2" t="str">
        <f>IFERROR(__xludf.DUMMYFUNCTION("""COMPUTED_VALUE"""),"*Pac-Man*")</f>
        <v>*Pac-Man*</v>
      </c>
      <c r="C2" s="11">
        <f>IFERROR(__xludf.DUMMYFUNCTION("""COMPUTED_VALUE"""),30011.0)</f>
        <v>30011</v>
      </c>
      <c r="D2" t="str">
        <f>IFERROR(__xludf.DUMMYFUNCTION("""COMPUTED_VALUE"""),"7,7 millions[58]")</f>
        <v>7,7 millions[58]</v>
      </c>
      <c r="E2" t="str">
        <f>IFERROR(__xludf.DUMMYFUNCTION("""COMPUTED_VALUE"""),"Produit à 12 millions d'exemplaires par Atari.")</f>
        <v>Produit à 12 millions d'exemplaires par Atari.</v>
      </c>
    </row>
    <row r="3">
      <c r="A3">
        <f>IFERROR(__xludf.DUMMYFUNCTION("""COMPUTED_VALUE"""),2.0)</f>
        <v>2</v>
      </c>
      <c r="B3" t="str">
        <f>IFERROR(__xludf.DUMMYFUNCTION("""COMPUTED_VALUE"""),"*Donkey Kong*")</f>
        <v>*Donkey Kong*</v>
      </c>
      <c r="C3" s="11">
        <f>IFERROR(__xludf.DUMMYFUNCTION("""COMPUTED_VALUE"""),30133.0)</f>
        <v>30133</v>
      </c>
      <c r="D3" t="str">
        <f>IFERROR(__xludf.DUMMYFUNCTION("""COMPUTED_VALUE"""),"4 millions[59]")</f>
        <v>4 millions[59]</v>
      </c>
      <c r="E3" t="str">
        <f>IFERROR(__xludf.DUMMYFUNCTION("""COMPUTED_VALUE"""),"Édité par Coleco à la suite d'un accord avec Nintendo.")</f>
        <v>Édité par Coleco à la suite d'un accord avec Nintendo.</v>
      </c>
    </row>
    <row r="4">
      <c r="B4" t="str">
        <f>IFERROR(__xludf.DUMMYFUNCTION("""COMPUTED_VALUE"""),"*Pitfall!*")</f>
        <v>*Pitfall!*</v>
      </c>
      <c r="C4" s="11">
        <f>IFERROR(__xludf.DUMMYFUNCTION("""COMPUTED_VALUE"""),30195.0)</f>
        <v>30195</v>
      </c>
      <c r="D4" t="str">
        <f>IFERROR(__xludf.DUMMYFUNCTION("""COMPUTED_VALUE"""),"4 millions[60]")</f>
        <v>4 millions[60]</v>
      </c>
    </row>
    <row r="5">
      <c r="A5">
        <f>IFERROR(__xludf.DUMMYFUNCTION("""COMPUTED_VALUE"""),4.0)</f>
        <v>4</v>
      </c>
      <c r="B5" t="str">
        <f>IFERROR(__xludf.DUMMYFUNCTION("""COMPUTED_VALUE"""),"*Asteroids*")</f>
        <v>*Asteroids*</v>
      </c>
      <c r="C5" s="11">
        <f>IFERROR(__xludf.DUMMYFUNCTION("""COMPUTED_VALUE"""),29768.0)</f>
        <v>29768</v>
      </c>
      <c r="D5" t="str">
        <f>IFERROR(__xludf.DUMMYFUNCTION("""COMPUTED_VALUE"""),"3,8 millions[58]")</f>
        <v>3,8 millions[58]</v>
      </c>
      <c r="E5" t="str">
        <f>IFERROR(__xludf.DUMMYFUNCTION("""COMPUTED_VALUE"""),"Meilleure vente de l'Atari 2600 avant la sortie de *Pac-Man*.")</f>
        <v>Meilleure vente de l'Atari 2600 avant la sortie de *Pac-Man*.</v>
      </c>
    </row>
    <row r="6">
      <c r="A6">
        <f>IFERROR(__xludf.DUMMYFUNCTION("""COMPUTED_VALUE"""),5.0)</f>
        <v>5</v>
      </c>
      <c r="B6" t="str">
        <f>IFERROR(__xludf.DUMMYFUNCTION("""COMPUTED_VALUE"""),"*Defender*")</f>
        <v>*Defender*</v>
      </c>
      <c r="C6" s="11">
        <f>IFERROR(__xludf.DUMMYFUNCTION("""COMPUTED_VALUE"""),30103.0)</f>
        <v>30103</v>
      </c>
      <c r="D6" t="str">
        <f>IFERROR(__xludf.DUMMYFUNCTION("""COMPUTED_VALUE"""),"3 millions[61]")</f>
        <v>3 millions[61]</v>
      </c>
    </row>
    <row r="7">
      <c r="A7">
        <f>IFERROR(__xludf.DUMMYFUNCTION("""COMPUTED_VALUE"""),6.0)</f>
        <v>6</v>
      </c>
      <c r="B7" t="str">
        <f>IFERROR(__xludf.DUMMYFUNCTION("""COMPUTED_VALUE"""),"*Missile Command*")</f>
        <v>*Missile Command*</v>
      </c>
      <c r="C7" s="11">
        <f>IFERROR(__xludf.DUMMYFUNCTION("""COMPUTED_VALUE"""),29677.0)</f>
        <v>29677</v>
      </c>
      <c r="D7" t="str">
        <f>IFERROR(__xludf.DUMMYFUNCTION("""COMPUTED_VALUE"""),"2,5 millions[62]")</f>
        <v>2,5 millions[62]</v>
      </c>
    </row>
    <row r="8">
      <c r="A8">
        <f>IFERROR(__xludf.DUMMYFUNCTION("""COMPUTED_VALUE"""),7.0)</f>
        <v>7</v>
      </c>
      <c r="B8" t="str">
        <f>IFERROR(__xludf.DUMMYFUNCTION("""COMPUTED_VALUE"""),"*Space Invaders*")</f>
        <v>*Space Invaders*</v>
      </c>
      <c r="C8" s="11">
        <f>IFERROR(__xludf.DUMMYFUNCTION("""COMPUTED_VALUE"""),29281.0)</f>
        <v>29281</v>
      </c>
      <c r="D8" t="str">
        <f>IFERROR(__xludf.DUMMYFUNCTION("""COMPUTED_VALUE"""),"2 millions[63]")</f>
        <v>2 millions[63]</v>
      </c>
      <c r="E8" t="str">
        <f>IFERROR(__xludf.DUMMYFUNCTION("""COMPUTED_VALUE"""),"Premier jeu à avoir atteint le million de cartouches vendues[64].")</f>
        <v>Premier jeu à avoir atteint le million de cartouches vendues[64].</v>
      </c>
    </row>
    <row r="9">
      <c r="B9" t="str">
        <f>IFERROR(__xludf.DUMMYFUNCTION("""COMPUTED_VALUE"""),"*Demon Attack*")</f>
        <v>*Demon Attack*</v>
      </c>
      <c r="C9" s="11">
        <f>IFERROR(__xludf.DUMMYFUNCTION("""COMPUTED_VALUE"""),30011.0)</f>
        <v>30011</v>
      </c>
      <c r="D9" t="str">
        <f>IFERROR(__xludf.DUMMYFUNCTION("""COMPUTED_VALUE"""),"2 millions[62]")</f>
        <v>2 millions[62]</v>
      </c>
    </row>
    <row r="10">
      <c r="A10">
        <f>IFERROR(__xludf.DUMMYFUNCTION("""COMPUTED_VALUE"""),9.0)</f>
        <v>9</v>
      </c>
      <c r="B10" t="str">
        <f>IFERROR(__xludf.DUMMYFUNCTION("""COMPUTED_VALUE"""),"*E.T. the Extra-Terrestrial*")</f>
        <v>*E.T. the Extra-Terrestrial*</v>
      </c>
      <c r="C10" s="11">
        <f>IFERROR(__xludf.DUMMYFUNCTION("""COMPUTED_VALUE"""),30286.0)</f>
        <v>30286</v>
      </c>
      <c r="D10" t="str">
        <f>IFERROR(__xludf.DUMMYFUNCTION("""COMPUTED_VALUE"""),"1,5 million[65]")</f>
        <v>1,5 million[65]</v>
      </c>
    </row>
    <row r="11">
      <c r="A11">
        <f>IFERROR(__xludf.DUMMYFUNCTION("""COMPUTED_VALUE"""),10.0)</f>
        <v>10</v>
      </c>
      <c r="B11" t="str">
        <f>IFERROR(__xludf.DUMMYFUNCTION("""COMPUTED_VALUE"""),"*Adventure*")</f>
        <v>*Adventure*</v>
      </c>
      <c r="C11" s="11">
        <f>IFERROR(__xludf.DUMMYFUNCTION("""COMPUTED_VALUE"""),29465.0)</f>
        <v>29465</v>
      </c>
      <c r="D11" t="str">
        <f>IFERROR(__xludf.DUMMYFUNCTION("""COMPUTED_VALUE"""),"1 million[66]")</f>
        <v>1 million[66]</v>
      </c>
    </row>
    <row r="12">
      <c r="B12" t="str">
        <f>IFERROR(__xludf.DUMMYFUNCTION("""COMPUTED_VALUE"""),"*Atlantis*")</f>
        <v>*Atlantis*</v>
      </c>
      <c r="C12" s="11">
        <f>IFERROR(__xludf.DUMMYFUNCTION("""COMPUTED_VALUE"""),30164.0)</f>
        <v>30164</v>
      </c>
      <c r="D12" t="str">
        <f>IFERROR(__xludf.DUMMYFUNCTION("""COMPUTED_VALUE"""),"1 million[67]")</f>
        <v>1 million[67]</v>
      </c>
    </row>
    <row r="13">
      <c r="B13" t="str">
        <f>IFERROR(__xludf.DUMMYFUNCTION("""COMPUTED_VALUE"""),"*Cosmic Ark (en)*")</f>
        <v>*Cosmic Ark (en)*</v>
      </c>
      <c r="C13" s="11">
        <f>IFERROR(__xludf.DUMMYFUNCTION("""COMPUTED_VALUE"""),30133.0)</f>
        <v>30133</v>
      </c>
      <c r="D13" t="str">
        <f>IFERROR(__xludf.DUMMYFUNCTION("""COMPUTED_VALUE"""),"1 million[62]")</f>
        <v>1 million[62]</v>
      </c>
    </row>
    <row r="14">
      <c r="B14" t="str">
        <f>IFERROR(__xludf.DUMMYFUNCTION("""COMPUTED_VALUE"""),"*Kaboom!*")</f>
        <v>*Kaboom!*</v>
      </c>
      <c r="C14" s="11">
        <f>IFERROR(__xludf.DUMMYFUNCTION("""COMPUTED_VALUE"""),29768.0)</f>
        <v>29768</v>
      </c>
      <c r="D14" t="str">
        <f>IFERROR(__xludf.DUMMYFUNCTION("""COMPUTED_VALUE"""),"1 million[68]")</f>
        <v>1 million[68]</v>
      </c>
    </row>
    <row r="15">
      <c r="B15" t="str">
        <f>IFERROR(__xludf.DUMMYFUNCTION("""COMPUTED_VALUE"""),"*Megamania*")</f>
        <v>*Megamania*</v>
      </c>
      <c r="C15" s="11">
        <f>IFERROR(__xludf.DUMMYFUNCTION("""COMPUTED_VALUE"""),30195.0)</f>
        <v>30195</v>
      </c>
      <c r="D15" t="str">
        <f>IFERROR(__xludf.DUMMYFUNCTION("""COMPUTED_VALUE"""),"1 million[67]")</f>
        <v>1 million[67]</v>
      </c>
    </row>
    <row r="16">
      <c r="B16" t="str">
        <f>IFERROR(__xludf.DUMMYFUNCTION("""COMPUTED_VALUE"""),"*Yars' Revenge*")</f>
        <v>*Yars' Revenge*</v>
      </c>
      <c r="C16" s="11">
        <f>IFERROR(__xludf.DUMMYFUNCTION("""COMPUTED_VALUE"""),30072.0)</f>
        <v>30072</v>
      </c>
      <c r="D16" t="str">
        <f>IFERROR(__xludf.DUMMYFUNCTION("""COMPUTED_VALUE"""),"1 million[69]")</f>
        <v>1 million[69]</v>
      </c>
    </row>
    <row r="17">
      <c r="B17" t="str">
        <f>IFERROR(__xludf.DUMMYFUNCTION("""COMPUTED_VALUE"""),"*Raiders of the Lost Ark*")</f>
        <v>*Raiders of the Lost Ark*</v>
      </c>
      <c r="C17" s="11">
        <f>IFERROR(__xludf.DUMMYFUNCTION("""COMPUTED_VALUE"""),30256.0)</f>
        <v>30256</v>
      </c>
      <c r="D17" t="str">
        <f>IFERROR(__xludf.DUMMYFUNCTION("""COMPUTED_VALUE"""),"1 million[69]")</f>
        <v>1 million[69]</v>
      </c>
    </row>
    <row r="18">
      <c r="B18" t="str">
        <f>IFERROR(__xludf.DUMMYFUNCTION("""COMPUTED_VALUE"""),"*River Raid*")</f>
        <v>*River Raid*</v>
      </c>
      <c r="C18" s="11">
        <f>IFERROR(__xludf.DUMMYFUNCTION("""COMPUTED_VALUE"""),30286.0)</f>
        <v>30286</v>
      </c>
      <c r="D18" t="str">
        <f>IFERROR(__xludf.DUMMYFUNCTION("""COMPUTED_VALUE"""),"1 million[68]")</f>
        <v>1 million[68]</v>
      </c>
    </row>
    <row r="19">
      <c r="B19" t="str">
        <f>IFERROR(__xludf.DUMMYFUNCTION("""COMPUTED_VALUE"""),"*Laser Blast (en)*")</f>
        <v>*Laser Blast (en)*</v>
      </c>
      <c r="C19" s="11">
        <f>IFERROR(__xludf.DUMMYFUNCTION("""COMPUTED_VALUE"""),29646.0)</f>
        <v>29646</v>
      </c>
      <c r="D19" t="str">
        <f>IFERROR(__xludf.DUMMYFUNCTION("""COMPUTED_VALUE"""),"1 million[68]")</f>
        <v>1 million[68]</v>
      </c>
    </row>
    <row r="20">
      <c r="B20" t="str">
        <f>IFERROR(__xludf.DUMMYFUNCTION("""COMPUTED_VALUE"""),"*Freeway (en)*")</f>
        <v>*Freeway (en)*</v>
      </c>
      <c r="C20" s="11">
        <f>IFERROR(__xludf.DUMMYFUNCTION("""COMPUTED_VALUE"""),29768.0)</f>
        <v>29768</v>
      </c>
      <c r="D20" t="str">
        <f>IFERROR(__xludf.DUMMYFUNCTION("""COMPUTED_VALUE"""),"1 million[68]")</f>
        <v>1 million[68]</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25"/>
  </cols>
  <sheetData>
    <row r="1">
      <c r="A1" s="12" t="str">
        <f>IFERROR(__xludf.DUMMYFUNCTION("importhtml(""https://fr.wikipedia.org/wiki/Bordeaux"",""table"",1)"),"Bordeaux")</f>
        <v>Bordeaux</v>
      </c>
    </row>
    <row r="2">
      <c r="A2" t="str">
        <f>IFERROR(__xludf.DUMMYFUNCTION("""COMPUTED_VALUE"""),"De haut en bas et de gauche à droite : La place de la Bourse ; Le pont de 
pierre ; La place des Quinconces avec le tramway ; Le Grand-Théâtre de 
nuit ; La Cité du Vin vue de la Garonne ; La place Pey Berland avec la cathédrale 
Saint-André et la tour Pe"&amp;"y-Berland ; Les quais de Bordeaux avec le pont 
Jacques-Chaban-Delmas.")</f>
        <v>De haut en bas et de gauche à droite : La place de la Bourse ; Le pont de 
pierre ; La place des Quinconces avec le tramway ; Le Grand-Théâtre de 
nuit ; La Cité du Vin vue de la Garonne ; La place Pey Berland avec la cathédrale 
Saint-André et la tour Pey-Berland ; Les quais de Bordeaux avec le pont 
Jacques-Chaban-Delmas.</v>
      </c>
    </row>
    <row r="3">
      <c r="A3" t="str">
        <f>IFERROR(__xludf.DUMMYFUNCTION("""COMPUTED_VALUE"""),"Blason")</f>
        <v>Blason</v>
      </c>
      <c r="B3" t="str">
        <f>IFERROR(__xludf.DUMMYFUNCTION("""COMPUTED_VALUE"""),"Logo")</f>
        <v>Logo</v>
      </c>
    </row>
    <row r="4">
      <c r="A4" t="str">
        <f>IFERROR(__xludf.DUMMYFUNCTION("""COMPUTED_VALUE"""),"Administration")</f>
        <v>Administration</v>
      </c>
    </row>
    <row r="5">
      <c r="A5" t="str">
        <f>IFERROR(__xludf.DUMMYFUNCTION("""COMPUTED_VALUE"""),"Pays")</f>
        <v>Pays</v>
      </c>
      <c r="B5" t="str">
        <f>IFERROR(__xludf.DUMMYFUNCTION("""COMPUTED_VALUE"""),"France")</f>
        <v>France</v>
      </c>
    </row>
    <row r="6">
      <c r="A6" t="str">
        <f>IFERROR(__xludf.DUMMYFUNCTION("""COMPUTED_VALUE"""),"Région")</f>
        <v>Région</v>
      </c>
      <c r="B6" t="str">
        <f>IFERROR(__xludf.DUMMYFUNCTION("""COMPUTED_VALUE"""),"Nouvelle-Aquitaine
(préfecture)")</f>
        <v>Nouvelle-Aquitaine
(préfecture)</v>
      </c>
    </row>
    <row r="7">
      <c r="A7" t="str">
        <f>IFERROR(__xludf.DUMMYFUNCTION("""COMPUTED_VALUE"""),"Département")</f>
        <v>Département</v>
      </c>
      <c r="B7" t="str">
        <f>IFERROR(__xludf.DUMMYFUNCTION("""COMPUTED_VALUE"""),"Gironde
(préfecture)")</f>
        <v>Gironde
(préfecture)</v>
      </c>
    </row>
    <row r="8">
      <c r="A8" t="str">
        <f>IFERROR(__xludf.DUMMYFUNCTION("""COMPUTED_VALUE"""),"Métropole")</f>
        <v>Métropole</v>
      </c>
      <c r="B8" t="str">
        <f>IFERROR(__xludf.DUMMYFUNCTION("""COMPUTED_VALUE"""),"Bordeaux Métropole
(siège)")</f>
        <v>Bordeaux Métropole
(siège)</v>
      </c>
    </row>
    <row r="9">
      <c r="A9" t="str">
        <f>IFERROR(__xludf.DUMMYFUNCTION("""COMPUTED_VALUE"""),"Arrondissement")</f>
        <v>Arrondissement</v>
      </c>
      <c r="B9" t="str">
        <f>IFERROR(__xludf.DUMMYFUNCTION("""COMPUTED_VALUE"""),"Arrondissement de Bordeaux
(chef-lieu)")</f>
        <v>Arrondissement de Bordeaux
(chef-lieu)</v>
      </c>
    </row>
    <row r="10">
      <c r="A10" t="str">
        <f>IFERROR(__xludf.DUMMYFUNCTION("""COMPUTED_VALUE"""),"Maire
Mandat")</f>
        <v>Maire
Mandat</v>
      </c>
      <c r="B10" t="str">
        <f>IFERROR(__xludf.DUMMYFUNCTION("""COMPUTED_VALUE"""),"Pierre Hurmic (LÉ) 
2020-2026")</f>
        <v>Pierre Hurmic (LÉ) 
2020-2026</v>
      </c>
    </row>
    <row r="11">
      <c r="A11" t="str">
        <f>IFERROR(__xludf.DUMMYFUNCTION("""COMPUTED_VALUE"""),"Code postal")</f>
        <v>Code postal</v>
      </c>
      <c r="B11" t="str">
        <f>IFERROR(__xludf.DUMMYFUNCTION("""COMPUTED_VALUE"""),"33000 Bordeaux Centre
33100 La Bastide
33200 Caudéran
33300 Bordeaux Maritime, Chartrons
33800 Bordeaux Sud, Nansouty, Saint-Augustin")</f>
        <v>33000 Bordeaux Centre
33100 La Bastide
33200 Caudéran
33300 Bordeaux Maritime, Chartrons
33800 Bordeaux Sud, Nansouty, Saint-Augustin</v>
      </c>
    </row>
    <row r="12">
      <c r="A12" t="str">
        <f>IFERROR(__xludf.DUMMYFUNCTION("""COMPUTED_VALUE"""),"Code commune")</f>
        <v>Code commune</v>
      </c>
      <c r="B12">
        <f>IFERROR(__xludf.DUMMYFUNCTION("""COMPUTED_VALUE"""),33063.0)</f>
        <v>33063</v>
      </c>
    </row>
    <row r="13">
      <c r="A13" t="str">
        <f>IFERROR(__xludf.DUMMYFUNCTION("""COMPUTED_VALUE"""),"Démographie")</f>
        <v>Démographie</v>
      </c>
    </row>
    <row r="14">
      <c r="A14" t="str">
        <f>IFERROR(__xludf.DUMMYFUNCTION("""COMPUTED_VALUE"""),"Gentilé")</f>
        <v>Gentilé</v>
      </c>
      <c r="B14" t="str">
        <f>IFERROR(__xludf.DUMMYFUNCTION("""COMPUTED_VALUE"""),"Bordelais, Bordelaise")</f>
        <v>Bordelais, Bordelaise</v>
      </c>
    </row>
    <row r="15">
      <c r="A15" t="str">
        <f>IFERROR(__xludf.DUMMYFUNCTION("""COMPUTED_VALUE"""),"Population
municipale")</f>
        <v>Population
municipale</v>
      </c>
      <c r="B15" t="str">
        <f>IFERROR(__xludf.DUMMYFUNCTION("""COMPUTED_VALUE"""),"267 991 hab.(2023 )")</f>
        <v>267 991 hab.(2023 )</v>
      </c>
    </row>
    <row r="16">
      <c r="A16" t="str">
        <f>IFERROR(__xludf.DUMMYFUNCTION("""COMPUTED_VALUE"""),"Densité")</f>
        <v>Densité</v>
      </c>
      <c r="B16" t="str">
        <f>IFERROR(__xludf.DUMMYFUNCTION("""COMPUTED_VALUE"""),"5 429 hab./km2")</f>
        <v>5 429 hab./km2</v>
      </c>
    </row>
    <row r="17">
      <c r="A17" t="str">
        <f>IFERROR(__xludf.DUMMYFUNCTION("""COMPUTED_VALUE"""),"Population 
unité urbaine")</f>
        <v>Population 
unité urbaine</v>
      </c>
      <c r="B17" t="str">
        <f>IFERROR(__xludf.DUMMYFUNCTION("""COMPUTED_VALUE"""),"1 034 027 hab.(2023)")</f>
        <v>1 034 027 hab.(2023)</v>
      </c>
    </row>
    <row r="18">
      <c r="A18" t="str">
        <f>IFERROR(__xludf.DUMMYFUNCTION("""COMPUTED_VALUE"""),"Géographie")</f>
        <v>Géographie</v>
      </c>
    </row>
    <row r="19">
      <c r="A19" t="str">
        <f>IFERROR(__xludf.DUMMYFUNCTION("""COMPUTED_VALUE"""),"Coordonnées")</f>
        <v>Coordonnées</v>
      </c>
      <c r="B19" t="str">
        <f>IFERROR(__xludf.DUMMYFUNCTION("""COMPUTED_VALUE"""),"44° 50′ 16″ nord, 0° 34′ 46″ ouest")</f>
        <v>44° 50′ 16″ nord, 0° 34′ 46″ ouest</v>
      </c>
    </row>
    <row r="20">
      <c r="A20" t="str">
        <f>IFERROR(__xludf.DUMMYFUNCTION("""COMPUTED_VALUE"""),"Altitude")</f>
        <v>Altitude</v>
      </c>
      <c r="B20" t="str">
        <f>IFERROR(__xludf.DUMMYFUNCTION("""COMPUTED_VALUE"""),"Min. 1 m
Max. 42 m")</f>
        <v>Min. 1 m
Max. 42 m</v>
      </c>
    </row>
    <row r="21">
      <c r="A21" t="str">
        <f>IFERROR(__xludf.DUMMYFUNCTION("""COMPUTED_VALUE"""),"Superficie")</f>
        <v>Superficie</v>
      </c>
      <c r="B21" t="str">
        <f>IFERROR(__xludf.DUMMYFUNCTION("""COMPUTED_VALUE"""),"49,36 km2")</f>
        <v>49,36 km2</v>
      </c>
    </row>
    <row r="22">
      <c r="A22" t="str">
        <f>IFERROR(__xludf.DUMMYFUNCTION("""COMPUTED_VALUE"""),"Type")</f>
        <v>Type</v>
      </c>
      <c r="B22" t="str">
        <f>IFERROR(__xludf.DUMMYFUNCTION("""COMPUTED_VALUE"""),"Grand centre urbain")</f>
        <v>Grand centre urbain</v>
      </c>
    </row>
    <row r="23">
      <c r="A23" t="str">
        <f>IFERROR(__xludf.DUMMYFUNCTION("""COMPUTED_VALUE"""),"Unité urbaine")</f>
        <v>Unité urbaine</v>
      </c>
      <c r="B23" t="str">
        <f>IFERROR(__xludf.DUMMYFUNCTION("""COMPUTED_VALUE"""),"Bordeaux
(ville-centre)")</f>
        <v>Bordeaux
(ville-centre)</v>
      </c>
    </row>
    <row r="24">
      <c r="A24" t="str">
        <f>IFERROR(__xludf.DUMMYFUNCTION("""COMPUTED_VALUE"""),"Aire d'attraction")</f>
        <v>Aire d'attraction</v>
      </c>
      <c r="B24" t="str">
        <f>IFERROR(__xludf.DUMMYFUNCTION("""COMPUTED_VALUE"""),"Bordeaux
(commune-centre)")</f>
        <v>Bordeaux
(commune-centre)</v>
      </c>
    </row>
    <row r="25">
      <c r="A25" t="str">
        <f>IFERROR(__xludf.DUMMYFUNCTION("""COMPUTED_VALUE"""),"Élections")</f>
        <v>Élections</v>
      </c>
    </row>
    <row r="26">
      <c r="A26" t="str">
        <f>IFERROR(__xludf.DUMMYFUNCTION("""COMPUTED_VALUE"""),"Départementales")</f>
        <v>Départementales</v>
      </c>
      <c r="B26" t="str">
        <f>IFERROR(__xludf.DUMMYFUNCTION("""COMPUTED_VALUE"""),"Canton de Bordeaux-1,
Canton de Bordeaux-2,
Canton de Bordeaux-3,
Canton de Bordeaux-4 et
Canton de Bordeaux-5
(bureau centralisateur)")</f>
        <v>Canton de Bordeaux-1,
Canton de Bordeaux-2,
Canton de Bordeaux-3,
Canton de Bordeaux-4 et
Canton de Bordeaux-5
(bureau centralisateur)</v>
      </c>
    </row>
    <row r="27">
      <c r="A27" t="str">
        <f>IFERROR(__xludf.DUMMYFUNCTION("""COMPUTED_VALUE"""),"Législatives")</f>
        <v>Législatives</v>
      </c>
      <c r="B27" t="str">
        <f>IFERROR(__xludf.DUMMYFUNCTION("""COMPUTED_VALUE"""),"1re circonscription,
2e circonscription et
3e circonscription de la Gironde")</f>
        <v>1re circonscription,
2e circonscription et
3e circonscription de la Gironde</v>
      </c>
    </row>
    <row r="28">
      <c r="A28" t="str">
        <f>IFERROR(__xludf.DUMMYFUNCTION("""COMPUTED_VALUE"""),"Patrimoine mondial")</f>
        <v>Patrimoine mondial</v>
      </c>
    </row>
    <row r="29">
      <c r="A29" t="str">
        <f>IFERROR(__xludf.DUMMYFUNCTION("""COMPUTED_VALUE"""),"Inclus les Biens")</f>
        <v>Inclus les Biens</v>
      </c>
      <c r="B29" t="str">
        <f>IFERROR(__xludf.DUMMYFUNCTION("""COMPUTED_VALUE"""),"Bordeaux, Port de la Lune")</f>
        <v>Bordeaux, Port de la Lune</v>
      </c>
    </row>
    <row r="30">
      <c r="A30" t="str">
        <f>IFERROR(__xludf.DUMMYFUNCTION("""COMPUTED_VALUE"""),"Inclus des Sites de")</f>
        <v>Inclus des Sites de</v>
      </c>
      <c r="B30" t="str">
        <f>IFERROR(__xludf.DUMMYFUNCTION("""COMPUTED_VALUE"""),"Chemins de Saint-Jacques-de-Compostelle en France")</f>
        <v>Chemins de Saint-Jacques-de-Compostelle en France</v>
      </c>
    </row>
    <row r="31">
      <c r="A31" t="str">
        <f>IFERROR(__xludf.DUMMYFUNCTION("""COMPUTED_VALUE"""),"Localisation")</f>
        <v>Localisation</v>
      </c>
    </row>
    <row r="32">
      <c r="A32" t="str">
        <f>IFERROR(__xludf.DUMMYFUNCTION("""COMPUTED_VALUE"""),"Géolocalisation sur la carte : France
[TABLE] 
Géolocalisation sur la carte : France
[TABLE] 
Géolocalisation sur la carte : Gironde
[TABLE] 
Géolocalisation sur la carte : Nouvelle-Aquitaine
[TABLE]")</f>
        <v>Géolocalisation sur la carte : France
[TABLE] 
Géolocalisation sur la carte : France
[TABLE] 
Géolocalisation sur la carte : Gironde
[TABLE] 
Géolocalisation sur la carte : Nouvelle-Aquitaine
[TABLE]</v>
      </c>
    </row>
    <row r="33">
      <c r="A33" t="str">
        <f>IFERROR(__xludf.DUMMYFUNCTION("""COMPUTED_VALUE"""),"Liens")</f>
        <v>Liens</v>
      </c>
    </row>
    <row r="34">
      <c r="A34" t="str">
        <f>IFERROR(__xludf.DUMMYFUNCTION("""COMPUTED_VALUE"""),"Site web")</f>
        <v>Site web</v>
      </c>
      <c r="B34" s="13" t="str">
        <f>IFERROR(__xludf.DUMMYFUNCTION("""COMPUTED_VALUE"""),"bordeaux.fr")</f>
        <v>bordeaux.fr</v>
      </c>
    </row>
    <row r="36">
      <c r="A36" t="str">
        <f>IFERROR(__xludf.DUMMYFUNCTION("""COMPUTED_VALUE"""),"modifier")</f>
        <v>modifier</v>
      </c>
    </row>
    <row r="38">
      <c r="A38" t="s">
        <v>153</v>
      </c>
    </row>
    <row r="39">
      <c r="A39" t="s">
        <v>154</v>
      </c>
    </row>
    <row r="40">
      <c r="A40" t="s">
        <v>155</v>
      </c>
      <c r="B40" t="s">
        <v>156</v>
      </c>
    </row>
    <row r="41">
      <c r="A41" t="s">
        <v>157</v>
      </c>
    </row>
    <row r="42">
      <c r="A42" t="s">
        <v>158</v>
      </c>
      <c r="B42" t="s">
        <v>159</v>
      </c>
    </row>
    <row r="43">
      <c r="A43" t="s">
        <v>160</v>
      </c>
      <c r="B43" t="s">
        <v>161</v>
      </c>
    </row>
    <row r="44">
      <c r="A44" t="s">
        <v>162</v>
      </c>
      <c r="B44" t="s">
        <v>163</v>
      </c>
    </row>
    <row r="45">
      <c r="A45" t="s">
        <v>164</v>
      </c>
      <c r="B45" t="s">
        <v>165</v>
      </c>
    </row>
    <row r="46">
      <c r="A46" t="s">
        <v>166</v>
      </c>
      <c r="B46" t="s">
        <v>167</v>
      </c>
    </row>
    <row r="47">
      <c r="A47" t="s">
        <v>168</v>
      </c>
      <c r="B47" t="s">
        <v>169</v>
      </c>
    </row>
    <row r="48">
      <c r="A48" t="s">
        <v>170</v>
      </c>
      <c r="B48" t="s">
        <v>171</v>
      </c>
    </row>
    <row r="49">
      <c r="A49" t="s">
        <v>172</v>
      </c>
      <c r="B49" t="s">
        <v>173</v>
      </c>
    </row>
    <row r="50">
      <c r="A50" t="s">
        <v>174</v>
      </c>
      <c r="B50">
        <v>33063.0</v>
      </c>
    </row>
    <row r="51">
      <c r="A51" t="s">
        <v>175</v>
      </c>
    </row>
    <row r="52">
      <c r="A52" t="s">
        <v>176</v>
      </c>
      <c r="B52" t="s">
        <v>177</v>
      </c>
    </row>
    <row r="53">
      <c r="A53" t="s">
        <v>178</v>
      </c>
      <c r="B53" t="s">
        <v>179</v>
      </c>
    </row>
    <row r="54">
      <c r="A54" t="s">
        <v>180</v>
      </c>
      <c r="B54" t="s">
        <v>181</v>
      </c>
    </row>
    <row r="55">
      <c r="A55" t="s">
        <v>182</v>
      </c>
      <c r="B55" t="s">
        <v>183</v>
      </c>
    </row>
    <row r="56">
      <c r="A56" t="s">
        <v>184</v>
      </c>
    </row>
    <row r="57">
      <c r="A57" t="s">
        <v>185</v>
      </c>
      <c r="B57" t="s">
        <v>186</v>
      </c>
    </row>
    <row r="58">
      <c r="A58" t="s">
        <v>187</v>
      </c>
      <c r="B58" t="s">
        <v>188</v>
      </c>
    </row>
    <row r="59">
      <c r="A59" t="s">
        <v>189</v>
      </c>
      <c r="B59" t="s">
        <v>190</v>
      </c>
    </row>
    <row r="60">
      <c r="A60" t="s">
        <v>191</v>
      </c>
    </row>
    <row r="61">
      <c r="A61" t="s">
        <v>192</v>
      </c>
    </row>
    <row r="62">
      <c r="A62" t="s">
        <v>193</v>
      </c>
    </row>
    <row r="63">
      <c r="A63" t="s">
        <v>194</v>
      </c>
      <c r="B63" t="s">
        <v>195</v>
      </c>
    </row>
    <row r="65">
      <c r="A65" t="s">
        <v>152</v>
      </c>
    </row>
  </sheetData>
  <hyperlinks>
    <hyperlink r:id="rId1" ref="B34"/>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 t="s">
        <v>196</v>
      </c>
      <c r="B1" t="s">
        <v>197</v>
      </c>
      <c r="C1" t="s">
        <v>198</v>
      </c>
      <c r="D1" t="s">
        <v>199</v>
      </c>
      <c r="E1" t="s">
        <v>200</v>
      </c>
      <c r="F1" t="s">
        <v>201</v>
      </c>
      <c r="G1" t="s">
        <v>202</v>
      </c>
      <c r="H1" t="s">
        <v>203</v>
      </c>
      <c r="I1" t="s">
        <v>204</v>
      </c>
      <c r="J1" t="s">
        <v>205</v>
      </c>
      <c r="K1" t="s">
        <v>206</v>
      </c>
      <c r="L1" t="s">
        <v>207</v>
      </c>
      <c r="M1" t="s">
        <v>208</v>
      </c>
      <c r="N1" t="s">
        <v>209</v>
      </c>
    </row>
    <row r="2">
      <c r="A2" t="s">
        <v>210</v>
      </c>
      <c r="B2">
        <v>-2.8</v>
      </c>
      <c r="C2">
        <v>-1.7</v>
      </c>
      <c r="D2">
        <v>1.8</v>
      </c>
      <c r="E2">
        <v>7.1</v>
      </c>
      <c r="F2">
        <v>12.2</v>
      </c>
      <c r="G2" s="10">
        <v>17.6</v>
      </c>
      <c r="H2" s="10">
        <v>20.5</v>
      </c>
      <c r="I2">
        <v>19.9</v>
      </c>
      <c r="J2">
        <v>16.0</v>
      </c>
      <c r="K2">
        <v>10.0</v>
      </c>
      <c r="L2">
        <v>5.3</v>
      </c>
      <c r="M2">
        <v>0.0</v>
      </c>
      <c r="N2" t="s">
        <v>211</v>
      </c>
    </row>
    <row r="3">
      <c r="A3" t="s">
        <v>212</v>
      </c>
      <c r="B3">
        <v>0.5</v>
      </c>
      <c r="C3">
        <v>2.0</v>
      </c>
      <c r="D3">
        <v>6.0</v>
      </c>
      <c r="E3">
        <v>11.8</v>
      </c>
      <c r="F3">
        <v>17.1</v>
      </c>
      <c r="G3">
        <v>22.1</v>
      </c>
      <c r="H3">
        <v>24.9</v>
      </c>
      <c r="I3">
        <v>24.2</v>
      </c>
      <c r="J3">
        <v>20.2</v>
      </c>
      <c r="K3">
        <v>14.0</v>
      </c>
      <c r="L3">
        <v>8.9</v>
      </c>
      <c r="M3">
        <v>3.2</v>
      </c>
      <c r="N3" t="s">
        <v>213</v>
      </c>
    </row>
    <row r="4">
      <c r="A4" t="s">
        <v>214</v>
      </c>
      <c r="B4">
        <v>3.9</v>
      </c>
      <c r="C4">
        <v>5.8</v>
      </c>
      <c r="D4">
        <v>10.3</v>
      </c>
      <c r="E4">
        <v>16.7</v>
      </c>
      <c r="F4">
        <v>22.0</v>
      </c>
      <c r="G4">
        <v>26.7</v>
      </c>
      <c r="H4">
        <v>29.4</v>
      </c>
      <c r="I4">
        <v>28.6</v>
      </c>
      <c r="J4">
        <v>24.4</v>
      </c>
      <c r="K4">
        <v>18.1</v>
      </c>
      <c r="L4">
        <v>12.6</v>
      </c>
      <c r="M4">
        <v>6.6</v>
      </c>
      <c r="N4" t="s">
        <v>215</v>
      </c>
    </row>
    <row r="5">
      <c r="A5" s="4" t="s">
        <v>216</v>
      </c>
      <c r="B5">
        <v>-21.1</v>
      </c>
      <c r="C5">
        <v>-26.1</v>
      </c>
      <c r="D5">
        <v>-16.1</v>
      </c>
      <c r="E5">
        <v>-11.1</v>
      </c>
      <c r="F5">
        <v>0.0</v>
      </c>
      <c r="G5">
        <v>6.7</v>
      </c>
      <c r="H5">
        <v>11.1</v>
      </c>
      <c r="I5">
        <v>10.0</v>
      </c>
      <c r="J5">
        <v>3.9</v>
      </c>
      <c r="K5">
        <v>-2.2</v>
      </c>
      <c r="L5">
        <v>-13.9</v>
      </c>
      <c r="M5">
        <v>-25.0</v>
      </c>
      <c r="N5" t="s">
        <v>217</v>
      </c>
    </row>
    <row r="6">
      <c r="A6" s="4" t="s">
        <v>218</v>
      </c>
      <c r="B6">
        <v>22.2</v>
      </c>
      <c r="C6">
        <v>23.9</v>
      </c>
      <c r="D6">
        <v>30.0</v>
      </c>
      <c r="E6">
        <v>35.6</v>
      </c>
      <c r="F6">
        <v>37.2</v>
      </c>
      <c r="G6">
        <v>38.3</v>
      </c>
      <c r="H6">
        <v>41.1</v>
      </c>
      <c r="I6">
        <v>40.0</v>
      </c>
      <c r="J6">
        <v>38.9</v>
      </c>
      <c r="K6">
        <v>34.4</v>
      </c>
      <c r="L6">
        <v>28.9</v>
      </c>
      <c r="M6">
        <v>23.9</v>
      </c>
      <c r="N6" t="s">
        <v>219</v>
      </c>
    </row>
    <row r="7">
      <c r="A7" t="s">
        <v>220</v>
      </c>
      <c r="B7">
        <v>162.7</v>
      </c>
      <c r="C7">
        <v>163.1</v>
      </c>
      <c r="D7">
        <v>212.5</v>
      </c>
      <c r="E7">
        <v>225.6</v>
      </c>
      <c r="F7">
        <v>256.6</v>
      </c>
      <c r="G7">
        <v>257.3</v>
      </c>
      <c r="H7">
        <v>268.2</v>
      </c>
      <c r="I7">
        <v>268.2</v>
      </c>
      <c r="J7">
        <v>219.3</v>
      </c>
      <c r="K7">
        <v>211.2</v>
      </c>
      <c r="L7">
        <v>151.0</v>
      </c>
      <c r="M7">
        <v>139.0</v>
      </c>
      <c r="N7" t="s">
        <v>221</v>
      </c>
    </row>
    <row r="8">
      <c r="A8" s="4" t="s">
        <v>222</v>
      </c>
      <c r="B8">
        <v>92.7</v>
      </c>
      <c r="C8">
        <v>78.5</v>
      </c>
      <c r="D8">
        <v>110.7</v>
      </c>
      <c r="E8">
        <v>114.0</v>
      </c>
      <c r="F8">
        <v>106.4</v>
      </c>
      <c r="G8">
        <v>112.0</v>
      </c>
      <c r="H8">
        <v>116.8</v>
      </c>
      <c r="I8">
        <v>112.8</v>
      </c>
      <c r="J8">
        <v>108.7</v>
      </c>
      <c r="K8">
        <v>111.8</v>
      </c>
      <c r="L8">
        <v>102.1</v>
      </c>
      <c r="M8">
        <v>101.6</v>
      </c>
      <c r="N8" t="s">
        <v>223</v>
      </c>
    </row>
    <row r="9">
      <c r="A9" t="s">
        <v>224</v>
      </c>
      <c r="B9">
        <v>20.3</v>
      </c>
      <c r="C9">
        <v>23.9</v>
      </c>
      <c r="D9">
        <v>9.4</v>
      </c>
      <c r="E9">
        <v>1.5</v>
      </c>
      <c r="F9">
        <v>0.0</v>
      </c>
      <c r="G9">
        <v>0.0</v>
      </c>
      <c r="H9">
        <v>0.0</v>
      </c>
      <c r="I9">
        <v>0.0</v>
      </c>
      <c r="J9">
        <v>0.0</v>
      </c>
      <c r="K9">
        <v>0.0</v>
      </c>
      <c r="L9">
        <v>0.8</v>
      </c>
      <c r="M9">
        <v>12.2</v>
      </c>
      <c r="N9" t="s">
        <v>225</v>
      </c>
    </row>
    <row r="10">
      <c r="A10" t="s">
        <v>226</v>
      </c>
      <c r="B10">
        <v>8.1</v>
      </c>
      <c r="C10">
        <v>7.3</v>
      </c>
      <c r="D10">
        <v>8.9</v>
      </c>
      <c r="E10">
        <v>9.2</v>
      </c>
      <c r="F10">
        <v>9.4</v>
      </c>
      <c r="G10">
        <v>8.8</v>
      </c>
      <c r="H10">
        <v>8.5</v>
      </c>
      <c r="I10">
        <v>7.7</v>
      </c>
      <c r="J10">
        <v>7.1</v>
      </c>
      <c r="K10">
        <v>7.1</v>
      </c>
      <c r="L10">
        <v>7.5</v>
      </c>
      <c r="M10">
        <v>8.3</v>
      </c>
      <c r="N10" t="s">
        <v>227</v>
      </c>
    </row>
    <row r="11">
      <c r="A11" t="s">
        <v>228</v>
      </c>
      <c r="B11">
        <v>63.8</v>
      </c>
      <c r="C11">
        <v>63.0</v>
      </c>
      <c r="D11">
        <v>62.3</v>
      </c>
      <c r="E11">
        <v>60.9</v>
      </c>
      <c r="F11">
        <v>69.4</v>
      </c>
      <c r="G11">
        <v>71.7</v>
      </c>
      <c r="H11">
        <v>70.7</v>
      </c>
      <c r="I11">
        <v>73.2</v>
      </c>
      <c r="J11">
        <v>74.7</v>
      </c>
      <c r="K11">
        <v>71.6</v>
      </c>
      <c r="L11">
        <v>68.3</v>
      </c>
      <c r="M11">
        <v>66.6</v>
      </c>
      <c r="N11" t="s">
        <v>229</v>
      </c>
    </row>
    <row r="12">
      <c r="A12" t="s">
        <v>230</v>
      </c>
      <c r="B12">
        <v>4.1</v>
      </c>
      <c r="C12" s="10">
        <v>2.9</v>
      </c>
      <c r="D12">
        <v>1.8</v>
      </c>
      <c r="E12">
        <v>0.3</v>
      </c>
      <c r="F12">
        <v>0.0</v>
      </c>
      <c r="G12">
        <v>0.0</v>
      </c>
      <c r="H12">
        <v>0.0</v>
      </c>
      <c r="I12">
        <v>0.0</v>
      </c>
      <c r="J12">
        <v>0.0</v>
      </c>
      <c r="K12">
        <v>0.0</v>
      </c>
      <c r="L12">
        <v>0.2</v>
      </c>
      <c r="M12">
        <v>2.3</v>
      </c>
      <c r="N12" t="s">
        <v>231</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t="str">
        <f>IFERROR(__xludf.DUMMYFUNCTION("importhtml(""https://www.nosdeputes.fr/synthese"",""table"",2)"),"")</f>
        <v/>
      </c>
      <c r="B1" t="str">
        <f>IFERROR(__xludf.DUMMYFUNCTION("""COMPUTED_VALUE"""),"Semaines")</f>
        <v>Semaines</v>
      </c>
      <c r="C1" t="str">
        <f>IFERROR(__xludf.DUMMYFUNCTION("""COMPUTED_VALUE"""),"Commission")</f>
        <v>Commission</v>
      </c>
      <c r="E1" t="str">
        <f>IFERROR(__xludf.DUMMYFUNCTION("""COMPUTED_VALUE"""),"Hémicycle")</f>
        <v>Hémicycle</v>
      </c>
      <c r="G1" t="str">
        <f>IFERROR(__xludf.DUMMYFUNCTION("""COMPUTED_VALUE"""),"Amendements")</f>
        <v>Amendements</v>
      </c>
      <c r="J1" t="str">
        <f>IFERROR(__xludf.DUMMYFUNCTION("""COMPUTED_VALUE"""),"Rapports")</f>
        <v>Rapports</v>
      </c>
      <c r="K1" t="str">
        <f>IFERROR(__xludf.DUMMYFUNCTION("""COMPUTED_VALUE"""),"Propositions")</f>
        <v>Propositions</v>
      </c>
      <c r="M1" t="str">
        <f>IFERROR(__xludf.DUMMYFUNCTION("""COMPUTED_VALUE"""),"Questions")</f>
        <v>Questions</v>
      </c>
    </row>
    <row r="2">
      <c r="A2" t="str">
        <f>IFERROR(__xludf.DUMMYFUNCTION("""COMPUTED_VALUE"""),"Groupe")</f>
        <v>Groupe</v>
      </c>
      <c r="B2" t="str">
        <f>IFERROR(__xludf.DUMMYFUNCTION("""COMPUTED_VALUE"""),"d'activité")</f>
        <v>d'activité</v>
      </c>
      <c r="C2" t="str">
        <f>IFERROR(__xludf.DUMMYFUNCTION("""COMPUTED_VALUE"""),"réunion")</f>
        <v>réunion</v>
      </c>
      <c r="D2" t="str">
        <f>IFERROR(__xludf.DUMMYFUNCTION("""COMPUTED_VALUE"""),"interv.")</f>
        <v>interv.</v>
      </c>
      <c r="E2" t="str">
        <f>IFERROR(__xludf.DUMMYFUNCTION("""COMPUTED_VALUE"""),"interv.
longues")</f>
        <v>interv.
longues</v>
      </c>
      <c r="F2" t="str">
        <f>IFERROR(__xludf.DUMMYFUNCTION("""COMPUTED_VALUE"""),"interv.
courtes")</f>
        <v>interv.
courtes</v>
      </c>
      <c r="G2" t="str">
        <f>IFERROR(__xludf.DUMMYFUNCTION("""COMPUTED_VALUE"""),"proposés")</f>
        <v>proposés</v>
      </c>
      <c r="H2" t="str">
        <f>IFERROR(__xludf.DUMMYFUNCTION("""COMPUTED_VALUE"""),"signés")</f>
        <v>signés</v>
      </c>
      <c r="I2" t="str">
        <f>IFERROR(__xludf.DUMMYFUNCTION("""COMPUTED_VALUE"""),"adoptés")</f>
        <v>adoptés</v>
      </c>
      <c r="J2" t="str">
        <f>IFERROR(__xludf.DUMMYFUNCTION("""COMPUTED_VALUE"""),"écrits")</f>
        <v>écrits</v>
      </c>
      <c r="K2" t="str">
        <f>IFERROR(__xludf.DUMMYFUNCTION("""COMPUTED_VALUE"""),"écrites")</f>
        <v>écrites</v>
      </c>
      <c r="L2" t="str">
        <f>IFERROR(__xludf.DUMMYFUNCTION("""COMPUTED_VALUE"""),"signées")</f>
        <v>signées</v>
      </c>
      <c r="M2" t="str">
        <f>IFERROR(__xludf.DUMMYFUNCTION("""COMPUTED_VALUE"""),"écrites")</f>
        <v>écrites</v>
      </c>
      <c r="N2" t="str">
        <f>IFERROR(__xludf.DUMMYFUNCTION("""COMPUTED_VALUE"""),"orales")</f>
        <v>orales</v>
      </c>
    </row>
    <row r="3">
      <c r="A3" t="str">
        <f>IFERROR(__xludf.DUMMYFUNCTION("""COMPUTED_VALUE"""),"LFI (75 députés)")</f>
        <v>LFI (75 députés)</v>
      </c>
      <c r="B3">
        <f>IFERROR(__xludf.DUMMYFUNCTION("""COMPUTED_VALUE"""),70.0)</f>
        <v>70</v>
      </c>
      <c r="C3">
        <f>IFERROR(__xludf.DUMMYFUNCTION("""COMPUTED_VALUE"""),113.0)</f>
        <v>113</v>
      </c>
      <c r="D3">
        <f>IFERROR(__xludf.DUMMYFUNCTION("""COMPUTED_VALUE"""),191.0)</f>
        <v>191</v>
      </c>
      <c r="E3">
        <f>IFERROR(__xludf.DUMMYFUNCTION("""COMPUTED_VALUE"""),349.0)</f>
        <v>349</v>
      </c>
      <c r="F3">
        <f>IFERROR(__xludf.DUMMYFUNCTION("""COMPUTED_VALUE"""),447.0)</f>
        <v>447</v>
      </c>
      <c r="G3">
        <f>IFERROR(__xludf.DUMMYFUNCTION("""COMPUTED_VALUE"""),484.0)</f>
        <v>484</v>
      </c>
      <c r="H3">
        <f>IFERROR(__xludf.DUMMYFUNCTION("""COMPUTED_VALUE"""),16862.0)</f>
        <v>16862</v>
      </c>
      <c r="I3">
        <f>IFERROR(__xludf.DUMMYFUNCTION("""COMPUTED_VALUE"""),544.0)</f>
        <v>544</v>
      </c>
      <c r="J3">
        <f>IFERROR(__xludf.DUMMYFUNCTION("""COMPUTED_VALUE"""),2.0)</f>
        <v>2</v>
      </c>
      <c r="K3">
        <f>IFERROR(__xludf.DUMMYFUNCTION("""COMPUTED_VALUE"""),4.0)</f>
        <v>4</v>
      </c>
      <c r="L3">
        <f>IFERROR(__xludf.DUMMYFUNCTION("""COMPUTED_VALUE"""),143.0)</f>
        <v>143</v>
      </c>
      <c r="M3">
        <f>IFERROR(__xludf.DUMMYFUNCTION("""COMPUTED_VALUE"""),33.0)</f>
        <v>33</v>
      </c>
      <c r="N3">
        <f>IFERROR(__xludf.DUMMYFUNCTION("""COMPUTED_VALUE"""),5.0)</f>
        <v>5</v>
      </c>
    </row>
    <row r="4">
      <c r="A4" t="str">
        <f>IFERROR(__xludf.DUMMYFUNCTION("""COMPUTED_VALUE"""),"GDR (23 députés)")</f>
        <v>GDR (23 députés)</v>
      </c>
      <c r="B4">
        <f>IFERROR(__xludf.DUMMYFUNCTION("""COMPUTED_VALUE"""),58.0)</f>
        <v>58</v>
      </c>
      <c r="C4">
        <f>IFERROR(__xludf.DUMMYFUNCTION("""COMPUTED_VALUE"""),83.0)</f>
        <v>83</v>
      </c>
      <c r="D4">
        <f>IFERROR(__xludf.DUMMYFUNCTION("""COMPUTED_VALUE"""),168.0)</f>
        <v>168</v>
      </c>
      <c r="E4">
        <f>IFERROR(__xludf.DUMMYFUNCTION("""COMPUTED_VALUE"""),260.0)</f>
        <v>260</v>
      </c>
      <c r="F4">
        <f>IFERROR(__xludf.DUMMYFUNCTION("""COMPUTED_VALUE"""),249.0)</f>
        <v>249</v>
      </c>
      <c r="G4">
        <f>IFERROR(__xludf.DUMMYFUNCTION("""COMPUTED_VALUE"""),293.0)</f>
        <v>293</v>
      </c>
      <c r="H4">
        <f>IFERROR(__xludf.DUMMYFUNCTION("""COMPUTED_VALUE"""),3955.0)</f>
        <v>3955</v>
      </c>
      <c r="I4">
        <f>IFERROR(__xludf.DUMMYFUNCTION("""COMPUTED_VALUE"""),237.0)</f>
        <v>237</v>
      </c>
      <c r="J4">
        <f>IFERROR(__xludf.DUMMYFUNCTION("""COMPUTED_VALUE"""),2.0)</f>
        <v>2</v>
      </c>
      <c r="K4">
        <f>IFERROR(__xludf.DUMMYFUNCTION("""COMPUTED_VALUE"""),6.0)</f>
        <v>6</v>
      </c>
      <c r="L4">
        <f>IFERROR(__xludf.DUMMYFUNCTION("""COMPUTED_VALUE"""),81.0)</f>
        <v>81</v>
      </c>
      <c r="M4">
        <f>IFERROR(__xludf.DUMMYFUNCTION("""COMPUTED_VALUE"""),26.0)</f>
        <v>26</v>
      </c>
      <c r="N4">
        <f>IFERROR(__xludf.DUMMYFUNCTION("""COMPUTED_VALUE"""),8.0)</f>
        <v>8</v>
      </c>
    </row>
    <row r="5">
      <c r="A5" t="str">
        <f>IFERROR(__xludf.DUMMYFUNCTION("""COMPUTED_VALUE"""),"SOC (31 députés)")</f>
        <v>SOC (31 députés)</v>
      </c>
      <c r="B5">
        <f>IFERROR(__xludf.DUMMYFUNCTION("""COMPUTED_VALUE"""),68.0)</f>
        <v>68</v>
      </c>
      <c r="C5">
        <f>IFERROR(__xludf.DUMMYFUNCTION("""COMPUTED_VALUE"""),125.0)</f>
        <v>125</v>
      </c>
      <c r="D5">
        <f>IFERROR(__xludf.DUMMYFUNCTION("""COMPUTED_VALUE"""),259.0)</f>
        <v>259</v>
      </c>
      <c r="E5">
        <f>IFERROR(__xludf.DUMMYFUNCTION("""COMPUTED_VALUE"""),356.0)</f>
        <v>356</v>
      </c>
      <c r="F5">
        <f>IFERROR(__xludf.DUMMYFUNCTION("""COMPUTED_VALUE"""),513.0)</f>
        <v>513</v>
      </c>
      <c r="G5">
        <f>IFERROR(__xludf.DUMMYFUNCTION("""COMPUTED_VALUE"""),453.0)</f>
        <v>453</v>
      </c>
      <c r="H5">
        <f>IFERROR(__xludf.DUMMYFUNCTION("""COMPUTED_VALUE"""),8797.0)</f>
        <v>8797</v>
      </c>
      <c r="I5">
        <f>IFERROR(__xludf.DUMMYFUNCTION("""COMPUTED_VALUE"""),451.0)</f>
        <v>451</v>
      </c>
      <c r="J5">
        <f>IFERROR(__xludf.DUMMYFUNCTION("""COMPUTED_VALUE"""),3.0)</f>
        <v>3</v>
      </c>
      <c r="K5">
        <f>IFERROR(__xludf.DUMMYFUNCTION("""COMPUTED_VALUE"""),5.0)</f>
        <v>5</v>
      </c>
      <c r="L5">
        <f>IFERROR(__xludf.DUMMYFUNCTION("""COMPUTED_VALUE"""),78.0)</f>
        <v>78</v>
      </c>
      <c r="M5">
        <f>IFERROR(__xludf.DUMMYFUNCTION("""COMPUTED_VALUE"""),40.0)</f>
        <v>40</v>
      </c>
      <c r="N5">
        <f>IFERROR(__xludf.DUMMYFUNCTION("""COMPUTED_VALUE"""),6.0)</f>
        <v>6</v>
      </c>
    </row>
    <row r="6">
      <c r="A6" t="str">
        <f>IFERROR(__xludf.DUMMYFUNCTION("""COMPUTED_VALUE"""),"ECO (21 députés)")</f>
        <v>ECO (21 députés)</v>
      </c>
      <c r="B6">
        <f>IFERROR(__xludf.DUMMYFUNCTION("""COMPUTED_VALUE"""),69.0)</f>
        <v>69</v>
      </c>
      <c r="C6">
        <f>IFERROR(__xludf.DUMMYFUNCTION("""COMPUTED_VALUE"""),127.0)</f>
        <v>127</v>
      </c>
      <c r="D6">
        <f>IFERROR(__xludf.DUMMYFUNCTION("""COMPUTED_VALUE"""),349.0)</f>
        <v>349</v>
      </c>
      <c r="E6">
        <f>IFERROR(__xludf.DUMMYFUNCTION("""COMPUTED_VALUE"""),367.0)</f>
        <v>367</v>
      </c>
      <c r="F6">
        <f>IFERROR(__xludf.DUMMYFUNCTION("""COMPUTED_VALUE"""),368.0)</f>
        <v>368</v>
      </c>
      <c r="G6">
        <f>IFERROR(__xludf.DUMMYFUNCTION("""COMPUTED_VALUE"""),692.0)</f>
        <v>692</v>
      </c>
      <c r="H6">
        <f>IFERROR(__xludf.DUMMYFUNCTION("""COMPUTED_VALUE"""),9604.0)</f>
        <v>9604</v>
      </c>
      <c r="I6">
        <f>IFERROR(__xludf.DUMMYFUNCTION("""COMPUTED_VALUE"""),363.0)</f>
        <v>363</v>
      </c>
      <c r="J6">
        <f>IFERROR(__xludf.DUMMYFUNCTION("""COMPUTED_VALUE"""),3.0)</f>
        <v>3</v>
      </c>
      <c r="K6">
        <f>IFERROR(__xludf.DUMMYFUNCTION("""COMPUTED_VALUE"""),6.0)</f>
        <v>6</v>
      </c>
      <c r="L6">
        <f>IFERROR(__xludf.DUMMYFUNCTION("""COMPUTED_VALUE"""),69.0)</f>
        <v>69</v>
      </c>
      <c r="M6">
        <f>IFERROR(__xludf.DUMMYFUNCTION("""COMPUTED_VALUE"""),18.0)</f>
        <v>18</v>
      </c>
      <c r="N6">
        <f>IFERROR(__xludf.DUMMYFUNCTION("""COMPUTED_VALUE"""),8.0)</f>
        <v>8</v>
      </c>
    </row>
    <row r="7">
      <c r="A7" t="str">
        <f>IFERROR(__xludf.DUMMYFUNCTION("""COMPUTED_VALUE"""),"LIOT (22 députés)")</f>
        <v>LIOT (22 députés)</v>
      </c>
      <c r="B7">
        <f>IFERROR(__xludf.DUMMYFUNCTION("""COMPUTED_VALUE"""),63.0)</f>
        <v>63</v>
      </c>
      <c r="C7">
        <f>IFERROR(__xludf.DUMMYFUNCTION("""COMPUTED_VALUE"""),104.0)</f>
        <v>104</v>
      </c>
      <c r="D7">
        <f>IFERROR(__xludf.DUMMYFUNCTION("""COMPUTED_VALUE"""),175.0)</f>
        <v>175</v>
      </c>
      <c r="E7">
        <f>IFERROR(__xludf.DUMMYFUNCTION("""COMPUTED_VALUE"""),176.0)</f>
        <v>176</v>
      </c>
      <c r="F7">
        <f>IFERROR(__xludf.DUMMYFUNCTION("""COMPUTED_VALUE"""),34.0)</f>
        <v>34</v>
      </c>
      <c r="G7">
        <f>IFERROR(__xludf.DUMMYFUNCTION("""COMPUTED_VALUE"""),340.0)</f>
        <v>340</v>
      </c>
      <c r="H7">
        <f>IFERROR(__xludf.DUMMYFUNCTION("""COMPUTED_VALUE"""),4188.0)</f>
        <v>4188</v>
      </c>
      <c r="I7">
        <f>IFERROR(__xludf.DUMMYFUNCTION("""COMPUTED_VALUE"""),293.0)</f>
        <v>293</v>
      </c>
      <c r="J7">
        <f>IFERROR(__xludf.DUMMYFUNCTION("""COMPUTED_VALUE"""),2.0)</f>
        <v>2</v>
      </c>
      <c r="K7">
        <f>IFERROR(__xludf.DUMMYFUNCTION("""COMPUTED_VALUE"""),9.0)</f>
        <v>9</v>
      </c>
      <c r="L7">
        <f>IFERROR(__xludf.DUMMYFUNCTION("""COMPUTED_VALUE"""),44.0)</f>
        <v>44</v>
      </c>
      <c r="M7">
        <f>IFERROR(__xludf.DUMMYFUNCTION("""COMPUTED_VALUE"""),38.0)</f>
        <v>38</v>
      </c>
      <c r="N7">
        <f>IFERROR(__xludf.DUMMYFUNCTION("""COMPUTED_VALUE"""),8.0)</f>
        <v>8</v>
      </c>
    </row>
    <row r="8">
      <c r="A8" t="str">
        <f>IFERROR(__xludf.DUMMYFUNCTION("""COMPUTED_VALUE"""),"REN (174 députés)")</f>
        <v>REN (174 députés)</v>
      </c>
      <c r="B8">
        <f>IFERROR(__xludf.DUMMYFUNCTION("""COMPUTED_VALUE"""),65.0)</f>
        <v>65</v>
      </c>
      <c r="C8">
        <f>IFERROR(__xludf.DUMMYFUNCTION("""COMPUTED_VALUE"""),126.0)</f>
        <v>126</v>
      </c>
      <c r="D8">
        <f>IFERROR(__xludf.DUMMYFUNCTION("""COMPUTED_VALUE"""),173.0)</f>
        <v>173</v>
      </c>
      <c r="E8">
        <f>IFERROR(__xludf.DUMMYFUNCTION("""COMPUTED_VALUE"""),126.0)</f>
        <v>126</v>
      </c>
      <c r="F8">
        <f>IFERROR(__xludf.DUMMYFUNCTION("""COMPUTED_VALUE"""),179.0)</f>
        <v>179</v>
      </c>
      <c r="G8">
        <f>IFERROR(__xludf.DUMMYFUNCTION("""COMPUTED_VALUE"""),99.0)</f>
        <v>99</v>
      </c>
      <c r="H8">
        <f>IFERROR(__xludf.DUMMYFUNCTION("""COMPUTED_VALUE"""),1266.0)</f>
        <v>1266</v>
      </c>
      <c r="I8">
        <f>IFERROR(__xludf.DUMMYFUNCTION("""COMPUTED_VALUE"""),336.0)</f>
        <v>336</v>
      </c>
      <c r="J8">
        <f>IFERROR(__xludf.DUMMYFUNCTION("""COMPUTED_VALUE"""),3.0)</f>
        <v>3</v>
      </c>
      <c r="K8">
        <f>IFERROR(__xludf.DUMMYFUNCTION("""COMPUTED_VALUE"""),1.0)</f>
        <v>1</v>
      </c>
      <c r="L8">
        <f>IFERROR(__xludf.DUMMYFUNCTION("""COMPUTED_VALUE"""),44.0)</f>
        <v>44</v>
      </c>
      <c r="M8">
        <f>IFERROR(__xludf.DUMMYFUNCTION("""COMPUTED_VALUE"""),19.0)</f>
        <v>19</v>
      </c>
      <c r="N8">
        <f>IFERROR(__xludf.DUMMYFUNCTION("""COMPUTED_VALUE"""),3.0)</f>
        <v>3</v>
      </c>
    </row>
    <row r="9">
      <c r="A9" t="str">
        <f>IFERROR(__xludf.DUMMYFUNCTION("""COMPUTED_VALUE"""),"MODEM (52 députés)")</f>
        <v>MODEM (52 députés)</v>
      </c>
      <c r="B9">
        <f>IFERROR(__xludf.DUMMYFUNCTION("""COMPUTED_VALUE"""),67.0)</f>
        <v>67</v>
      </c>
      <c r="C9">
        <f>IFERROR(__xludf.DUMMYFUNCTION("""COMPUTED_VALUE"""),120.0)</f>
        <v>120</v>
      </c>
      <c r="D9">
        <f>IFERROR(__xludf.DUMMYFUNCTION("""COMPUTED_VALUE"""),166.0)</f>
        <v>166</v>
      </c>
      <c r="E9">
        <f>IFERROR(__xludf.DUMMYFUNCTION("""COMPUTED_VALUE"""),186.0)</f>
        <v>186</v>
      </c>
      <c r="F9">
        <f>IFERROR(__xludf.DUMMYFUNCTION("""COMPUTED_VALUE"""),367.0)</f>
        <v>367</v>
      </c>
      <c r="G9">
        <f>IFERROR(__xludf.DUMMYFUNCTION("""COMPUTED_VALUE"""),118.0)</f>
        <v>118</v>
      </c>
      <c r="H9">
        <f>IFERROR(__xludf.DUMMYFUNCTION("""COMPUTED_VALUE"""),1342.0)</f>
        <v>1342</v>
      </c>
      <c r="I9">
        <f>IFERROR(__xludf.DUMMYFUNCTION("""COMPUTED_VALUE"""),293.0)</f>
        <v>293</v>
      </c>
      <c r="J9">
        <f>IFERROR(__xludf.DUMMYFUNCTION("""COMPUTED_VALUE"""),2.0)</f>
        <v>2</v>
      </c>
      <c r="K9">
        <f>IFERROR(__xludf.DUMMYFUNCTION("""COMPUTED_VALUE"""),2.0)</f>
        <v>2</v>
      </c>
      <c r="L9">
        <f>IFERROR(__xludf.DUMMYFUNCTION("""COMPUTED_VALUE"""),20.0)</f>
        <v>20</v>
      </c>
      <c r="M9">
        <f>IFERROR(__xludf.DUMMYFUNCTION("""COMPUTED_VALUE"""),21.0)</f>
        <v>21</v>
      </c>
      <c r="N9">
        <f>IFERROR(__xludf.DUMMYFUNCTION("""COMPUTED_VALUE"""),4.0)</f>
        <v>4</v>
      </c>
    </row>
    <row r="10">
      <c r="A10" t="str">
        <f>IFERROR(__xludf.DUMMYFUNCTION("""COMPUTED_VALUE"""),"HOR (31 députés)")</f>
        <v>HOR (31 députés)</v>
      </c>
      <c r="B10">
        <f>IFERROR(__xludf.DUMMYFUNCTION("""COMPUTED_VALUE"""),70.0)</f>
        <v>70</v>
      </c>
      <c r="C10">
        <f>IFERROR(__xludf.DUMMYFUNCTION("""COMPUTED_VALUE"""),125.0)</f>
        <v>125</v>
      </c>
      <c r="D10">
        <f>IFERROR(__xludf.DUMMYFUNCTION("""COMPUTED_VALUE"""),169.0)</f>
        <v>169</v>
      </c>
      <c r="E10">
        <f>IFERROR(__xludf.DUMMYFUNCTION("""COMPUTED_VALUE"""),206.0)</f>
        <v>206</v>
      </c>
      <c r="F10">
        <f>IFERROR(__xludf.DUMMYFUNCTION("""COMPUTED_VALUE"""),402.0)</f>
        <v>402</v>
      </c>
      <c r="G10">
        <f>IFERROR(__xludf.DUMMYFUNCTION("""COMPUTED_VALUE"""),117.0)</f>
        <v>117</v>
      </c>
      <c r="H10">
        <f>IFERROR(__xludf.DUMMYFUNCTION("""COMPUTED_VALUE"""),1264.0)</f>
        <v>1264</v>
      </c>
      <c r="I10">
        <f>IFERROR(__xludf.DUMMYFUNCTION("""COMPUTED_VALUE"""),290.0)</f>
        <v>290</v>
      </c>
      <c r="J10">
        <f>IFERROR(__xludf.DUMMYFUNCTION("""COMPUTED_VALUE"""),3.0)</f>
        <v>3</v>
      </c>
      <c r="K10">
        <f>IFERROR(__xludf.DUMMYFUNCTION("""COMPUTED_VALUE"""),2.0)</f>
        <v>2</v>
      </c>
      <c r="L10">
        <f>IFERROR(__xludf.DUMMYFUNCTION("""COMPUTED_VALUE"""),39.0)</f>
        <v>39</v>
      </c>
      <c r="M10">
        <f>IFERROR(__xludf.DUMMYFUNCTION("""COMPUTED_VALUE"""),27.0)</f>
        <v>27</v>
      </c>
      <c r="N10">
        <f>IFERROR(__xludf.DUMMYFUNCTION("""COMPUTED_VALUE"""),6.0)</f>
        <v>6</v>
      </c>
    </row>
    <row r="11">
      <c r="A11" t="str">
        <f>IFERROR(__xludf.DUMMYFUNCTION("""COMPUTED_VALUE"""),"LR (61 députés)")</f>
        <v>LR (61 députés)</v>
      </c>
      <c r="B11">
        <f>IFERROR(__xludf.DUMMYFUNCTION("""COMPUTED_VALUE"""),67.0)</f>
        <v>67</v>
      </c>
      <c r="C11">
        <f>IFERROR(__xludf.DUMMYFUNCTION("""COMPUTED_VALUE"""),116.0)</f>
        <v>116</v>
      </c>
      <c r="D11">
        <f>IFERROR(__xludf.DUMMYFUNCTION("""COMPUTED_VALUE"""),164.0)</f>
        <v>164</v>
      </c>
      <c r="E11">
        <f>IFERROR(__xludf.DUMMYFUNCTION("""COMPUTED_VALUE"""),177.0)</f>
        <v>177</v>
      </c>
      <c r="F11">
        <f>IFERROR(__xludf.DUMMYFUNCTION("""COMPUTED_VALUE"""),280.0)</f>
        <v>280</v>
      </c>
      <c r="G11">
        <f>IFERROR(__xludf.DUMMYFUNCTION("""COMPUTED_VALUE"""),498.0)</f>
        <v>498</v>
      </c>
      <c r="H11">
        <f>IFERROR(__xludf.DUMMYFUNCTION("""COMPUTED_VALUE"""),4839.0)</f>
        <v>4839</v>
      </c>
      <c r="I11">
        <f>IFERROR(__xludf.DUMMYFUNCTION("""COMPUTED_VALUE"""),191.0)</f>
        <v>191</v>
      </c>
      <c r="J11">
        <f>IFERROR(__xludf.DUMMYFUNCTION("""COMPUTED_VALUE"""),1.0)</f>
        <v>1</v>
      </c>
      <c r="K11">
        <f>IFERROR(__xludf.DUMMYFUNCTION("""COMPUTED_VALUE"""),10.0)</f>
        <v>10</v>
      </c>
      <c r="L11">
        <f>IFERROR(__xludf.DUMMYFUNCTION("""COMPUTED_VALUE"""),130.0)</f>
        <v>130</v>
      </c>
      <c r="M11">
        <f>IFERROR(__xludf.DUMMYFUNCTION("""COMPUTED_VALUE"""),55.0)</f>
        <v>55</v>
      </c>
      <c r="N11">
        <f>IFERROR(__xludf.DUMMYFUNCTION("""COMPUTED_VALUE"""),5.0)</f>
        <v>5</v>
      </c>
    </row>
    <row r="12">
      <c r="A12" t="str">
        <f>IFERROR(__xludf.DUMMYFUNCTION("""COMPUTED_VALUE"""),"RN (89 députés)")</f>
        <v>RN (89 députés)</v>
      </c>
      <c r="B12">
        <f>IFERROR(__xludf.DUMMYFUNCTION("""COMPUTED_VALUE"""),69.0)</f>
        <v>69</v>
      </c>
      <c r="C12">
        <f>IFERROR(__xludf.DUMMYFUNCTION("""COMPUTED_VALUE"""),115.0)</f>
        <v>115</v>
      </c>
      <c r="D12">
        <f>IFERROR(__xludf.DUMMYFUNCTION("""COMPUTED_VALUE"""),108.0)</f>
        <v>108</v>
      </c>
      <c r="E12">
        <f>IFERROR(__xludf.DUMMYFUNCTION("""COMPUTED_VALUE"""),179.0)</f>
        <v>179</v>
      </c>
      <c r="F12">
        <f>IFERROR(__xludf.DUMMYFUNCTION("""COMPUTED_VALUE"""),335.0)</f>
        <v>335</v>
      </c>
      <c r="G12">
        <f>IFERROR(__xludf.DUMMYFUNCTION("""COMPUTED_VALUE"""),188.0)</f>
        <v>188</v>
      </c>
      <c r="H12">
        <f>IFERROR(__xludf.DUMMYFUNCTION("""COMPUTED_VALUE"""),8617.0)</f>
        <v>8617</v>
      </c>
      <c r="I12">
        <f>IFERROR(__xludf.DUMMYFUNCTION("""COMPUTED_VALUE"""),110.0)</f>
        <v>110</v>
      </c>
      <c r="J12">
        <f>IFERROR(__xludf.DUMMYFUNCTION("""COMPUTED_VALUE"""),1.0)</f>
        <v>1</v>
      </c>
      <c r="K12">
        <f>IFERROR(__xludf.DUMMYFUNCTION("""COMPUTED_VALUE"""),3.0)</f>
        <v>3</v>
      </c>
      <c r="L12">
        <f>IFERROR(__xludf.DUMMYFUNCTION("""COMPUTED_VALUE"""),116.0)</f>
        <v>116</v>
      </c>
      <c r="M12">
        <f>IFERROR(__xludf.DUMMYFUNCTION("""COMPUTED_VALUE"""),47.0)</f>
        <v>47</v>
      </c>
      <c r="N12">
        <f>IFERROR(__xludf.DUMMYFUNCTION("""COMPUTED_VALUE"""),4.0)</f>
        <v>4</v>
      </c>
    </row>
    <row r="13">
      <c r="A13" t="str">
        <f>IFERROR(__xludf.DUMMYFUNCTION("importhtml(""https://www.nosdeputes.fr/synthese"",""table"")"),"")</f>
        <v/>
      </c>
      <c r="B13" t="str">
        <f>IFERROR(__xludf.DUMMYFUNCTION("""COMPUTED_VALUE"""),"Semaines")</f>
        <v>Semaines</v>
      </c>
      <c r="C13" t="str">
        <f>IFERROR(__xludf.DUMMYFUNCTION("""COMPUTED_VALUE"""),"Commission")</f>
        <v>Commission</v>
      </c>
      <c r="E13" t="str">
        <f>IFERROR(__xludf.DUMMYFUNCTION("""COMPUTED_VALUE"""),"Hémicycle")</f>
        <v>Hémicycle</v>
      </c>
      <c r="G13" t="str">
        <f>IFERROR(__xludf.DUMMYFUNCTION("""COMPUTED_VALUE"""),"Amendements")</f>
        <v>Amendements</v>
      </c>
      <c r="J13" t="str">
        <f>IFERROR(__xludf.DUMMYFUNCTION("""COMPUTED_VALUE"""),"Rapports")</f>
        <v>Rapports</v>
      </c>
      <c r="K13" t="str">
        <f>IFERROR(__xludf.DUMMYFUNCTION("""COMPUTED_VALUE"""),"Propositions")</f>
        <v>Propositions</v>
      </c>
      <c r="M13" t="str">
        <f>IFERROR(__xludf.DUMMYFUNCTION("""COMPUTED_VALUE"""),"Questions")</f>
        <v>Questions</v>
      </c>
    </row>
    <row r="14">
      <c r="B14" t="str">
        <f>IFERROR(__xludf.DUMMYFUNCTION("""COMPUTED_VALUE"""),"Nom")</f>
        <v>Nom</v>
      </c>
      <c r="C14" t="str">
        <f>IFERROR(__xludf.DUMMYFUNCTION("""COMPUTED_VALUE"""),"d'activité")</f>
        <v>d'activité</v>
      </c>
      <c r="D14" t="str">
        <f>IFERROR(__xludf.DUMMYFUNCTION("""COMPUTED_VALUE"""),"réunion")</f>
        <v>réunion</v>
      </c>
      <c r="E14" t="str">
        <f>IFERROR(__xludf.DUMMYFUNCTION("""COMPUTED_VALUE"""),"interv.")</f>
        <v>interv.</v>
      </c>
      <c r="F14" t="str">
        <f>IFERROR(__xludf.DUMMYFUNCTION("""COMPUTED_VALUE"""),"interv.
longues")</f>
        <v>interv.
longues</v>
      </c>
      <c r="G14" t="str">
        <f>IFERROR(__xludf.DUMMYFUNCTION("""COMPUTED_VALUE"""),"interv.
courtes")</f>
        <v>interv.
courtes</v>
      </c>
      <c r="H14" t="str">
        <f>IFERROR(__xludf.DUMMYFUNCTION("""COMPUTED_VALUE"""),"proposés")</f>
        <v>proposés</v>
      </c>
      <c r="I14" t="str">
        <f>IFERROR(__xludf.DUMMYFUNCTION("""COMPUTED_VALUE"""),"signés")</f>
        <v>signés</v>
      </c>
      <c r="J14" t="str">
        <f>IFERROR(__xludf.DUMMYFUNCTION("""COMPUTED_VALUE"""),"adoptés")</f>
        <v>adoptés</v>
      </c>
      <c r="K14" t="str">
        <f>IFERROR(__xludf.DUMMYFUNCTION("""COMPUTED_VALUE"""),"écrits")</f>
        <v>écrits</v>
      </c>
      <c r="L14" t="str">
        <f>IFERROR(__xludf.DUMMYFUNCTION("""COMPUTED_VALUE"""),"écrites")</f>
        <v>écrites</v>
      </c>
      <c r="M14" t="str">
        <f>IFERROR(__xludf.DUMMYFUNCTION("""COMPUTED_VALUE"""),"signées")</f>
        <v>signées</v>
      </c>
      <c r="N14" t="str">
        <f>IFERROR(__xludf.DUMMYFUNCTION("""COMPUTED_VALUE"""),"écrites")</f>
        <v>écrites</v>
      </c>
      <c r="O14" t="str">
        <f>IFERROR(__xludf.DUMMYFUNCTION("""COMPUTED_VALUE"""),"orales")</f>
        <v>orales</v>
      </c>
    </row>
    <row r="15">
      <c r="A15" t="str">
        <f>IFERROR(__xludf.DUMMYFUNCTION("""COMPUTED_VALUE"""),"Abad")</f>
        <v>Abad</v>
      </c>
      <c r="B15" t="str">
        <f>IFERROR(__xludf.DUMMYFUNCTION("""COMPUTED_VALUE"""),"Damien Abad")</f>
        <v>Damien Abad</v>
      </c>
      <c r="C15">
        <f>IFERROR(__xludf.DUMMYFUNCTION("""COMPUTED_VALUE"""),3.21)</f>
        <v>3.21</v>
      </c>
      <c r="D15">
        <f>IFERROR(__xludf.DUMMYFUNCTION("""COMPUTED_VALUE"""),5.0)</f>
        <v>5</v>
      </c>
      <c r="E15">
        <f>IFERROR(__xludf.DUMMYFUNCTION("""COMPUTED_VALUE"""),0.68)</f>
        <v>0.68</v>
      </c>
      <c r="F15">
        <f>IFERROR(__xludf.DUMMYFUNCTION("""COMPUTED_VALUE"""),0.21)</f>
        <v>0.21</v>
      </c>
      <c r="G15">
        <f>IFERROR(__xludf.DUMMYFUNCTION("""COMPUTED_VALUE"""),0.21)</f>
        <v>0.21</v>
      </c>
      <c r="H15">
        <f>IFERROR(__xludf.DUMMYFUNCTION("""COMPUTED_VALUE"""),2.74)</f>
        <v>2.74</v>
      </c>
      <c r="I15">
        <f>IFERROR(__xludf.DUMMYFUNCTION("""COMPUTED_VALUE"""),95.21)</f>
        <v>95.21</v>
      </c>
      <c r="J15">
        <f>IFERROR(__xludf.DUMMYFUNCTION("""COMPUTED_VALUE"""),16.53)</f>
        <v>16.53</v>
      </c>
      <c r="K15">
        <f>IFERROR(__xludf.DUMMYFUNCTION("""COMPUTED_VALUE"""),0.0)</f>
        <v>0</v>
      </c>
      <c r="L15">
        <f>IFERROR(__xludf.DUMMYFUNCTION("""COMPUTED_VALUE"""),0.11)</f>
        <v>0.11</v>
      </c>
      <c r="M15">
        <f>IFERROR(__xludf.DUMMYFUNCTION("""COMPUTED_VALUE"""),3.58)</f>
        <v>3.58</v>
      </c>
      <c r="N15">
        <f>IFERROR(__xludf.DUMMYFUNCTION("""COMPUTED_VALUE"""),3.63)</f>
        <v>3.63</v>
      </c>
      <c r="O15">
        <f>IFERROR(__xludf.DUMMYFUNCTION("""COMPUTED_VALUE"""),0.11)</f>
        <v>0.11</v>
      </c>
    </row>
    <row r="16">
      <c r="A16" t="str">
        <f>IFERROR(__xludf.DUMMYFUNCTION("""COMPUTED_VALUE"""),"Abadie")</f>
        <v>Abadie</v>
      </c>
      <c r="B16" t="str">
        <f>IFERROR(__xludf.DUMMYFUNCTION("""COMPUTED_VALUE"""),"Caroline Abadie")</f>
        <v>Caroline Abadie</v>
      </c>
      <c r="C16">
        <f>IFERROR(__xludf.DUMMYFUNCTION("""COMPUTED_VALUE"""),3.84)</f>
        <v>3.84</v>
      </c>
      <c r="D16">
        <f>IFERROR(__xludf.DUMMYFUNCTION("""COMPUTED_VALUE"""),6.63)</f>
        <v>6.63</v>
      </c>
      <c r="E16">
        <f>IFERROR(__xludf.DUMMYFUNCTION("""COMPUTED_VALUE"""),6.11)</f>
        <v>6.11</v>
      </c>
      <c r="F16">
        <f>IFERROR(__xludf.DUMMYFUNCTION("""COMPUTED_VALUE"""),9.32)</f>
        <v>9.32</v>
      </c>
      <c r="G16">
        <f>IFERROR(__xludf.DUMMYFUNCTION("""COMPUTED_VALUE"""),14.53)</f>
        <v>14.53</v>
      </c>
      <c r="H16">
        <f>IFERROR(__xludf.DUMMYFUNCTION("""COMPUTED_VALUE"""),3.68)</f>
        <v>3.68</v>
      </c>
      <c r="I16">
        <f>IFERROR(__xludf.DUMMYFUNCTION("""COMPUTED_VALUE"""),54.11)</f>
        <v>54.11</v>
      </c>
      <c r="J16">
        <f>IFERROR(__xludf.DUMMYFUNCTION("""COMPUTED_VALUE"""),18.26)</f>
        <v>18.26</v>
      </c>
      <c r="K16">
        <f>IFERROR(__xludf.DUMMYFUNCTION("""COMPUTED_VALUE"""),0.21)</f>
        <v>0.21</v>
      </c>
      <c r="L16">
        <f>IFERROR(__xludf.DUMMYFUNCTION("""COMPUTED_VALUE"""),0.0)</f>
        <v>0</v>
      </c>
      <c r="M16">
        <f>IFERROR(__xludf.DUMMYFUNCTION("""COMPUTED_VALUE"""),2.21)</f>
        <v>2.21</v>
      </c>
      <c r="N16">
        <f>IFERROR(__xludf.DUMMYFUNCTION("""COMPUTED_VALUE"""),0.05)</f>
        <v>0.05</v>
      </c>
      <c r="O16">
        <f>IFERROR(__xludf.DUMMYFUNCTION("""COMPUTED_VALUE"""),0.21)</f>
        <v>0.21</v>
      </c>
    </row>
    <row r="17">
      <c r="A17" t="str">
        <f>IFERROR(__xludf.DUMMYFUNCTION("""COMPUTED_VALUE"""),"Abomangoli")</f>
        <v>Abomangoli</v>
      </c>
      <c r="B17" t="str">
        <f>IFERROR(__xludf.DUMMYFUNCTION("""COMPUTED_VALUE"""),"Nadège Abomangoli")</f>
        <v>Nadège Abomangoli</v>
      </c>
      <c r="C17">
        <f>IFERROR(__xludf.DUMMYFUNCTION("""COMPUTED_VALUE"""),3.79)</f>
        <v>3.79</v>
      </c>
      <c r="D17">
        <f>IFERROR(__xludf.DUMMYFUNCTION("""COMPUTED_VALUE"""),6.53)</f>
        <v>6.53</v>
      </c>
      <c r="E17">
        <f>IFERROR(__xludf.DUMMYFUNCTION("""COMPUTED_VALUE"""),6.84)</f>
        <v>6.84</v>
      </c>
      <c r="F17">
        <f>IFERROR(__xludf.DUMMYFUNCTION("""COMPUTED_VALUE"""),7.11)</f>
        <v>7.11</v>
      </c>
      <c r="G17">
        <f>IFERROR(__xludf.DUMMYFUNCTION("""COMPUTED_VALUE"""),3.11)</f>
        <v>3.11</v>
      </c>
      <c r="H17">
        <f>IFERROR(__xludf.DUMMYFUNCTION("""COMPUTED_VALUE"""),17.95)</f>
        <v>17.95</v>
      </c>
      <c r="I17">
        <f>IFERROR(__xludf.DUMMYFUNCTION("""COMPUTED_VALUE"""),890.0)</f>
        <v>890</v>
      </c>
      <c r="J17">
        <f>IFERROR(__xludf.DUMMYFUNCTION("""COMPUTED_VALUE"""),28.74)</f>
        <v>28.74</v>
      </c>
      <c r="K17">
        <f>IFERROR(__xludf.DUMMYFUNCTION("""COMPUTED_VALUE"""),0.21)</f>
        <v>0.21</v>
      </c>
      <c r="L17">
        <f>IFERROR(__xludf.DUMMYFUNCTION("""COMPUTED_VALUE"""),0.32)</f>
        <v>0.32</v>
      </c>
      <c r="M17">
        <f>IFERROR(__xludf.DUMMYFUNCTION("""COMPUTED_VALUE"""),8.21)</f>
        <v>8.21</v>
      </c>
      <c r="N17">
        <f>IFERROR(__xludf.DUMMYFUNCTION("""COMPUTED_VALUE"""),2.84)</f>
        <v>2.84</v>
      </c>
      <c r="O17">
        <f>IFERROR(__xludf.DUMMYFUNCTION("""COMPUTED_VALUE"""),0.32)</f>
        <v>0.32</v>
      </c>
    </row>
    <row r="18">
      <c r="A18" t="str">
        <f>IFERROR(__xludf.DUMMYFUNCTION("""COMPUTED_VALUE"""),"Acquaviva")</f>
        <v>Acquaviva</v>
      </c>
      <c r="B18" t="str">
        <f>IFERROR(__xludf.DUMMYFUNCTION("""COMPUTED_VALUE"""),"Jean-Félix Acquaviva")</f>
        <v>Jean-Félix Acquaviva</v>
      </c>
      <c r="C18">
        <f>IFERROR(__xludf.DUMMYFUNCTION("""COMPUTED_VALUE"""),3.58)</f>
        <v>3.58</v>
      </c>
      <c r="D18">
        <f>IFERROR(__xludf.DUMMYFUNCTION("""COMPUTED_VALUE"""),5.37)</f>
        <v>5.37</v>
      </c>
      <c r="E18">
        <f>IFERROR(__xludf.DUMMYFUNCTION("""COMPUTED_VALUE"""),28.0)</f>
        <v>28</v>
      </c>
      <c r="F18">
        <f>IFERROR(__xludf.DUMMYFUNCTION("""COMPUTED_VALUE"""),5.16)</f>
        <v>5.16</v>
      </c>
      <c r="G18">
        <f>IFERROR(__xludf.DUMMYFUNCTION("""COMPUTED_VALUE"""),0.26)</f>
        <v>0.26</v>
      </c>
      <c r="H18">
        <f>IFERROR(__xludf.DUMMYFUNCTION("""COMPUTED_VALUE"""),20.53)</f>
        <v>20.53</v>
      </c>
      <c r="I18">
        <f>IFERROR(__xludf.DUMMYFUNCTION("""COMPUTED_VALUE"""),222.26)</f>
        <v>222.26</v>
      </c>
      <c r="J18">
        <f>IFERROR(__xludf.DUMMYFUNCTION("""COMPUTED_VALUE"""),15.95)</f>
        <v>15.95</v>
      </c>
      <c r="K18">
        <f>IFERROR(__xludf.DUMMYFUNCTION("""COMPUTED_VALUE"""),0.0)</f>
        <v>0</v>
      </c>
      <c r="L18">
        <f>IFERROR(__xludf.DUMMYFUNCTION("""COMPUTED_VALUE"""),0.11)</f>
        <v>0.11</v>
      </c>
      <c r="M18">
        <f>IFERROR(__xludf.DUMMYFUNCTION("""COMPUTED_VALUE"""),1.58)</f>
        <v>1.58</v>
      </c>
      <c r="N18">
        <f>IFERROR(__xludf.DUMMYFUNCTION("""COMPUTED_VALUE"""),1.53)</f>
        <v>1.53</v>
      </c>
      <c r="O18">
        <f>IFERROR(__xludf.DUMMYFUNCTION("""COMPUTED_VALUE"""),0.21)</f>
        <v>0.21</v>
      </c>
    </row>
    <row r="19">
      <c r="A19" t="str">
        <f>IFERROR(__xludf.DUMMYFUNCTION("""COMPUTED_VALUE"""),"Adam")</f>
        <v>Adam</v>
      </c>
      <c r="B19" t="str">
        <f>IFERROR(__xludf.DUMMYFUNCTION("""COMPUTED_VALUE"""),"Damien Adam")</f>
        <v>Damien Adam</v>
      </c>
      <c r="C19">
        <f>IFERROR(__xludf.DUMMYFUNCTION("""COMPUTED_VALUE"""),3.79)</f>
        <v>3.79</v>
      </c>
      <c r="D19">
        <f>IFERROR(__xludf.DUMMYFUNCTION("""COMPUTED_VALUE"""),7.05)</f>
        <v>7.05</v>
      </c>
      <c r="E19">
        <f>IFERROR(__xludf.DUMMYFUNCTION("""COMPUTED_VALUE"""),13.47)</f>
        <v>13.47</v>
      </c>
      <c r="F19">
        <f>IFERROR(__xludf.DUMMYFUNCTION("""COMPUTED_VALUE"""),8.11)</f>
        <v>8.11</v>
      </c>
      <c r="G19">
        <f>IFERROR(__xludf.DUMMYFUNCTION("""COMPUTED_VALUE"""),8.47)</f>
        <v>8.47</v>
      </c>
      <c r="H19">
        <f>IFERROR(__xludf.DUMMYFUNCTION("""COMPUTED_VALUE"""),8.79)</f>
        <v>8.79</v>
      </c>
      <c r="I19">
        <f>IFERROR(__xludf.DUMMYFUNCTION("""COMPUTED_VALUE"""),62.47)</f>
        <v>62.47</v>
      </c>
      <c r="J19">
        <f>IFERROR(__xludf.DUMMYFUNCTION("""COMPUTED_VALUE"""),20.79)</f>
        <v>20.79</v>
      </c>
      <c r="K19">
        <f>IFERROR(__xludf.DUMMYFUNCTION("""COMPUTED_VALUE"""),0.32)</f>
        <v>0.32</v>
      </c>
      <c r="L19">
        <f>IFERROR(__xludf.DUMMYFUNCTION("""COMPUTED_VALUE"""),0.16)</f>
        <v>0.16</v>
      </c>
      <c r="M19">
        <f>IFERROR(__xludf.DUMMYFUNCTION("""COMPUTED_VALUE"""),2.68)</f>
        <v>2.68</v>
      </c>
      <c r="N19">
        <f>IFERROR(__xludf.DUMMYFUNCTION("""COMPUTED_VALUE"""),0.89)</f>
        <v>0.89</v>
      </c>
      <c r="O19">
        <f>IFERROR(__xludf.DUMMYFUNCTION("""COMPUTED_VALUE"""),0.16)</f>
        <v>0.16</v>
      </c>
    </row>
    <row r="20">
      <c r="A20" t="str">
        <f>IFERROR(__xludf.DUMMYFUNCTION("""COMPUTED_VALUE"""),"Agresti-Roubache")</f>
        <v>Agresti-Roubache</v>
      </c>
      <c r="B20" t="str">
        <f>IFERROR(__xludf.DUMMYFUNCTION("""COMPUTED_VALUE"""),"Sabrina Agresti-Roubache")</f>
        <v>Sabrina Agresti-Roubache</v>
      </c>
      <c r="C20">
        <f>IFERROR(__xludf.DUMMYFUNCTION("""COMPUTED_VALUE"""),3.64)</f>
        <v>3.64</v>
      </c>
      <c r="D20">
        <f>IFERROR(__xludf.DUMMYFUNCTION("""COMPUTED_VALUE"""),5.55)</f>
        <v>5.55</v>
      </c>
      <c r="E20">
        <f>IFERROR(__xludf.DUMMYFUNCTION("""COMPUTED_VALUE"""),1.18)</f>
        <v>1.18</v>
      </c>
      <c r="F20">
        <f>IFERROR(__xludf.DUMMYFUNCTION("""COMPUTED_VALUE"""),2.18)</f>
        <v>2.18</v>
      </c>
      <c r="G20">
        <f>IFERROR(__xludf.DUMMYFUNCTION("""COMPUTED_VALUE"""),0.64)</f>
        <v>0.64</v>
      </c>
      <c r="H20">
        <f>IFERROR(__xludf.DUMMYFUNCTION("""COMPUTED_VALUE"""),1.91)</f>
        <v>1.91</v>
      </c>
      <c r="I20">
        <f>IFERROR(__xludf.DUMMYFUNCTION("""COMPUTED_VALUE"""),58.09)</f>
        <v>58.09</v>
      </c>
      <c r="J20">
        <f>IFERROR(__xludf.DUMMYFUNCTION("""COMPUTED_VALUE"""),18.36)</f>
        <v>18.36</v>
      </c>
      <c r="K20">
        <f>IFERROR(__xludf.DUMMYFUNCTION("""COMPUTED_VALUE"""),0.0)</f>
        <v>0</v>
      </c>
      <c r="L20">
        <f>IFERROR(__xludf.DUMMYFUNCTION("""COMPUTED_VALUE"""),0.18)</f>
        <v>0.18</v>
      </c>
      <c r="M20">
        <f>IFERROR(__xludf.DUMMYFUNCTION("""COMPUTED_VALUE"""),3.82)</f>
        <v>3.82</v>
      </c>
      <c r="N20">
        <f>IFERROR(__xludf.DUMMYFUNCTION("""COMPUTED_VALUE"""),0.27)</f>
        <v>0.27</v>
      </c>
      <c r="O20">
        <f>IFERROR(__xludf.DUMMYFUNCTION("""COMPUTED_VALUE"""),0.27)</f>
        <v>0.27</v>
      </c>
    </row>
    <row r="21">
      <c r="A21" t="str">
        <f>IFERROR(__xludf.DUMMYFUNCTION("""COMPUTED_VALUE"""),"Alauzet")</f>
        <v>Alauzet</v>
      </c>
      <c r="B21" t="str">
        <f>IFERROR(__xludf.DUMMYFUNCTION("""COMPUTED_VALUE"""),"Éric Alauzet")</f>
        <v>Éric Alauzet</v>
      </c>
      <c r="C21">
        <f>IFERROR(__xludf.DUMMYFUNCTION("""COMPUTED_VALUE"""),3.95)</f>
        <v>3.95</v>
      </c>
      <c r="D21">
        <f>IFERROR(__xludf.DUMMYFUNCTION("""COMPUTED_VALUE"""),8.63)</f>
        <v>8.63</v>
      </c>
      <c r="E21">
        <f>IFERROR(__xludf.DUMMYFUNCTION("""COMPUTED_VALUE"""),3.74)</f>
        <v>3.74</v>
      </c>
      <c r="F21">
        <f>IFERROR(__xludf.DUMMYFUNCTION("""COMPUTED_VALUE"""),2.63)</f>
        <v>2.63</v>
      </c>
      <c r="G21">
        <f>IFERROR(__xludf.DUMMYFUNCTION("""COMPUTED_VALUE"""),1.05)</f>
        <v>1.05</v>
      </c>
      <c r="H21">
        <f>IFERROR(__xludf.DUMMYFUNCTION("""COMPUTED_VALUE"""),6.89)</f>
        <v>6.89</v>
      </c>
      <c r="I21">
        <f>IFERROR(__xludf.DUMMYFUNCTION("""COMPUTED_VALUE"""),64.0)</f>
        <v>64</v>
      </c>
      <c r="J21">
        <f>IFERROR(__xludf.DUMMYFUNCTION("""COMPUTED_VALUE"""),16.89)</f>
        <v>16.89</v>
      </c>
      <c r="K21">
        <f>IFERROR(__xludf.DUMMYFUNCTION("""COMPUTED_VALUE"""),0.05)</f>
        <v>0.05</v>
      </c>
      <c r="L21">
        <f>IFERROR(__xludf.DUMMYFUNCTION("""COMPUTED_VALUE"""),0.0)</f>
        <v>0</v>
      </c>
      <c r="M21">
        <f>IFERROR(__xludf.DUMMYFUNCTION("""COMPUTED_VALUE"""),2.26)</f>
        <v>2.26</v>
      </c>
      <c r="N21">
        <f>IFERROR(__xludf.DUMMYFUNCTION("""COMPUTED_VALUE"""),1.37)</f>
        <v>1.37</v>
      </c>
      <c r="O21">
        <f>IFERROR(__xludf.DUMMYFUNCTION("""COMPUTED_VALUE"""),0.05)</f>
        <v>0.05</v>
      </c>
    </row>
    <row r="22">
      <c r="A22" t="str">
        <f>IFERROR(__xludf.DUMMYFUNCTION("""COMPUTED_VALUE"""),"Albertini")</f>
        <v>Albertini</v>
      </c>
      <c r="B22" t="str">
        <f>IFERROR(__xludf.DUMMYFUNCTION("""COMPUTED_VALUE"""),"Xavier Albertini")</f>
        <v>Xavier Albertini</v>
      </c>
      <c r="C22">
        <f>IFERROR(__xludf.DUMMYFUNCTION("""COMPUTED_VALUE"""),3.53)</f>
        <v>3.53</v>
      </c>
      <c r="D22">
        <f>IFERROR(__xludf.DUMMYFUNCTION("""COMPUTED_VALUE"""),4.63)</f>
        <v>4.63</v>
      </c>
      <c r="E22">
        <f>IFERROR(__xludf.DUMMYFUNCTION("""COMPUTED_VALUE"""),3.89)</f>
        <v>3.89</v>
      </c>
      <c r="F22">
        <f>IFERROR(__xludf.DUMMYFUNCTION("""COMPUTED_VALUE"""),2.0)</f>
        <v>2</v>
      </c>
      <c r="G22">
        <f>IFERROR(__xludf.DUMMYFUNCTION("""COMPUTED_VALUE"""),0.32)</f>
        <v>0.32</v>
      </c>
      <c r="H22">
        <f>IFERROR(__xludf.DUMMYFUNCTION("""COMPUTED_VALUE"""),2.47)</f>
        <v>2.47</v>
      </c>
      <c r="I22">
        <f>IFERROR(__xludf.DUMMYFUNCTION("""COMPUTED_VALUE"""),64.74)</f>
        <v>64.74</v>
      </c>
      <c r="J22">
        <f>IFERROR(__xludf.DUMMYFUNCTION("""COMPUTED_VALUE"""),14.74)</f>
        <v>14.74</v>
      </c>
      <c r="K22">
        <f>IFERROR(__xludf.DUMMYFUNCTION("""COMPUTED_VALUE"""),0.05)</f>
        <v>0.05</v>
      </c>
      <c r="L22">
        <f>IFERROR(__xludf.DUMMYFUNCTION("""COMPUTED_VALUE"""),0.05)</f>
        <v>0.05</v>
      </c>
      <c r="M22">
        <f>IFERROR(__xludf.DUMMYFUNCTION("""COMPUTED_VALUE"""),2.16)</f>
        <v>2.16</v>
      </c>
      <c r="N22">
        <f>IFERROR(__xludf.DUMMYFUNCTION("""COMPUTED_VALUE"""),1.42)</f>
        <v>1.42</v>
      </c>
      <c r="O22">
        <f>IFERROR(__xludf.DUMMYFUNCTION("""COMPUTED_VALUE"""),0.21)</f>
        <v>0.21</v>
      </c>
    </row>
    <row r="23">
      <c r="A23" t="str">
        <f>IFERROR(__xludf.DUMMYFUNCTION("""COMPUTED_VALUE"""),"Alexandre")</f>
        <v>Alexandre</v>
      </c>
      <c r="B23" t="str">
        <f>IFERROR(__xludf.DUMMYFUNCTION("""COMPUTED_VALUE"""),"Laurent Alexandre")</f>
        <v>Laurent Alexandre</v>
      </c>
      <c r="C23">
        <f>IFERROR(__xludf.DUMMYFUNCTION("""COMPUTED_VALUE"""),3.63)</f>
        <v>3.63</v>
      </c>
      <c r="D23">
        <f>IFERROR(__xludf.DUMMYFUNCTION("""COMPUTED_VALUE"""),5.26)</f>
        <v>5.26</v>
      </c>
      <c r="E23">
        <f>IFERROR(__xludf.DUMMYFUNCTION("""COMPUTED_VALUE"""),2.26)</f>
        <v>2.26</v>
      </c>
      <c r="F23">
        <f>IFERROR(__xludf.DUMMYFUNCTION("""COMPUTED_VALUE"""),6.0)</f>
        <v>6</v>
      </c>
      <c r="G23">
        <f>IFERROR(__xludf.DUMMYFUNCTION("""COMPUTED_VALUE"""),3.05)</f>
        <v>3.05</v>
      </c>
      <c r="H23">
        <f>IFERROR(__xludf.DUMMYFUNCTION("""COMPUTED_VALUE"""),7.05)</f>
        <v>7.05</v>
      </c>
      <c r="I23">
        <f>IFERROR(__xludf.DUMMYFUNCTION("""COMPUTED_VALUE"""),891.32)</f>
        <v>891.32</v>
      </c>
      <c r="J23">
        <f>IFERROR(__xludf.DUMMYFUNCTION("""COMPUTED_VALUE"""),28.89)</f>
        <v>28.89</v>
      </c>
      <c r="K23">
        <f>IFERROR(__xludf.DUMMYFUNCTION("""COMPUTED_VALUE"""),0.16)</f>
        <v>0.16</v>
      </c>
      <c r="L23">
        <f>IFERROR(__xludf.DUMMYFUNCTION("""COMPUTED_VALUE"""),0.11)</f>
        <v>0.11</v>
      </c>
      <c r="M23">
        <f>IFERROR(__xludf.DUMMYFUNCTION("""COMPUTED_VALUE"""),7.74)</f>
        <v>7.74</v>
      </c>
      <c r="N23">
        <f>IFERROR(__xludf.DUMMYFUNCTION("""COMPUTED_VALUE"""),0.79)</f>
        <v>0.79</v>
      </c>
      <c r="O23">
        <f>IFERROR(__xludf.DUMMYFUNCTION("""COMPUTED_VALUE"""),0.21)</f>
        <v>0.21</v>
      </c>
    </row>
    <row r="24">
      <c r="A24" t="str">
        <f>IFERROR(__xludf.DUMMYFUNCTION("""COMPUTED_VALUE"""),"Alfandari")</f>
        <v>Alfandari</v>
      </c>
      <c r="B24" t="str">
        <f>IFERROR(__xludf.DUMMYFUNCTION("""COMPUTED_VALUE"""),"Henri Alfandari")</f>
        <v>Henri Alfandari</v>
      </c>
      <c r="C24">
        <f>IFERROR(__xludf.DUMMYFUNCTION("""COMPUTED_VALUE"""),3.58)</f>
        <v>3.58</v>
      </c>
      <c r="D24">
        <f>IFERROR(__xludf.DUMMYFUNCTION("""COMPUTED_VALUE"""),6.42)</f>
        <v>6.42</v>
      </c>
      <c r="E24">
        <f>IFERROR(__xludf.DUMMYFUNCTION("""COMPUTED_VALUE"""),11.47)</f>
        <v>11.47</v>
      </c>
      <c r="F24">
        <f>IFERROR(__xludf.DUMMYFUNCTION("""COMPUTED_VALUE"""),11.58)</f>
        <v>11.58</v>
      </c>
      <c r="G24">
        <f>IFERROR(__xludf.DUMMYFUNCTION("""COMPUTED_VALUE"""),5.74)</f>
        <v>5.74</v>
      </c>
      <c r="H24">
        <f>IFERROR(__xludf.DUMMYFUNCTION("""COMPUTED_VALUE"""),8.47)</f>
        <v>8.47</v>
      </c>
      <c r="I24">
        <f>IFERROR(__xludf.DUMMYFUNCTION("""COMPUTED_VALUE"""),53.53)</f>
        <v>53.53</v>
      </c>
      <c r="J24">
        <f>IFERROR(__xludf.DUMMYFUNCTION("""COMPUTED_VALUE"""),16.05)</f>
        <v>16.05</v>
      </c>
      <c r="K24">
        <f>IFERROR(__xludf.DUMMYFUNCTION("""COMPUTED_VALUE"""),0.37)</f>
        <v>0.37</v>
      </c>
      <c r="L24">
        <f>IFERROR(__xludf.DUMMYFUNCTION("""COMPUTED_VALUE"""),0.16)</f>
        <v>0.16</v>
      </c>
      <c r="M24">
        <f>IFERROR(__xludf.DUMMYFUNCTION("""COMPUTED_VALUE"""),1.53)</f>
        <v>1.53</v>
      </c>
      <c r="N24">
        <f>IFERROR(__xludf.DUMMYFUNCTION("""COMPUTED_VALUE"""),0.47)</f>
        <v>0.47</v>
      </c>
      <c r="O24">
        <f>IFERROR(__xludf.DUMMYFUNCTION("""COMPUTED_VALUE"""),0.42)</f>
        <v>0.42</v>
      </c>
    </row>
    <row r="25">
      <c r="A25" t="str">
        <f>IFERROR(__xludf.DUMMYFUNCTION("""COMPUTED_VALUE"""),"Allisio")</f>
        <v>Allisio</v>
      </c>
      <c r="B25" t="str">
        <f>IFERROR(__xludf.DUMMYFUNCTION("""COMPUTED_VALUE"""),"Franck Allisio")</f>
        <v>Franck Allisio</v>
      </c>
      <c r="C25">
        <f>IFERROR(__xludf.DUMMYFUNCTION("""COMPUTED_VALUE"""),3.84)</f>
        <v>3.84</v>
      </c>
      <c r="D25">
        <f>IFERROR(__xludf.DUMMYFUNCTION("""COMPUTED_VALUE"""),5.32)</f>
        <v>5.32</v>
      </c>
      <c r="E25">
        <f>IFERROR(__xludf.DUMMYFUNCTION("""COMPUTED_VALUE"""),1.63)</f>
        <v>1.63</v>
      </c>
      <c r="F25">
        <f>IFERROR(__xludf.DUMMYFUNCTION("""COMPUTED_VALUE"""),3.21)</f>
        <v>3.21</v>
      </c>
      <c r="G25">
        <f>IFERROR(__xludf.DUMMYFUNCTION("""COMPUTED_VALUE"""),0.63)</f>
        <v>0.63</v>
      </c>
      <c r="H25">
        <f>IFERROR(__xludf.DUMMYFUNCTION("""COMPUTED_VALUE"""),6.89)</f>
        <v>6.89</v>
      </c>
      <c r="I25">
        <f>IFERROR(__xludf.DUMMYFUNCTION("""COMPUTED_VALUE"""),446.26)</f>
        <v>446.26</v>
      </c>
      <c r="J25">
        <f>IFERROR(__xludf.DUMMYFUNCTION("""COMPUTED_VALUE"""),5.32)</f>
        <v>5.32</v>
      </c>
      <c r="K25">
        <f>IFERROR(__xludf.DUMMYFUNCTION("""COMPUTED_VALUE"""),0.21)</f>
        <v>0.21</v>
      </c>
      <c r="L25">
        <f>IFERROR(__xludf.DUMMYFUNCTION("""COMPUTED_VALUE"""),0.21)</f>
        <v>0.21</v>
      </c>
      <c r="M25">
        <f>IFERROR(__xludf.DUMMYFUNCTION("""COMPUTED_VALUE"""),4.84)</f>
        <v>4.84</v>
      </c>
      <c r="N25">
        <f>IFERROR(__xludf.DUMMYFUNCTION("""COMPUTED_VALUE"""),3.11)</f>
        <v>3.11</v>
      </c>
      <c r="O25">
        <f>IFERROR(__xludf.DUMMYFUNCTION("""COMPUTED_VALUE"""),0.32)</f>
        <v>0.32</v>
      </c>
    </row>
    <row r="26">
      <c r="A26" t="str">
        <f>IFERROR(__xludf.DUMMYFUNCTION("""COMPUTED_VALUE"""),"Amard")</f>
        <v>Amard</v>
      </c>
      <c r="B26" t="str">
        <f>IFERROR(__xludf.DUMMYFUNCTION("""COMPUTED_VALUE"""),"Gabriel Amard")</f>
        <v>Gabriel Amard</v>
      </c>
      <c r="C26">
        <f>IFERROR(__xludf.DUMMYFUNCTION("""COMPUTED_VALUE"""),3.58)</f>
        <v>3.58</v>
      </c>
      <c r="D26">
        <f>IFERROR(__xludf.DUMMYFUNCTION("""COMPUTED_VALUE"""),5.95)</f>
        <v>5.95</v>
      </c>
      <c r="E26">
        <f>IFERROR(__xludf.DUMMYFUNCTION("""COMPUTED_VALUE"""),7.84)</f>
        <v>7.84</v>
      </c>
      <c r="F26">
        <f>IFERROR(__xludf.DUMMYFUNCTION("""COMPUTED_VALUE"""),5.32)</f>
        <v>5.32</v>
      </c>
      <c r="G26">
        <f>IFERROR(__xludf.DUMMYFUNCTION("""COMPUTED_VALUE"""),8.53)</f>
        <v>8.53</v>
      </c>
      <c r="H26">
        <f>IFERROR(__xludf.DUMMYFUNCTION("""COMPUTED_VALUE"""),17.16)</f>
        <v>17.16</v>
      </c>
      <c r="I26">
        <f>IFERROR(__xludf.DUMMYFUNCTION("""COMPUTED_VALUE"""),895.42)</f>
        <v>895.42</v>
      </c>
      <c r="J26">
        <f>IFERROR(__xludf.DUMMYFUNCTION("""COMPUTED_VALUE"""),28.79)</f>
        <v>28.79</v>
      </c>
      <c r="K26">
        <f>IFERROR(__xludf.DUMMYFUNCTION("""COMPUTED_VALUE"""),0.05)</f>
        <v>0.05</v>
      </c>
      <c r="L26">
        <f>IFERROR(__xludf.DUMMYFUNCTION("""COMPUTED_VALUE"""),0.58)</f>
        <v>0.58</v>
      </c>
      <c r="M26">
        <f>IFERROR(__xludf.DUMMYFUNCTION("""COMPUTED_VALUE"""),8.05)</f>
        <v>8.05</v>
      </c>
      <c r="N26">
        <f>IFERROR(__xludf.DUMMYFUNCTION("""COMPUTED_VALUE"""),0.95)</f>
        <v>0.95</v>
      </c>
      <c r="O26">
        <f>IFERROR(__xludf.DUMMYFUNCTION("""COMPUTED_VALUE"""),0.32)</f>
        <v>0.32</v>
      </c>
    </row>
    <row r="27">
      <c r="A27" t="str">
        <f>IFERROR(__xludf.DUMMYFUNCTION("""COMPUTED_VALUE"""),"Amiel")</f>
        <v>Amiel</v>
      </c>
      <c r="B27" t="str">
        <f>IFERROR(__xludf.DUMMYFUNCTION("""COMPUTED_VALUE"""),"David Amiel")</f>
        <v>David Amiel</v>
      </c>
      <c r="C27">
        <f>IFERROR(__xludf.DUMMYFUNCTION("""COMPUTED_VALUE"""),3.89)</f>
        <v>3.89</v>
      </c>
      <c r="D27">
        <f>IFERROR(__xludf.DUMMYFUNCTION("""COMPUTED_VALUE"""),7.11)</f>
        <v>7.11</v>
      </c>
      <c r="E27">
        <f>IFERROR(__xludf.DUMMYFUNCTION("""COMPUTED_VALUE"""),5.21)</f>
        <v>5.21</v>
      </c>
      <c r="F27">
        <f>IFERROR(__xludf.DUMMYFUNCTION("""COMPUTED_VALUE"""),4.16)</f>
        <v>4.16</v>
      </c>
      <c r="G27">
        <f>IFERROR(__xludf.DUMMYFUNCTION("""COMPUTED_VALUE"""),1.32)</f>
        <v>1.32</v>
      </c>
      <c r="H27">
        <f>IFERROR(__xludf.DUMMYFUNCTION("""COMPUTED_VALUE"""),3.0)</f>
        <v>3</v>
      </c>
      <c r="I27">
        <f>IFERROR(__xludf.DUMMYFUNCTION("""COMPUTED_VALUE"""),55.53)</f>
        <v>55.53</v>
      </c>
      <c r="J27">
        <f>IFERROR(__xludf.DUMMYFUNCTION("""COMPUTED_VALUE"""),17.21)</f>
        <v>17.21</v>
      </c>
      <c r="K27">
        <f>IFERROR(__xludf.DUMMYFUNCTION("""COMPUTED_VALUE"""),0.21)</f>
        <v>0.21</v>
      </c>
      <c r="L27">
        <f>IFERROR(__xludf.DUMMYFUNCTION("""COMPUTED_VALUE"""),0.0)</f>
        <v>0</v>
      </c>
      <c r="M27">
        <f>IFERROR(__xludf.DUMMYFUNCTION("""COMPUTED_VALUE"""),2.11)</f>
        <v>2.11</v>
      </c>
      <c r="N27">
        <f>IFERROR(__xludf.DUMMYFUNCTION("""COMPUTED_VALUE"""),0.21)</f>
        <v>0.21</v>
      </c>
      <c r="O27">
        <f>IFERROR(__xludf.DUMMYFUNCTION("""COMPUTED_VALUE"""),0.21)</f>
        <v>0.21</v>
      </c>
    </row>
    <row r="28">
      <c r="A28" t="str">
        <f>IFERROR(__xludf.DUMMYFUNCTION("""COMPUTED_VALUE"""),"Amiot")</f>
        <v>Amiot</v>
      </c>
      <c r="B28" t="str">
        <f>IFERROR(__xludf.DUMMYFUNCTION("""COMPUTED_VALUE"""),"Ségolène Amiot")</f>
        <v>Ségolène Amiot</v>
      </c>
      <c r="C28">
        <f>IFERROR(__xludf.DUMMYFUNCTION("""COMPUTED_VALUE"""),4.05)</f>
        <v>4.05</v>
      </c>
      <c r="D28">
        <f>IFERROR(__xludf.DUMMYFUNCTION("""COMPUTED_VALUE"""),8.74)</f>
        <v>8.74</v>
      </c>
      <c r="E28">
        <f>IFERROR(__xludf.DUMMYFUNCTION("""COMPUTED_VALUE"""),17.95)</f>
        <v>17.95</v>
      </c>
      <c r="F28">
        <f>IFERROR(__xludf.DUMMYFUNCTION("""COMPUTED_VALUE"""),15.42)</f>
        <v>15.42</v>
      </c>
      <c r="G28">
        <f>IFERROR(__xludf.DUMMYFUNCTION("""COMPUTED_VALUE"""),45.47)</f>
        <v>45.47</v>
      </c>
      <c r="H28">
        <f>IFERROR(__xludf.DUMMYFUNCTION("""COMPUTED_VALUE"""),41.21)</f>
        <v>41.21</v>
      </c>
      <c r="I28">
        <f>IFERROR(__xludf.DUMMYFUNCTION("""COMPUTED_VALUE"""),896.95)</f>
        <v>896.95</v>
      </c>
      <c r="J28">
        <f>IFERROR(__xludf.DUMMYFUNCTION("""COMPUTED_VALUE"""),28.79)</f>
        <v>28.79</v>
      </c>
      <c r="K28">
        <f>IFERROR(__xludf.DUMMYFUNCTION("""COMPUTED_VALUE"""),0.0)</f>
        <v>0</v>
      </c>
      <c r="L28">
        <f>IFERROR(__xludf.DUMMYFUNCTION("""COMPUTED_VALUE"""),0.16)</f>
        <v>0.16</v>
      </c>
      <c r="M28">
        <f>IFERROR(__xludf.DUMMYFUNCTION("""COMPUTED_VALUE"""),8.11)</f>
        <v>8.11</v>
      </c>
      <c r="N28">
        <f>IFERROR(__xludf.DUMMYFUNCTION("""COMPUTED_VALUE"""),3.84)</f>
        <v>3.84</v>
      </c>
      <c r="O28">
        <f>IFERROR(__xludf.DUMMYFUNCTION("""COMPUTED_VALUE"""),0.11)</f>
        <v>0.11</v>
      </c>
    </row>
    <row r="29">
      <c r="A29" t="str">
        <f>IFERROR(__xludf.DUMMYFUNCTION("""COMPUTED_VALUE"""),"Amrani")</f>
        <v>Amrani</v>
      </c>
      <c r="B29" t="str">
        <f>IFERROR(__xludf.DUMMYFUNCTION("""COMPUTED_VALUE"""),"Farida Amrani")</f>
        <v>Farida Amrani</v>
      </c>
      <c r="C29">
        <f>IFERROR(__xludf.DUMMYFUNCTION("""COMPUTED_VALUE"""),3.74)</f>
        <v>3.74</v>
      </c>
      <c r="D29">
        <f>IFERROR(__xludf.DUMMYFUNCTION("""COMPUTED_VALUE"""),6.42)</f>
        <v>6.42</v>
      </c>
      <c r="E29">
        <f>IFERROR(__xludf.DUMMYFUNCTION("""COMPUTED_VALUE"""),3.42)</f>
        <v>3.42</v>
      </c>
      <c r="F29">
        <f>IFERROR(__xludf.DUMMYFUNCTION("""COMPUTED_VALUE"""),4.63)</f>
        <v>4.63</v>
      </c>
      <c r="G29">
        <f>IFERROR(__xludf.DUMMYFUNCTION("""COMPUTED_VALUE"""),13.63)</f>
        <v>13.63</v>
      </c>
      <c r="H29">
        <f>IFERROR(__xludf.DUMMYFUNCTION("""COMPUTED_VALUE"""),15.42)</f>
        <v>15.42</v>
      </c>
      <c r="I29">
        <f>IFERROR(__xludf.DUMMYFUNCTION("""COMPUTED_VALUE"""),889.26)</f>
        <v>889.26</v>
      </c>
      <c r="J29">
        <f>IFERROR(__xludf.DUMMYFUNCTION("""COMPUTED_VALUE"""),28.89)</f>
        <v>28.89</v>
      </c>
      <c r="K29">
        <f>IFERROR(__xludf.DUMMYFUNCTION("""COMPUTED_VALUE"""),0.11)</f>
        <v>0.11</v>
      </c>
      <c r="L29">
        <f>IFERROR(__xludf.DUMMYFUNCTION("""COMPUTED_VALUE"""),0.16)</f>
        <v>0.16</v>
      </c>
      <c r="M29">
        <f>IFERROR(__xludf.DUMMYFUNCTION("""COMPUTED_VALUE"""),7.79)</f>
        <v>7.79</v>
      </c>
      <c r="N29">
        <f>IFERROR(__xludf.DUMMYFUNCTION("""COMPUTED_VALUE"""),0.89)</f>
        <v>0.89</v>
      </c>
      <c r="O29">
        <f>IFERROR(__xludf.DUMMYFUNCTION("""COMPUTED_VALUE"""),0.32)</f>
        <v>0.32</v>
      </c>
    </row>
    <row r="30">
      <c r="A30" t="str">
        <f>IFERROR(__xludf.DUMMYFUNCTION("""COMPUTED_VALUE"""),"Anglade")</f>
        <v>Anglade</v>
      </c>
      <c r="B30" t="str">
        <f>IFERROR(__xludf.DUMMYFUNCTION("""COMPUTED_VALUE"""),"Pieyre-Alexandre Anglade")</f>
        <v>Pieyre-Alexandre Anglade</v>
      </c>
      <c r="C30">
        <f>IFERROR(__xludf.DUMMYFUNCTION("""COMPUTED_VALUE"""),3.68)</f>
        <v>3.68</v>
      </c>
      <c r="D30">
        <f>IFERROR(__xludf.DUMMYFUNCTION("""COMPUTED_VALUE"""),9.95)</f>
        <v>9.95</v>
      </c>
      <c r="E30">
        <f>IFERROR(__xludf.DUMMYFUNCTION("""COMPUTED_VALUE"""),9.79)</f>
        <v>9.79</v>
      </c>
      <c r="F30">
        <f>IFERROR(__xludf.DUMMYFUNCTION("""COMPUTED_VALUE"""),5.58)</f>
        <v>5.58</v>
      </c>
      <c r="G30">
        <f>IFERROR(__xludf.DUMMYFUNCTION("""COMPUTED_VALUE"""),5.26)</f>
        <v>5.26</v>
      </c>
      <c r="H30">
        <f>IFERROR(__xludf.DUMMYFUNCTION("""COMPUTED_VALUE"""),0.47)</f>
        <v>0.47</v>
      </c>
      <c r="I30">
        <f>IFERROR(__xludf.DUMMYFUNCTION("""COMPUTED_VALUE"""),45.79)</f>
        <v>45.79</v>
      </c>
      <c r="J30">
        <f>IFERROR(__xludf.DUMMYFUNCTION("""COMPUTED_VALUE"""),15.05)</f>
        <v>15.05</v>
      </c>
      <c r="K30">
        <f>IFERROR(__xludf.DUMMYFUNCTION("""COMPUTED_VALUE"""),0.16)</f>
        <v>0.16</v>
      </c>
      <c r="L30">
        <f>IFERROR(__xludf.DUMMYFUNCTION("""COMPUTED_VALUE"""),0.21)</f>
        <v>0.21</v>
      </c>
      <c r="M30">
        <f>IFERROR(__xludf.DUMMYFUNCTION("""COMPUTED_VALUE"""),2.11)</f>
        <v>2.11</v>
      </c>
      <c r="N30">
        <f>IFERROR(__xludf.DUMMYFUNCTION("""COMPUTED_VALUE"""),0.53)</f>
        <v>0.53</v>
      </c>
      <c r="O30">
        <f>IFERROR(__xludf.DUMMYFUNCTION("""COMPUTED_VALUE"""),0.16)</f>
        <v>0.16</v>
      </c>
    </row>
    <row r="31">
      <c r="A31" t="str">
        <f>IFERROR(__xludf.DUMMYFUNCTION("""COMPUTED_VALUE"""),"Anthoine")</f>
        <v>Anthoine</v>
      </c>
      <c r="B31" t="str">
        <f>IFERROR(__xludf.DUMMYFUNCTION("""COMPUTED_VALUE"""),"Emmanuelle Anthoine")</f>
        <v>Emmanuelle Anthoine</v>
      </c>
      <c r="C31">
        <f>IFERROR(__xludf.DUMMYFUNCTION("""COMPUTED_VALUE"""),3.95)</f>
        <v>3.95</v>
      </c>
      <c r="D31">
        <f>IFERROR(__xludf.DUMMYFUNCTION("""COMPUTED_VALUE"""),7.79)</f>
        <v>7.79</v>
      </c>
      <c r="E31">
        <f>IFERROR(__xludf.DUMMYFUNCTION("""COMPUTED_VALUE"""),10.37)</f>
        <v>10.37</v>
      </c>
      <c r="F31">
        <f>IFERROR(__xludf.DUMMYFUNCTION("""COMPUTED_VALUE"""),5.42)</f>
        <v>5.42</v>
      </c>
      <c r="G31">
        <f>IFERROR(__xludf.DUMMYFUNCTION("""COMPUTED_VALUE"""),7.0)</f>
        <v>7</v>
      </c>
      <c r="H31">
        <f>IFERROR(__xludf.DUMMYFUNCTION("""COMPUTED_VALUE"""),76.21)</f>
        <v>76.21</v>
      </c>
      <c r="I31">
        <f>IFERROR(__xludf.DUMMYFUNCTION("""COMPUTED_VALUE"""),539.89)</f>
        <v>539.89</v>
      </c>
      <c r="J31">
        <f>IFERROR(__xludf.DUMMYFUNCTION("""COMPUTED_VALUE"""),16.63)</f>
        <v>16.63</v>
      </c>
      <c r="K31">
        <f>IFERROR(__xludf.DUMMYFUNCTION("""COMPUTED_VALUE"""),0.16)</f>
        <v>0.16</v>
      </c>
      <c r="L31">
        <f>IFERROR(__xludf.DUMMYFUNCTION("""COMPUTED_VALUE"""),0.74)</f>
        <v>0.74</v>
      </c>
      <c r="M31">
        <f>IFERROR(__xludf.DUMMYFUNCTION("""COMPUTED_VALUE"""),8.68)</f>
        <v>8.68</v>
      </c>
      <c r="N31">
        <f>IFERROR(__xludf.DUMMYFUNCTION("""COMPUTED_VALUE"""),4.32)</f>
        <v>4.32</v>
      </c>
      <c r="O31">
        <f>IFERROR(__xludf.DUMMYFUNCTION("""COMPUTED_VALUE"""),0.26)</f>
        <v>0.26</v>
      </c>
    </row>
    <row r="32">
      <c r="A32" t="str">
        <f>IFERROR(__xludf.DUMMYFUNCTION("""COMPUTED_VALUE"""),"Ardouin")</f>
        <v>Ardouin</v>
      </c>
      <c r="B32" t="str">
        <f>IFERROR(__xludf.DUMMYFUNCTION("""COMPUTED_VALUE"""),"Jean-Philippe Ardouin")</f>
        <v>Jean-Philippe Ardouin</v>
      </c>
      <c r="C32">
        <f>IFERROR(__xludf.DUMMYFUNCTION("""COMPUTED_VALUE"""),3.53)</f>
        <v>3.53</v>
      </c>
      <c r="D32">
        <f>IFERROR(__xludf.DUMMYFUNCTION("""COMPUTED_VALUE"""),5.05)</f>
        <v>5.05</v>
      </c>
      <c r="E32">
        <f>IFERROR(__xludf.DUMMYFUNCTION("""COMPUTED_VALUE"""),1.16)</f>
        <v>1.16</v>
      </c>
      <c r="F32">
        <f>IFERROR(__xludf.DUMMYFUNCTION("""COMPUTED_VALUE"""),0.74)</f>
        <v>0.74</v>
      </c>
      <c r="G32">
        <f>IFERROR(__xludf.DUMMYFUNCTION("""COMPUTED_VALUE"""),0.05)</f>
        <v>0.05</v>
      </c>
      <c r="H32">
        <f>IFERROR(__xludf.DUMMYFUNCTION("""COMPUTED_VALUE"""),2.68)</f>
        <v>2.68</v>
      </c>
      <c r="I32">
        <f>IFERROR(__xludf.DUMMYFUNCTION("""COMPUTED_VALUE"""),86.58)</f>
        <v>86.58</v>
      </c>
      <c r="J32">
        <f>IFERROR(__xludf.DUMMYFUNCTION("""COMPUTED_VALUE"""),16.84)</f>
        <v>16.84</v>
      </c>
      <c r="K32">
        <f>IFERROR(__xludf.DUMMYFUNCTION("""COMPUTED_VALUE"""),0.0)</f>
        <v>0</v>
      </c>
      <c r="L32">
        <f>IFERROR(__xludf.DUMMYFUNCTION("""COMPUTED_VALUE"""),0.05)</f>
        <v>0.05</v>
      </c>
      <c r="M32">
        <f>IFERROR(__xludf.DUMMYFUNCTION("""COMPUTED_VALUE"""),2.26)</f>
        <v>2.26</v>
      </c>
      <c r="N32">
        <f>IFERROR(__xludf.DUMMYFUNCTION("""COMPUTED_VALUE"""),1.53)</f>
        <v>1.53</v>
      </c>
      <c r="O32">
        <f>IFERROR(__xludf.DUMMYFUNCTION("""COMPUTED_VALUE"""),0.21)</f>
        <v>0.21</v>
      </c>
    </row>
    <row r="33">
      <c r="A33" t="str">
        <f>IFERROR(__xludf.DUMMYFUNCTION("""COMPUTED_VALUE"""),"Arenas")</f>
        <v>Arenas</v>
      </c>
      <c r="B33" t="str">
        <f>IFERROR(__xludf.DUMMYFUNCTION("""COMPUTED_VALUE"""),"Rodrigo Arenas")</f>
        <v>Rodrigo Arenas</v>
      </c>
      <c r="C33">
        <f>IFERROR(__xludf.DUMMYFUNCTION("""COMPUTED_VALUE"""),3.89)</f>
        <v>3.89</v>
      </c>
      <c r="D33">
        <f>IFERROR(__xludf.DUMMYFUNCTION("""COMPUTED_VALUE"""),5.84)</f>
        <v>5.84</v>
      </c>
      <c r="E33">
        <f>IFERROR(__xludf.DUMMYFUNCTION("""COMPUTED_VALUE"""),7.37)</f>
        <v>7.37</v>
      </c>
      <c r="F33">
        <f>IFERROR(__xludf.DUMMYFUNCTION("""COMPUTED_VALUE"""),6.58)</f>
        <v>6.58</v>
      </c>
      <c r="G33">
        <f>IFERROR(__xludf.DUMMYFUNCTION("""COMPUTED_VALUE"""),14.0)</f>
        <v>14</v>
      </c>
      <c r="H33">
        <f>IFERROR(__xludf.DUMMYFUNCTION("""COMPUTED_VALUE"""),16.0)</f>
        <v>16</v>
      </c>
      <c r="I33">
        <f>IFERROR(__xludf.DUMMYFUNCTION("""COMPUTED_VALUE"""),896.16)</f>
        <v>896.16</v>
      </c>
      <c r="J33">
        <f>IFERROR(__xludf.DUMMYFUNCTION("""COMPUTED_VALUE"""),28.79)</f>
        <v>28.79</v>
      </c>
      <c r="K33">
        <f>IFERROR(__xludf.DUMMYFUNCTION("""COMPUTED_VALUE"""),0.05)</f>
        <v>0.05</v>
      </c>
      <c r="L33">
        <f>IFERROR(__xludf.DUMMYFUNCTION("""COMPUTED_VALUE"""),0.21)</f>
        <v>0.21</v>
      </c>
      <c r="M33">
        <f>IFERROR(__xludf.DUMMYFUNCTION("""COMPUTED_VALUE"""),8.26)</f>
        <v>8.26</v>
      </c>
      <c r="N33">
        <f>IFERROR(__xludf.DUMMYFUNCTION("""COMPUTED_VALUE"""),2.11)</f>
        <v>2.11</v>
      </c>
      <c r="O33">
        <f>IFERROR(__xludf.DUMMYFUNCTION("""COMPUTED_VALUE"""),0.21)</f>
        <v>0.21</v>
      </c>
    </row>
    <row r="34">
      <c r="A34" t="str">
        <f>IFERROR(__xludf.DUMMYFUNCTION("""COMPUTED_VALUE"""),"Armand")</f>
        <v>Armand</v>
      </c>
      <c r="B34" t="str">
        <f>IFERROR(__xludf.DUMMYFUNCTION("""COMPUTED_VALUE"""),"Antoine Armand")</f>
        <v>Antoine Armand</v>
      </c>
      <c r="C34">
        <f>IFERROR(__xludf.DUMMYFUNCTION("""COMPUTED_VALUE"""),3.95)</f>
        <v>3.95</v>
      </c>
      <c r="D34">
        <f>IFERROR(__xludf.DUMMYFUNCTION("""COMPUTED_VALUE"""),9.11)</f>
        <v>9.11</v>
      </c>
      <c r="E34">
        <f>IFERROR(__xludf.DUMMYFUNCTION("""COMPUTED_VALUE"""),45.53)</f>
        <v>45.53</v>
      </c>
      <c r="F34">
        <f>IFERROR(__xludf.DUMMYFUNCTION("""COMPUTED_VALUE"""),6.47)</f>
        <v>6.47</v>
      </c>
      <c r="G34">
        <f>IFERROR(__xludf.DUMMYFUNCTION("""COMPUTED_VALUE"""),3.68)</f>
        <v>3.68</v>
      </c>
      <c r="H34">
        <f>IFERROR(__xludf.DUMMYFUNCTION("""COMPUTED_VALUE"""),14.84)</f>
        <v>14.84</v>
      </c>
      <c r="I34">
        <f>IFERROR(__xludf.DUMMYFUNCTION("""COMPUTED_VALUE"""),82.53)</f>
        <v>82.53</v>
      </c>
      <c r="J34">
        <f>IFERROR(__xludf.DUMMYFUNCTION("""COMPUTED_VALUE"""),21.11)</f>
        <v>21.11</v>
      </c>
      <c r="K34">
        <f>IFERROR(__xludf.DUMMYFUNCTION("""COMPUTED_VALUE"""),0.21)</f>
        <v>0.21</v>
      </c>
      <c r="L34">
        <f>IFERROR(__xludf.DUMMYFUNCTION("""COMPUTED_VALUE"""),0.0)</f>
        <v>0</v>
      </c>
      <c r="M34">
        <f>IFERROR(__xludf.DUMMYFUNCTION("""COMPUTED_VALUE"""),2.32)</f>
        <v>2.32</v>
      </c>
      <c r="N34">
        <f>IFERROR(__xludf.DUMMYFUNCTION("""COMPUTED_VALUE"""),2.11)</f>
        <v>2.11</v>
      </c>
      <c r="O34">
        <f>IFERROR(__xludf.DUMMYFUNCTION("""COMPUTED_VALUE"""),0.16)</f>
        <v>0.16</v>
      </c>
    </row>
    <row r="35">
      <c r="A35" t="str">
        <f>IFERROR(__xludf.DUMMYFUNCTION("""COMPUTED_VALUE"""),"Arrighi")</f>
        <v>Arrighi</v>
      </c>
      <c r="B35" t="str">
        <f>IFERROR(__xludf.DUMMYFUNCTION("""COMPUTED_VALUE"""),"Christine Arrighi")</f>
        <v>Christine Arrighi</v>
      </c>
      <c r="C35">
        <f>IFERROR(__xludf.DUMMYFUNCTION("""COMPUTED_VALUE"""),4.11)</f>
        <v>4.11</v>
      </c>
      <c r="D35">
        <f>IFERROR(__xludf.DUMMYFUNCTION("""COMPUTED_VALUE"""),11.11)</f>
        <v>11.11</v>
      </c>
      <c r="E35">
        <f>IFERROR(__xludf.DUMMYFUNCTION("""COMPUTED_VALUE"""),52.47)</f>
        <v>52.47</v>
      </c>
      <c r="F35">
        <f>IFERROR(__xludf.DUMMYFUNCTION("""COMPUTED_VALUE"""),13.42)</f>
        <v>13.42</v>
      </c>
      <c r="G35">
        <f>IFERROR(__xludf.DUMMYFUNCTION("""COMPUTED_VALUE"""),29.21)</f>
        <v>29.21</v>
      </c>
      <c r="H35">
        <f>IFERROR(__xludf.DUMMYFUNCTION("""COMPUTED_VALUE"""),19.74)</f>
        <v>19.74</v>
      </c>
      <c r="I35">
        <f>IFERROR(__xludf.DUMMYFUNCTION("""COMPUTED_VALUE"""),517.58)</f>
        <v>517.58</v>
      </c>
      <c r="J35">
        <f>IFERROR(__xludf.DUMMYFUNCTION("""COMPUTED_VALUE"""),19.0)</f>
        <v>19</v>
      </c>
      <c r="K35">
        <f>IFERROR(__xludf.DUMMYFUNCTION("""COMPUTED_VALUE"""),0.32)</f>
        <v>0.32</v>
      </c>
      <c r="L35">
        <f>IFERROR(__xludf.DUMMYFUNCTION("""COMPUTED_VALUE"""),0.21)</f>
        <v>0.21</v>
      </c>
      <c r="M35">
        <f>IFERROR(__xludf.DUMMYFUNCTION("""COMPUTED_VALUE"""),3.37)</f>
        <v>3.37</v>
      </c>
      <c r="N35">
        <f>IFERROR(__xludf.DUMMYFUNCTION("""COMPUTED_VALUE"""),2.63)</f>
        <v>2.63</v>
      </c>
      <c r="O35">
        <f>IFERROR(__xludf.DUMMYFUNCTION("""COMPUTED_VALUE"""),0.63)</f>
        <v>0.63</v>
      </c>
    </row>
    <row r="36">
      <c r="A36" t="str">
        <f>IFERROR(__xludf.DUMMYFUNCTION("""COMPUTED_VALUE"""),"Autain")</f>
        <v>Autain</v>
      </c>
      <c r="B36" t="str">
        <f>IFERROR(__xludf.DUMMYFUNCTION("""COMPUTED_VALUE"""),"Clémentine Autain")</f>
        <v>Clémentine Autain</v>
      </c>
      <c r="C36">
        <f>IFERROR(__xludf.DUMMYFUNCTION("""COMPUTED_VALUE"""),3.47)</f>
        <v>3.47</v>
      </c>
      <c r="D36">
        <f>IFERROR(__xludf.DUMMYFUNCTION("""COMPUTED_VALUE"""),3.68)</f>
        <v>3.68</v>
      </c>
      <c r="E36">
        <f>IFERROR(__xludf.DUMMYFUNCTION("""COMPUTED_VALUE"""),3.58)</f>
        <v>3.58</v>
      </c>
      <c r="F36">
        <f>IFERROR(__xludf.DUMMYFUNCTION("""COMPUTED_VALUE"""),8.32)</f>
        <v>8.32</v>
      </c>
      <c r="G36">
        <f>IFERROR(__xludf.DUMMYFUNCTION("""COMPUTED_VALUE"""),3.21)</f>
        <v>3.21</v>
      </c>
      <c r="H36">
        <f>IFERROR(__xludf.DUMMYFUNCTION("""COMPUTED_VALUE"""),22.0)</f>
        <v>22</v>
      </c>
      <c r="I36">
        <f>IFERROR(__xludf.DUMMYFUNCTION("""COMPUTED_VALUE"""),895.11)</f>
        <v>895.11</v>
      </c>
      <c r="J36">
        <f>IFERROR(__xludf.DUMMYFUNCTION("""COMPUTED_VALUE"""),28.84)</f>
        <v>28.84</v>
      </c>
      <c r="K36">
        <f>IFERROR(__xludf.DUMMYFUNCTION("""COMPUTED_VALUE"""),0.05)</f>
        <v>0.05</v>
      </c>
      <c r="L36">
        <f>IFERROR(__xludf.DUMMYFUNCTION("""COMPUTED_VALUE"""),0.21)</f>
        <v>0.21</v>
      </c>
      <c r="M36">
        <f>IFERROR(__xludf.DUMMYFUNCTION("""COMPUTED_VALUE"""),7.37)</f>
        <v>7.37</v>
      </c>
      <c r="N36">
        <f>IFERROR(__xludf.DUMMYFUNCTION("""COMPUTED_VALUE"""),1.21)</f>
        <v>1.21</v>
      </c>
      <c r="O36">
        <f>IFERROR(__xludf.DUMMYFUNCTION("""COMPUTED_VALUE"""),0.21)</f>
        <v>0.21</v>
      </c>
    </row>
    <row r="37">
      <c r="A37" t="str">
        <f>IFERROR(__xludf.DUMMYFUNCTION("""COMPUTED_VALUE"""),"Auzanot")</f>
        <v>Auzanot</v>
      </c>
      <c r="B37" t="str">
        <f>IFERROR(__xludf.DUMMYFUNCTION("""COMPUTED_VALUE"""),"Bénédicte Auzanot")</f>
        <v>Bénédicte Auzanot</v>
      </c>
      <c r="C37">
        <f>IFERROR(__xludf.DUMMYFUNCTION("""COMPUTED_VALUE"""),3.68)</f>
        <v>3.68</v>
      </c>
      <c r="D37">
        <f>IFERROR(__xludf.DUMMYFUNCTION("""COMPUTED_VALUE"""),6.42)</f>
        <v>6.42</v>
      </c>
      <c r="E37">
        <f>IFERROR(__xludf.DUMMYFUNCTION("""COMPUTED_VALUE"""),1.16)</f>
        <v>1.16</v>
      </c>
      <c r="F37">
        <f>IFERROR(__xludf.DUMMYFUNCTION("""COMPUTED_VALUE"""),1.21)</f>
        <v>1.21</v>
      </c>
      <c r="G37">
        <f>IFERROR(__xludf.DUMMYFUNCTION("""COMPUTED_VALUE"""),0.42)</f>
        <v>0.42</v>
      </c>
      <c r="H37">
        <f>IFERROR(__xludf.DUMMYFUNCTION("""COMPUTED_VALUE"""),0.47)</f>
        <v>0.47</v>
      </c>
      <c r="I37">
        <f>IFERROR(__xludf.DUMMYFUNCTION("""COMPUTED_VALUE"""),463.53)</f>
        <v>463.53</v>
      </c>
      <c r="J37">
        <f>IFERROR(__xludf.DUMMYFUNCTION("""COMPUTED_VALUE"""),5.58)</f>
        <v>5.58</v>
      </c>
      <c r="K37">
        <f>IFERROR(__xludf.DUMMYFUNCTION("""COMPUTED_VALUE"""),0.0)</f>
        <v>0</v>
      </c>
      <c r="L37">
        <f>IFERROR(__xludf.DUMMYFUNCTION("""COMPUTED_VALUE"""),0.11)</f>
        <v>0.11</v>
      </c>
      <c r="M37">
        <f>IFERROR(__xludf.DUMMYFUNCTION("""COMPUTED_VALUE"""),6.37)</f>
        <v>6.37</v>
      </c>
      <c r="N37">
        <f>IFERROR(__xludf.DUMMYFUNCTION("""COMPUTED_VALUE"""),1.53)</f>
        <v>1.53</v>
      </c>
      <c r="O37">
        <f>IFERROR(__xludf.DUMMYFUNCTION("""COMPUTED_VALUE"""),0.16)</f>
        <v>0.16</v>
      </c>
    </row>
    <row r="38">
      <c r="A38" t="str">
        <f>IFERROR(__xludf.DUMMYFUNCTION("""COMPUTED_VALUE"""),"Aviragnet")</f>
        <v>Aviragnet</v>
      </c>
      <c r="B38" t="str">
        <f>IFERROR(__xludf.DUMMYFUNCTION("""COMPUTED_VALUE"""),"Joël Aviragnet")</f>
        <v>Joël Aviragnet</v>
      </c>
      <c r="C38">
        <f>IFERROR(__xludf.DUMMYFUNCTION("""COMPUTED_VALUE"""),3.11)</f>
        <v>3.11</v>
      </c>
      <c r="D38">
        <f>IFERROR(__xludf.DUMMYFUNCTION("""COMPUTED_VALUE"""),3.95)</f>
        <v>3.95</v>
      </c>
      <c r="E38">
        <f>IFERROR(__xludf.DUMMYFUNCTION("""COMPUTED_VALUE"""),4.89)</f>
        <v>4.89</v>
      </c>
      <c r="F38">
        <f>IFERROR(__xludf.DUMMYFUNCTION("""COMPUTED_VALUE"""),3.95)</f>
        <v>3.95</v>
      </c>
      <c r="G38">
        <f>IFERROR(__xludf.DUMMYFUNCTION("""COMPUTED_VALUE"""),0.74)</f>
        <v>0.74</v>
      </c>
      <c r="H38">
        <f>IFERROR(__xludf.DUMMYFUNCTION("""COMPUTED_VALUE"""),34.89)</f>
        <v>34.89</v>
      </c>
      <c r="I38">
        <f>IFERROR(__xludf.DUMMYFUNCTION("""COMPUTED_VALUE"""),490.47)</f>
        <v>490.47</v>
      </c>
      <c r="J38">
        <f>IFERROR(__xludf.DUMMYFUNCTION("""COMPUTED_VALUE"""),23.26)</f>
        <v>23.26</v>
      </c>
      <c r="K38">
        <f>IFERROR(__xludf.DUMMYFUNCTION("""COMPUTED_VALUE"""),0.0)</f>
        <v>0</v>
      </c>
      <c r="L38">
        <f>IFERROR(__xludf.DUMMYFUNCTION("""COMPUTED_VALUE"""),0.16)</f>
        <v>0.16</v>
      </c>
      <c r="M38">
        <f>IFERROR(__xludf.DUMMYFUNCTION("""COMPUTED_VALUE"""),4.0)</f>
        <v>4</v>
      </c>
      <c r="N38">
        <f>IFERROR(__xludf.DUMMYFUNCTION("""COMPUTED_VALUE"""),0.89)</f>
        <v>0.89</v>
      </c>
      <c r="O38">
        <f>IFERROR(__xludf.DUMMYFUNCTION("""COMPUTED_VALUE"""),0.32)</f>
        <v>0.32</v>
      </c>
    </row>
    <row r="39">
      <c r="A39" t="str">
        <f>IFERROR(__xludf.DUMMYFUNCTION("""COMPUTED_VALUE"""),"Babault")</f>
        <v>Babault</v>
      </c>
      <c r="B39" t="str">
        <f>IFERROR(__xludf.DUMMYFUNCTION("""COMPUTED_VALUE"""),"Anne-Laure Babault")</f>
        <v>Anne-Laure Babault</v>
      </c>
      <c r="C39">
        <f>IFERROR(__xludf.DUMMYFUNCTION("""COMPUTED_VALUE"""),3.53)</f>
        <v>3.53</v>
      </c>
      <c r="D39">
        <f>IFERROR(__xludf.DUMMYFUNCTION("""COMPUTED_VALUE"""),6.58)</f>
        <v>6.58</v>
      </c>
      <c r="E39">
        <f>IFERROR(__xludf.DUMMYFUNCTION("""COMPUTED_VALUE"""),7.53)</f>
        <v>7.53</v>
      </c>
      <c r="F39">
        <f>IFERROR(__xludf.DUMMYFUNCTION("""COMPUTED_VALUE"""),5.58)</f>
        <v>5.58</v>
      </c>
      <c r="G39">
        <f>IFERROR(__xludf.DUMMYFUNCTION("""COMPUTED_VALUE"""),1.95)</f>
        <v>1.95</v>
      </c>
      <c r="H39">
        <f>IFERROR(__xludf.DUMMYFUNCTION("""COMPUTED_VALUE"""),3.21)</f>
        <v>3.21</v>
      </c>
      <c r="I39">
        <f>IFERROR(__xludf.DUMMYFUNCTION("""COMPUTED_VALUE"""),77.84)</f>
        <v>77.84</v>
      </c>
      <c r="J39">
        <f>IFERROR(__xludf.DUMMYFUNCTION("""COMPUTED_VALUE"""),15.0)</f>
        <v>15</v>
      </c>
      <c r="K39">
        <f>IFERROR(__xludf.DUMMYFUNCTION("""COMPUTED_VALUE"""),0.16)</f>
        <v>0.16</v>
      </c>
      <c r="L39">
        <f>IFERROR(__xludf.DUMMYFUNCTION("""COMPUTED_VALUE"""),0.0)</f>
        <v>0</v>
      </c>
      <c r="M39">
        <f>IFERROR(__xludf.DUMMYFUNCTION("""COMPUTED_VALUE"""),1.63)</f>
        <v>1.63</v>
      </c>
      <c r="N39">
        <f>IFERROR(__xludf.DUMMYFUNCTION("""COMPUTED_VALUE"""),0.79)</f>
        <v>0.79</v>
      </c>
      <c r="O39">
        <f>IFERROR(__xludf.DUMMYFUNCTION("""COMPUTED_VALUE"""),0.16)</f>
        <v>0.16</v>
      </c>
    </row>
    <row r="40">
      <c r="A40" t="str">
        <f>IFERROR(__xludf.DUMMYFUNCTION("""COMPUTED_VALUE"""),"Balanant")</f>
        <v>Balanant</v>
      </c>
      <c r="B40" t="str">
        <f>IFERROR(__xludf.DUMMYFUNCTION("""COMPUTED_VALUE"""),"Erwan Balanant")</f>
        <v>Erwan Balanant</v>
      </c>
      <c r="C40">
        <f>IFERROR(__xludf.DUMMYFUNCTION("""COMPUTED_VALUE"""),4.11)</f>
        <v>4.11</v>
      </c>
      <c r="D40">
        <f>IFERROR(__xludf.DUMMYFUNCTION("""COMPUTED_VALUE"""),7.74)</f>
        <v>7.74</v>
      </c>
      <c r="E40">
        <f>IFERROR(__xludf.DUMMYFUNCTION("""COMPUTED_VALUE"""),40.68)</f>
        <v>40.68</v>
      </c>
      <c r="F40">
        <f>IFERROR(__xludf.DUMMYFUNCTION("""COMPUTED_VALUE"""),44.74)</f>
        <v>44.74</v>
      </c>
      <c r="G40">
        <f>IFERROR(__xludf.DUMMYFUNCTION("""COMPUTED_VALUE"""),115.37)</f>
        <v>115.37</v>
      </c>
      <c r="H40">
        <f>IFERROR(__xludf.DUMMYFUNCTION("""COMPUTED_VALUE"""),26.58)</f>
        <v>26.58</v>
      </c>
      <c r="I40">
        <f>IFERROR(__xludf.DUMMYFUNCTION("""COMPUTED_VALUE"""),96.11)</f>
        <v>96.11</v>
      </c>
      <c r="J40">
        <f>IFERROR(__xludf.DUMMYFUNCTION("""COMPUTED_VALUE"""),33.95)</f>
        <v>33.95</v>
      </c>
      <c r="K40">
        <f>IFERROR(__xludf.DUMMYFUNCTION("""COMPUTED_VALUE"""),0.26)</f>
        <v>0.26</v>
      </c>
      <c r="L40">
        <f>IFERROR(__xludf.DUMMYFUNCTION("""COMPUTED_VALUE"""),0.05)</f>
        <v>0.05</v>
      </c>
      <c r="M40">
        <f>IFERROR(__xludf.DUMMYFUNCTION("""COMPUTED_VALUE"""),1.26)</f>
        <v>1.26</v>
      </c>
      <c r="N40">
        <f>IFERROR(__xludf.DUMMYFUNCTION("""COMPUTED_VALUE"""),0.21)</f>
        <v>0.21</v>
      </c>
      <c r="O40">
        <f>IFERROR(__xludf.DUMMYFUNCTION("""COMPUTED_VALUE"""),0.32)</f>
        <v>0.32</v>
      </c>
    </row>
    <row r="41">
      <c r="A41" t="str">
        <f>IFERROR(__xludf.DUMMYFUNCTION("""COMPUTED_VALUE"""),"Ballard")</f>
        <v>Ballard</v>
      </c>
      <c r="B41" t="str">
        <f>IFERROR(__xludf.DUMMYFUNCTION("""COMPUTED_VALUE"""),"Philippe Ballard")</f>
        <v>Philippe Ballard</v>
      </c>
      <c r="C41">
        <f>IFERROR(__xludf.DUMMYFUNCTION("""COMPUTED_VALUE"""),3.63)</f>
        <v>3.63</v>
      </c>
      <c r="D41">
        <f>IFERROR(__xludf.DUMMYFUNCTION("""COMPUTED_VALUE"""),5.11)</f>
        <v>5.11</v>
      </c>
      <c r="E41">
        <f>IFERROR(__xludf.DUMMYFUNCTION("""COMPUTED_VALUE"""),6.47)</f>
        <v>6.47</v>
      </c>
      <c r="F41">
        <f>IFERROR(__xludf.DUMMYFUNCTION("""COMPUTED_VALUE"""),5.68)</f>
        <v>5.68</v>
      </c>
      <c r="G41">
        <f>IFERROR(__xludf.DUMMYFUNCTION("""COMPUTED_VALUE"""),3.68)</f>
        <v>3.68</v>
      </c>
      <c r="H41">
        <f>IFERROR(__xludf.DUMMYFUNCTION("""COMPUTED_VALUE"""),10.63)</f>
        <v>10.63</v>
      </c>
      <c r="I41">
        <f>IFERROR(__xludf.DUMMYFUNCTION("""COMPUTED_VALUE"""),446.42)</f>
        <v>446.42</v>
      </c>
      <c r="J41">
        <f>IFERROR(__xludf.DUMMYFUNCTION("""COMPUTED_VALUE"""),5.53)</f>
        <v>5.53</v>
      </c>
      <c r="K41">
        <f>IFERROR(__xludf.DUMMYFUNCTION("""COMPUTED_VALUE"""),0.16)</f>
        <v>0.16</v>
      </c>
      <c r="L41">
        <f>IFERROR(__xludf.DUMMYFUNCTION("""COMPUTED_VALUE"""),0.16)</f>
        <v>0.16</v>
      </c>
      <c r="M41">
        <f>IFERROR(__xludf.DUMMYFUNCTION("""COMPUTED_VALUE"""),7.37)</f>
        <v>7.37</v>
      </c>
      <c r="N41">
        <f>IFERROR(__xludf.DUMMYFUNCTION("""COMPUTED_VALUE"""),1.37)</f>
        <v>1.37</v>
      </c>
      <c r="O41">
        <f>IFERROR(__xludf.DUMMYFUNCTION("""COMPUTED_VALUE"""),0.26)</f>
        <v>0.26</v>
      </c>
    </row>
    <row r="42">
      <c r="A42" t="str">
        <f>IFERROR(__xludf.DUMMYFUNCTION("""COMPUTED_VALUE"""),"Bannier")</f>
        <v>Bannier</v>
      </c>
      <c r="B42" t="str">
        <f>IFERROR(__xludf.DUMMYFUNCTION("""COMPUTED_VALUE"""),"Géraldine Bannier")</f>
        <v>Géraldine Bannier</v>
      </c>
      <c r="C42">
        <f>IFERROR(__xludf.DUMMYFUNCTION("""COMPUTED_VALUE"""),3.68)</f>
        <v>3.68</v>
      </c>
      <c r="D42">
        <f>IFERROR(__xludf.DUMMYFUNCTION("""COMPUTED_VALUE"""),6.42)</f>
        <v>6.42</v>
      </c>
      <c r="E42">
        <f>IFERROR(__xludf.DUMMYFUNCTION("""COMPUTED_VALUE"""),8.37)</f>
        <v>8.37</v>
      </c>
      <c r="F42">
        <f>IFERROR(__xludf.DUMMYFUNCTION("""COMPUTED_VALUE"""),4.47)</f>
        <v>4.47</v>
      </c>
      <c r="G42">
        <f>IFERROR(__xludf.DUMMYFUNCTION("""COMPUTED_VALUE"""),1.58)</f>
        <v>1.58</v>
      </c>
      <c r="H42">
        <f>IFERROR(__xludf.DUMMYFUNCTION("""COMPUTED_VALUE"""),6.58)</f>
        <v>6.58</v>
      </c>
      <c r="I42">
        <f>IFERROR(__xludf.DUMMYFUNCTION("""COMPUTED_VALUE"""),67.11)</f>
        <v>67.11</v>
      </c>
      <c r="J42">
        <f>IFERROR(__xludf.DUMMYFUNCTION("""COMPUTED_VALUE"""),14.68)</f>
        <v>14.68</v>
      </c>
      <c r="K42">
        <f>IFERROR(__xludf.DUMMYFUNCTION("""COMPUTED_VALUE"""),0.05)</f>
        <v>0.05</v>
      </c>
      <c r="L42">
        <f>IFERROR(__xludf.DUMMYFUNCTION("""COMPUTED_VALUE"""),0.26)</f>
        <v>0.26</v>
      </c>
      <c r="M42">
        <f>IFERROR(__xludf.DUMMYFUNCTION("""COMPUTED_VALUE"""),1.21)</f>
        <v>1.21</v>
      </c>
      <c r="N42">
        <f>IFERROR(__xludf.DUMMYFUNCTION("""COMPUTED_VALUE"""),1.26)</f>
        <v>1.26</v>
      </c>
      <c r="O42">
        <f>IFERROR(__xludf.DUMMYFUNCTION("""COMPUTED_VALUE"""),0.37)</f>
        <v>0.37</v>
      </c>
    </row>
    <row r="43">
      <c r="A43" t="str">
        <f>IFERROR(__xludf.DUMMYFUNCTION("""COMPUTED_VALUE"""),"Baptiste")</f>
        <v>Baptiste</v>
      </c>
      <c r="B43" t="str">
        <f>IFERROR(__xludf.DUMMYFUNCTION("""COMPUTED_VALUE"""),"Christian Baptiste")</f>
        <v>Christian Baptiste</v>
      </c>
      <c r="C43">
        <f>IFERROR(__xludf.DUMMYFUNCTION("""COMPUTED_VALUE"""),3.21)</f>
        <v>3.21</v>
      </c>
      <c r="D43">
        <f>IFERROR(__xludf.DUMMYFUNCTION("""COMPUTED_VALUE"""),5.26)</f>
        <v>5.26</v>
      </c>
      <c r="E43">
        <f>IFERROR(__xludf.DUMMYFUNCTION("""COMPUTED_VALUE"""),5.63)</f>
        <v>5.63</v>
      </c>
      <c r="F43">
        <f>IFERROR(__xludf.DUMMYFUNCTION("""COMPUTED_VALUE"""),5.26)</f>
        <v>5.26</v>
      </c>
      <c r="G43">
        <f>IFERROR(__xludf.DUMMYFUNCTION("""COMPUTED_VALUE"""),1.79)</f>
        <v>1.79</v>
      </c>
      <c r="H43">
        <f>IFERROR(__xludf.DUMMYFUNCTION("""COMPUTED_VALUE"""),4.47)</f>
        <v>4.47</v>
      </c>
      <c r="I43">
        <f>IFERROR(__xludf.DUMMYFUNCTION("""COMPUTED_VALUE"""),476.79)</f>
        <v>476.79</v>
      </c>
      <c r="J43">
        <f>IFERROR(__xludf.DUMMYFUNCTION("""COMPUTED_VALUE"""),24.26)</f>
        <v>24.26</v>
      </c>
      <c r="K43">
        <f>IFERROR(__xludf.DUMMYFUNCTION("""COMPUTED_VALUE"""),0.16)</f>
        <v>0.16</v>
      </c>
      <c r="L43">
        <f>IFERROR(__xludf.DUMMYFUNCTION("""COMPUTED_VALUE"""),0.11)</f>
        <v>0.11</v>
      </c>
      <c r="M43">
        <f>IFERROR(__xludf.DUMMYFUNCTION("""COMPUTED_VALUE"""),3.89)</f>
        <v>3.89</v>
      </c>
      <c r="N43">
        <f>IFERROR(__xludf.DUMMYFUNCTION("""COMPUTED_VALUE"""),0.0)</f>
        <v>0</v>
      </c>
      <c r="O43">
        <f>IFERROR(__xludf.DUMMYFUNCTION("""COMPUTED_VALUE"""),0.21)</f>
        <v>0.21</v>
      </c>
    </row>
    <row r="44">
      <c r="A44" t="str">
        <f>IFERROR(__xludf.DUMMYFUNCTION("""COMPUTED_VALUE"""),"Barthès")</f>
        <v>Barthès</v>
      </c>
      <c r="B44" t="str">
        <f>IFERROR(__xludf.DUMMYFUNCTION("""COMPUTED_VALUE"""),"Christophe Barthès")</f>
        <v>Christophe Barthès</v>
      </c>
      <c r="C44">
        <f>IFERROR(__xludf.DUMMYFUNCTION("""COMPUTED_VALUE"""),3.26)</f>
        <v>3.26</v>
      </c>
      <c r="D44">
        <f>IFERROR(__xludf.DUMMYFUNCTION("""COMPUTED_VALUE"""),4.63)</f>
        <v>4.63</v>
      </c>
      <c r="E44">
        <f>IFERROR(__xludf.DUMMYFUNCTION("""COMPUTED_VALUE"""),1.05)</f>
        <v>1.05</v>
      </c>
      <c r="F44">
        <f>IFERROR(__xludf.DUMMYFUNCTION("""COMPUTED_VALUE"""),1.63)</f>
        <v>1.63</v>
      </c>
      <c r="G44">
        <f>IFERROR(__xludf.DUMMYFUNCTION("""COMPUTED_VALUE"""),2.05)</f>
        <v>2.05</v>
      </c>
      <c r="H44">
        <f>IFERROR(__xludf.DUMMYFUNCTION("""COMPUTED_VALUE"""),6.11)</f>
        <v>6.11</v>
      </c>
      <c r="I44">
        <f>IFERROR(__xludf.DUMMYFUNCTION("""COMPUTED_VALUE"""),465.63)</f>
        <v>465.63</v>
      </c>
      <c r="J44">
        <f>IFERROR(__xludf.DUMMYFUNCTION("""COMPUTED_VALUE"""),6.53)</f>
        <v>6.53</v>
      </c>
      <c r="K44">
        <f>IFERROR(__xludf.DUMMYFUNCTION("""COMPUTED_VALUE"""),0.0)</f>
        <v>0</v>
      </c>
      <c r="L44">
        <f>IFERROR(__xludf.DUMMYFUNCTION("""COMPUTED_VALUE"""),0.21)</f>
        <v>0.21</v>
      </c>
      <c r="M44">
        <f>IFERROR(__xludf.DUMMYFUNCTION("""COMPUTED_VALUE"""),6.58)</f>
        <v>6.58</v>
      </c>
      <c r="N44">
        <f>IFERROR(__xludf.DUMMYFUNCTION("""COMPUTED_VALUE"""),3.63)</f>
        <v>3.63</v>
      </c>
      <c r="O44">
        <f>IFERROR(__xludf.DUMMYFUNCTION("""COMPUTED_VALUE"""),0.26)</f>
        <v>0.26</v>
      </c>
    </row>
    <row r="45">
      <c r="A45" t="str">
        <f>IFERROR(__xludf.DUMMYFUNCTION("""COMPUTED_VALUE"""),"Bassire")</f>
        <v>Bassire</v>
      </c>
      <c r="B45" t="str">
        <f>IFERROR(__xludf.DUMMYFUNCTION("""COMPUTED_VALUE"""),"Nathalie Bassire")</f>
        <v>Nathalie Bassire</v>
      </c>
      <c r="C45">
        <f>IFERROR(__xludf.DUMMYFUNCTION("""COMPUTED_VALUE"""),2.68)</f>
        <v>2.68</v>
      </c>
      <c r="D45">
        <f>IFERROR(__xludf.DUMMYFUNCTION("""COMPUTED_VALUE"""),5.16)</f>
        <v>5.16</v>
      </c>
      <c r="E45">
        <f>IFERROR(__xludf.DUMMYFUNCTION("""COMPUTED_VALUE"""),6.53)</f>
        <v>6.53</v>
      </c>
      <c r="F45">
        <f>IFERROR(__xludf.DUMMYFUNCTION("""COMPUTED_VALUE"""),7.26)</f>
        <v>7.26</v>
      </c>
      <c r="G45">
        <f>IFERROR(__xludf.DUMMYFUNCTION("""COMPUTED_VALUE"""),0.53)</f>
        <v>0.53</v>
      </c>
      <c r="H45">
        <f>IFERROR(__xludf.DUMMYFUNCTION("""COMPUTED_VALUE"""),13.63)</f>
        <v>13.63</v>
      </c>
      <c r="I45">
        <f>IFERROR(__xludf.DUMMYFUNCTION("""COMPUTED_VALUE"""),234.79)</f>
        <v>234.79</v>
      </c>
      <c r="J45">
        <f>IFERROR(__xludf.DUMMYFUNCTION("""COMPUTED_VALUE"""),16.26)</f>
        <v>16.26</v>
      </c>
      <c r="K45">
        <f>IFERROR(__xludf.DUMMYFUNCTION("""COMPUTED_VALUE"""),0.05)</f>
        <v>0.05</v>
      </c>
      <c r="L45">
        <f>IFERROR(__xludf.DUMMYFUNCTION("""COMPUTED_VALUE"""),0.11)</f>
        <v>0.11</v>
      </c>
      <c r="M45">
        <f>IFERROR(__xludf.DUMMYFUNCTION("""COMPUTED_VALUE"""),1.74)</f>
        <v>1.74</v>
      </c>
      <c r="N45">
        <f>IFERROR(__xludf.DUMMYFUNCTION("""COMPUTED_VALUE"""),0.21)</f>
        <v>0.21</v>
      </c>
      <c r="O45">
        <f>IFERROR(__xludf.DUMMYFUNCTION("""COMPUTED_VALUE"""),0.32)</f>
        <v>0.32</v>
      </c>
    </row>
    <row r="46">
      <c r="A46" t="str">
        <f>IFERROR(__xludf.DUMMYFUNCTION("""COMPUTED_VALUE"""),"Bataillon")</f>
        <v>Bataillon</v>
      </c>
      <c r="B46" t="str">
        <f>IFERROR(__xludf.DUMMYFUNCTION("""COMPUTED_VALUE"""),"Quentin Bataillon")</f>
        <v>Quentin Bataillon</v>
      </c>
      <c r="C46">
        <f>IFERROR(__xludf.DUMMYFUNCTION("""COMPUTED_VALUE"""),4.0)</f>
        <v>4</v>
      </c>
      <c r="D46">
        <f>IFERROR(__xludf.DUMMYFUNCTION("""COMPUTED_VALUE"""),6.89)</f>
        <v>6.89</v>
      </c>
      <c r="E46">
        <f>IFERROR(__xludf.DUMMYFUNCTION("""COMPUTED_VALUE"""),24.21)</f>
        <v>24.21</v>
      </c>
      <c r="F46">
        <f>IFERROR(__xludf.DUMMYFUNCTION("""COMPUTED_VALUE"""),2.79)</f>
        <v>2.79</v>
      </c>
      <c r="G46">
        <f>IFERROR(__xludf.DUMMYFUNCTION("""COMPUTED_VALUE"""),1.74)</f>
        <v>1.74</v>
      </c>
      <c r="H46">
        <f>IFERROR(__xludf.DUMMYFUNCTION("""COMPUTED_VALUE"""),3.53)</f>
        <v>3.53</v>
      </c>
      <c r="I46">
        <f>IFERROR(__xludf.DUMMYFUNCTION("""COMPUTED_VALUE"""),55.74)</f>
        <v>55.74</v>
      </c>
      <c r="J46">
        <f>IFERROR(__xludf.DUMMYFUNCTION("""COMPUTED_VALUE"""),16.37)</f>
        <v>16.37</v>
      </c>
      <c r="K46">
        <f>IFERROR(__xludf.DUMMYFUNCTION("""COMPUTED_VALUE"""),0.21)</f>
        <v>0.21</v>
      </c>
      <c r="L46">
        <f>IFERROR(__xludf.DUMMYFUNCTION("""COMPUTED_VALUE"""),0.16)</f>
        <v>0.16</v>
      </c>
      <c r="M46">
        <f>IFERROR(__xludf.DUMMYFUNCTION("""COMPUTED_VALUE"""),2.47)</f>
        <v>2.47</v>
      </c>
      <c r="N46">
        <f>IFERROR(__xludf.DUMMYFUNCTION("""COMPUTED_VALUE"""),1.47)</f>
        <v>1.47</v>
      </c>
      <c r="O46">
        <f>IFERROR(__xludf.DUMMYFUNCTION("""COMPUTED_VALUE"""),0.11)</f>
        <v>0.11</v>
      </c>
    </row>
    <row r="47">
      <c r="A47" t="str">
        <f>IFERROR(__xludf.DUMMYFUNCTION("""COMPUTED_VALUE"""),"Batho")</f>
        <v>Batho</v>
      </c>
      <c r="B47" t="str">
        <f>IFERROR(__xludf.DUMMYFUNCTION("""COMPUTED_VALUE"""),"Delphine Batho")</f>
        <v>Delphine Batho</v>
      </c>
      <c r="C47">
        <f>IFERROR(__xludf.DUMMYFUNCTION("""COMPUTED_VALUE"""),3.11)</f>
        <v>3.11</v>
      </c>
      <c r="D47">
        <f>IFERROR(__xludf.DUMMYFUNCTION("""COMPUTED_VALUE"""),4.47)</f>
        <v>4.47</v>
      </c>
      <c r="E47">
        <f>IFERROR(__xludf.DUMMYFUNCTION("""COMPUTED_VALUE"""),16.47)</f>
        <v>16.47</v>
      </c>
      <c r="F47">
        <f>IFERROR(__xludf.DUMMYFUNCTION("""COMPUTED_VALUE"""),22.05)</f>
        <v>22.05</v>
      </c>
      <c r="G47">
        <f>IFERROR(__xludf.DUMMYFUNCTION("""COMPUTED_VALUE"""),16.95)</f>
        <v>16.95</v>
      </c>
      <c r="H47">
        <f>IFERROR(__xludf.DUMMYFUNCTION("""COMPUTED_VALUE"""),11.58)</f>
        <v>11.58</v>
      </c>
      <c r="I47">
        <f>IFERROR(__xludf.DUMMYFUNCTION("""COMPUTED_VALUE"""),117.26)</f>
        <v>117.26</v>
      </c>
      <c r="J47">
        <f>IFERROR(__xludf.DUMMYFUNCTION("""COMPUTED_VALUE"""),4.16)</f>
        <v>4.16</v>
      </c>
      <c r="K47">
        <f>IFERROR(__xludf.DUMMYFUNCTION("""COMPUTED_VALUE"""),0.11)</f>
        <v>0.11</v>
      </c>
      <c r="L47">
        <f>IFERROR(__xludf.DUMMYFUNCTION("""COMPUTED_VALUE"""),0.32)</f>
        <v>0.32</v>
      </c>
      <c r="M47">
        <f>IFERROR(__xludf.DUMMYFUNCTION("""COMPUTED_VALUE"""),1.42)</f>
        <v>1.42</v>
      </c>
      <c r="N47">
        <f>IFERROR(__xludf.DUMMYFUNCTION("""COMPUTED_VALUE"""),1.11)</f>
        <v>1.11</v>
      </c>
      <c r="O47">
        <f>IFERROR(__xludf.DUMMYFUNCTION("""COMPUTED_VALUE"""),0.21)</f>
        <v>0.21</v>
      </c>
    </row>
    <row r="48">
      <c r="A48" t="str">
        <f>IFERROR(__xludf.DUMMYFUNCTION("""COMPUTED_VALUE"""),"Battistel")</f>
        <v>Battistel</v>
      </c>
      <c r="B48" t="str">
        <f>IFERROR(__xludf.DUMMYFUNCTION("""COMPUTED_VALUE"""),"Marie-Noëlle Battistel")</f>
        <v>Marie-Noëlle Battistel</v>
      </c>
      <c r="C48">
        <f>IFERROR(__xludf.DUMMYFUNCTION("""COMPUTED_VALUE"""),3.63)</f>
        <v>3.63</v>
      </c>
      <c r="D48">
        <f>IFERROR(__xludf.DUMMYFUNCTION("""COMPUTED_VALUE"""),10.68)</f>
        <v>10.68</v>
      </c>
      <c r="E48">
        <f>IFERROR(__xludf.DUMMYFUNCTION("""COMPUTED_VALUE"""),16.37)</f>
        <v>16.37</v>
      </c>
      <c r="F48">
        <f>IFERROR(__xludf.DUMMYFUNCTION("""COMPUTED_VALUE"""),16.26)</f>
        <v>16.26</v>
      </c>
      <c r="G48">
        <f>IFERROR(__xludf.DUMMYFUNCTION("""COMPUTED_VALUE"""),6.53)</f>
        <v>6.53</v>
      </c>
      <c r="H48">
        <f>IFERROR(__xludf.DUMMYFUNCTION("""COMPUTED_VALUE"""),24.68)</f>
        <v>24.68</v>
      </c>
      <c r="I48">
        <f>IFERROR(__xludf.DUMMYFUNCTION("""COMPUTED_VALUE"""),469.05)</f>
        <v>469.05</v>
      </c>
      <c r="J48">
        <f>IFERROR(__xludf.DUMMYFUNCTION("""COMPUTED_VALUE"""),25.11)</f>
        <v>25.11</v>
      </c>
      <c r="K48">
        <f>IFERROR(__xludf.DUMMYFUNCTION("""COMPUTED_VALUE"""),0.16)</f>
        <v>0.16</v>
      </c>
      <c r="L48">
        <f>IFERROR(__xludf.DUMMYFUNCTION("""COMPUTED_VALUE"""),0.16)</f>
        <v>0.16</v>
      </c>
      <c r="M48">
        <f>IFERROR(__xludf.DUMMYFUNCTION("""COMPUTED_VALUE"""),3.89)</f>
        <v>3.89</v>
      </c>
      <c r="N48">
        <f>IFERROR(__xludf.DUMMYFUNCTION("""COMPUTED_VALUE"""),1.42)</f>
        <v>1.42</v>
      </c>
      <c r="O48">
        <f>IFERROR(__xludf.DUMMYFUNCTION("""COMPUTED_VALUE"""),0.26)</f>
        <v>0.26</v>
      </c>
    </row>
    <row r="49">
      <c r="A49" t="str">
        <f>IFERROR(__xludf.DUMMYFUNCTION("""COMPUTED_VALUE"""),"Batut")</f>
        <v>Batut</v>
      </c>
      <c r="B49" t="str">
        <f>IFERROR(__xludf.DUMMYFUNCTION("""COMPUTED_VALUE"""),"Xavier Batut")</f>
        <v>Xavier Batut</v>
      </c>
      <c r="C49">
        <f>IFERROR(__xludf.DUMMYFUNCTION("""COMPUTED_VALUE"""),3.32)</f>
        <v>3.32</v>
      </c>
      <c r="D49">
        <f>IFERROR(__xludf.DUMMYFUNCTION("""COMPUTED_VALUE"""),7.21)</f>
        <v>7.21</v>
      </c>
      <c r="E49">
        <f>IFERROR(__xludf.DUMMYFUNCTION("""COMPUTED_VALUE"""),2.21)</f>
        <v>2.21</v>
      </c>
      <c r="F49">
        <f>IFERROR(__xludf.DUMMYFUNCTION("""COMPUTED_VALUE"""),0.63)</f>
        <v>0.63</v>
      </c>
      <c r="G49">
        <f>IFERROR(__xludf.DUMMYFUNCTION("""COMPUTED_VALUE"""),0.11)</f>
        <v>0.11</v>
      </c>
      <c r="H49">
        <f>IFERROR(__xludf.DUMMYFUNCTION("""COMPUTED_VALUE"""),2.32)</f>
        <v>2.32</v>
      </c>
      <c r="I49">
        <f>IFERROR(__xludf.DUMMYFUNCTION("""COMPUTED_VALUE"""),63.74)</f>
        <v>63.74</v>
      </c>
      <c r="J49">
        <f>IFERROR(__xludf.DUMMYFUNCTION("""COMPUTED_VALUE"""),13.95)</f>
        <v>13.95</v>
      </c>
      <c r="K49">
        <f>IFERROR(__xludf.DUMMYFUNCTION("""COMPUTED_VALUE"""),0.0)</f>
        <v>0</v>
      </c>
      <c r="L49">
        <f>IFERROR(__xludf.DUMMYFUNCTION("""COMPUTED_VALUE"""),0.05)</f>
        <v>0.05</v>
      </c>
      <c r="M49">
        <f>IFERROR(__xludf.DUMMYFUNCTION("""COMPUTED_VALUE"""),3.0)</f>
        <v>3</v>
      </c>
      <c r="N49">
        <f>IFERROR(__xludf.DUMMYFUNCTION("""COMPUTED_VALUE"""),2.37)</f>
        <v>2.37</v>
      </c>
      <c r="O49">
        <f>IFERROR(__xludf.DUMMYFUNCTION("""COMPUTED_VALUE"""),0.0)</f>
        <v>0</v>
      </c>
    </row>
    <row r="50">
      <c r="A50" t="str">
        <f>IFERROR(__xludf.DUMMYFUNCTION("""COMPUTED_VALUE"""),"Baubry")</f>
        <v>Baubry</v>
      </c>
      <c r="B50" t="str">
        <f>IFERROR(__xludf.DUMMYFUNCTION("""COMPUTED_VALUE"""),"Romain Baubry")</f>
        <v>Romain Baubry</v>
      </c>
      <c r="C50">
        <f>IFERROR(__xludf.DUMMYFUNCTION("""COMPUTED_VALUE"""),3.63)</f>
        <v>3.63</v>
      </c>
      <c r="D50">
        <f>IFERROR(__xludf.DUMMYFUNCTION("""COMPUTED_VALUE"""),5.21)</f>
        <v>5.21</v>
      </c>
      <c r="E50">
        <f>IFERROR(__xludf.DUMMYFUNCTION("""COMPUTED_VALUE"""),6.42)</f>
        <v>6.42</v>
      </c>
      <c r="F50">
        <f>IFERROR(__xludf.DUMMYFUNCTION("""COMPUTED_VALUE"""),3.47)</f>
        <v>3.47</v>
      </c>
      <c r="G50">
        <f>IFERROR(__xludf.DUMMYFUNCTION("""COMPUTED_VALUE"""),0.89)</f>
        <v>0.89</v>
      </c>
      <c r="H50">
        <f>IFERROR(__xludf.DUMMYFUNCTION("""COMPUTED_VALUE"""),12.11)</f>
        <v>12.11</v>
      </c>
      <c r="I50">
        <f>IFERROR(__xludf.DUMMYFUNCTION("""COMPUTED_VALUE"""),445.84)</f>
        <v>445.84</v>
      </c>
      <c r="J50">
        <f>IFERROR(__xludf.DUMMYFUNCTION("""COMPUTED_VALUE"""),5.63)</f>
        <v>5.63</v>
      </c>
      <c r="K50">
        <f>IFERROR(__xludf.DUMMYFUNCTION("""COMPUTED_VALUE"""),0.0)</f>
        <v>0</v>
      </c>
      <c r="L50">
        <f>IFERROR(__xludf.DUMMYFUNCTION("""COMPUTED_VALUE"""),0.16)</f>
        <v>0.16</v>
      </c>
      <c r="M50">
        <f>IFERROR(__xludf.DUMMYFUNCTION("""COMPUTED_VALUE"""),5.42)</f>
        <v>5.42</v>
      </c>
      <c r="N50">
        <f>IFERROR(__xludf.DUMMYFUNCTION("""COMPUTED_VALUE"""),1.05)</f>
        <v>1.05</v>
      </c>
      <c r="O50">
        <f>IFERROR(__xludf.DUMMYFUNCTION("""COMPUTED_VALUE"""),0.26)</f>
        <v>0.26</v>
      </c>
    </row>
    <row r="51">
      <c r="A51" t="str">
        <f>IFERROR(__xludf.DUMMYFUNCTION("""COMPUTED_VALUE"""),"Bayou")</f>
        <v>Bayou</v>
      </c>
      <c r="B51" t="str">
        <f>IFERROR(__xludf.DUMMYFUNCTION("""COMPUTED_VALUE"""),"Julien Bayou")</f>
        <v>Julien Bayou</v>
      </c>
      <c r="C51">
        <f>IFERROR(__xludf.DUMMYFUNCTION("""COMPUTED_VALUE"""),3.42)</f>
        <v>3.42</v>
      </c>
      <c r="D51">
        <f>IFERROR(__xludf.DUMMYFUNCTION("""COMPUTED_VALUE"""),3.37)</f>
        <v>3.37</v>
      </c>
      <c r="E51">
        <f>IFERROR(__xludf.DUMMYFUNCTION("""COMPUTED_VALUE"""),6.37)</f>
        <v>6.37</v>
      </c>
      <c r="F51">
        <f>IFERROR(__xludf.DUMMYFUNCTION("""COMPUTED_VALUE"""),13.58)</f>
        <v>13.58</v>
      </c>
      <c r="G51">
        <f>IFERROR(__xludf.DUMMYFUNCTION("""COMPUTED_VALUE"""),8.11)</f>
        <v>8.11</v>
      </c>
      <c r="H51">
        <f>IFERROR(__xludf.DUMMYFUNCTION("""COMPUTED_VALUE"""),11.37)</f>
        <v>11.37</v>
      </c>
      <c r="I51">
        <f>IFERROR(__xludf.DUMMYFUNCTION("""COMPUTED_VALUE"""),470.63)</f>
        <v>470.63</v>
      </c>
      <c r="J51">
        <f>IFERROR(__xludf.DUMMYFUNCTION("""COMPUTED_VALUE"""),17.84)</f>
        <v>17.84</v>
      </c>
      <c r="K51">
        <f>IFERROR(__xludf.DUMMYFUNCTION("""COMPUTED_VALUE"""),0.05)</f>
        <v>0.05</v>
      </c>
      <c r="L51">
        <f>IFERROR(__xludf.DUMMYFUNCTION("""COMPUTED_VALUE"""),0.32)</f>
        <v>0.32</v>
      </c>
      <c r="M51">
        <f>IFERROR(__xludf.DUMMYFUNCTION("""COMPUTED_VALUE"""),3.32)</f>
        <v>3.32</v>
      </c>
      <c r="N51">
        <f>IFERROR(__xludf.DUMMYFUNCTION("""COMPUTED_VALUE"""),0.79)</f>
        <v>0.79</v>
      </c>
      <c r="O51">
        <f>IFERROR(__xludf.DUMMYFUNCTION("""COMPUTED_VALUE"""),0.26)</f>
        <v>0.26</v>
      </c>
    </row>
    <row r="52">
      <c r="A52" t="str">
        <f>IFERROR(__xludf.DUMMYFUNCTION("""COMPUTED_VALUE"""),"Bazin")</f>
        <v>Bazin</v>
      </c>
      <c r="B52" t="str">
        <f>IFERROR(__xludf.DUMMYFUNCTION("""COMPUTED_VALUE"""),"Thibault Bazin")</f>
        <v>Thibault Bazin</v>
      </c>
      <c r="C52">
        <f>IFERROR(__xludf.DUMMYFUNCTION("""COMPUTED_VALUE"""),4.0)</f>
        <v>4</v>
      </c>
      <c r="D52">
        <f>IFERROR(__xludf.DUMMYFUNCTION("""COMPUTED_VALUE"""),10.58)</f>
        <v>10.58</v>
      </c>
      <c r="E52">
        <f>IFERROR(__xludf.DUMMYFUNCTION("""COMPUTED_VALUE"""),58.32)</f>
        <v>58.32</v>
      </c>
      <c r="F52">
        <f>IFERROR(__xludf.DUMMYFUNCTION("""COMPUTED_VALUE"""),59.79)</f>
        <v>59.79</v>
      </c>
      <c r="G52">
        <f>IFERROR(__xludf.DUMMYFUNCTION("""COMPUTED_VALUE"""),66.11)</f>
        <v>66.11</v>
      </c>
      <c r="H52">
        <f>IFERROR(__xludf.DUMMYFUNCTION("""COMPUTED_VALUE"""),186.58)</f>
        <v>186.58</v>
      </c>
      <c r="I52">
        <f>IFERROR(__xludf.DUMMYFUNCTION("""COMPUTED_VALUE"""),575.47)</f>
        <v>575.47</v>
      </c>
      <c r="J52">
        <f>IFERROR(__xludf.DUMMYFUNCTION("""COMPUTED_VALUE"""),20.05)</f>
        <v>20.05</v>
      </c>
      <c r="K52">
        <f>IFERROR(__xludf.DUMMYFUNCTION("""COMPUTED_VALUE"""),0.37)</f>
        <v>0.37</v>
      </c>
      <c r="L52">
        <f>IFERROR(__xludf.DUMMYFUNCTION("""COMPUTED_VALUE"""),1.47)</f>
        <v>1.47</v>
      </c>
      <c r="M52">
        <f>IFERROR(__xludf.DUMMYFUNCTION("""COMPUTED_VALUE"""),9.79)</f>
        <v>9.79</v>
      </c>
      <c r="N52">
        <f>IFERROR(__xludf.DUMMYFUNCTION("""COMPUTED_VALUE"""),5.95)</f>
        <v>5.95</v>
      </c>
      <c r="O52">
        <f>IFERROR(__xludf.DUMMYFUNCTION("""COMPUTED_VALUE"""),0.26)</f>
        <v>0.26</v>
      </c>
    </row>
    <row r="53">
      <c r="A53" t="str">
        <f>IFERROR(__xludf.DUMMYFUNCTION("""COMPUTED_VALUE"""),"Bazin-Malgras")</f>
        <v>Bazin-Malgras</v>
      </c>
      <c r="B53" t="str">
        <f>IFERROR(__xludf.DUMMYFUNCTION("""COMPUTED_VALUE"""),"Valérie Bazin-Malgras")</f>
        <v>Valérie Bazin-Malgras</v>
      </c>
      <c r="C53">
        <f>IFERROR(__xludf.DUMMYFUNCTION("""COMPUTED_VALUE"""),3.32)</f>
        <v>3.32</v>
      </c>
      <c r="D53">
        <f>IFERROR(__xludf.DUMMYFUNCTION("""COMPUTED_VALUE"""),5.79)</f>
        <v>5.79</v>
      </c>
      <c r="E53">
        <f>IFERROR(__xludf.DUMMYFUNCTION("""COMPUTED_VALUE"""),5.89)</f>
        <v>5.89</v>
      </c>
      <c r="F53">
        <f>IFERROR(__xludf.DUMMYFUNCTION("""COMPUTED_VALUE"""),3.32)</f>
        <v>3.32</v>
      </c>
      <c r="G53">
        <f>IFERROR(__xludf.DUMMYFUNCTION("""COMPUTED_VALUE"""),2.26)</f>
        <v>2.26</v>
      </c>
      <c r="H53">
        <f>IFERROR(__xludf.DUMMYFUNCTION("""COMPUTED_VALUE"""),24.16)</f>
        <v>24.16</v>
      </c>
      <c r="I53">
        <f>IFERROR(__xludf.DUMMYFUNCTION("""COMPUTED_VALUE"""),258.95)</f>
        <v>258.95</v>
      </c>
      <c r="J53">
        <f>IFERROR(__xludf.DUMMYFUNCTION("""COMPUTED_VALUE"""),10.79)</f>
        <v>10.79</v>
      </c>
      <c r="K53">
        <f>IFERROR(__xludf.DUMMYFUNCTION("""COMPUTED_VALUE"""),0.26)</f>
        <v>0.26</v>
      </c>
      <c r="L53">
        <f>IFERROR(__xludf.DUMMYFUNCTION("""COMPUTED_VALUE"""),1.0)</f>
        <v>1</v>
      </c>
      <c r="M53">
        <f>IFERROR(__xludf.DUMMYFUNCTION("""COMPUTED_VALUE"""),8.05)</f>
        <v>8.05</v>
      </c>
      <c r="N53">
        <f>IFERROR(__xludf.DUMMYFUNCTION("""COMPUTED_VALUE"""),4.0)</f>
        <v>4</v>
      </c>
      <c r="O53">
        <f>IFERROR(__xludf.DUMMYFUNCTION("""COMPUTED_VALUE"""),0.26)</f>
        <v>0.26</v>
      </c>
    </row>
    <row r="54">
      <c r="A54" t="str">
        <f>IFERROR(__xludf.DUMMYFUNCTION("""COMPUTED_VALUE"""),"Beaurain")</f>
        <v>Beaurain</v>
      </c>
      <c r="B54" t="str">
        <f>IFERROR(__xludf.DUMMYFUNCTION("""COMPUTED_VALUE"""),"José Beaurain")</f>
        <v>José Beaurain</v>
      </c>
      <c r="C54">
        <f>IFERROR(__xludf.DUMMYFUNCTION("""COMPUTED_VALUE"""),3.05)</f>
        <v>3.05</v>
      </c>
      <c r="D54">
        <f>IFERROR(__xludf.DUMMYFUNCTION("""COMPUTED_VALUE"""),2.74)</f>
        <v>2.74</v>
      </c>
      <c r="E54">
        <f>IFERROR(__xludf.DUMMYFUNCTION("""COMPUTED_VALUE"""),0.05)</f>
        <v>0.05</v>
      </c>
      <c r="F54">
        <f>IFERROR(__xludf.DUMMYFUNCTION("""COMPUTED_VALUE"""),0.53)</f>
        <v>0.53</v>
      </c>
      <c r="G54">
        <f>IFERROR(__xludf.DUMMYFUNCTION("""COMPUTED_VALUE"""),2.89)</f>
        <v>2.89</v>
      </c>
      <c r="H54">
        <f>IFERROR(__xludf.DUMMYFUNCTION("""COMPUTED_VALUE"""),0.84)</f>
        <v>0.84</v>
      </c>
      <c r="I54">
        <f>IFERROR(__xludf.DUMMYFUNCTION("""COMPUTED_VALUE"""),469.63)</f>
        <v>469.63</v>
      </c>
      <c r="J54">
        <f>IFERROR(__xludf.DUMMYFUNCTION("""COMPUTED_VALUE"""),6.79)</f>
        <v>6.79</v>
      </c>
      <c r="K54">
        <f>IFERROR(__xludf.DUMMYFUNCTION("""COMPUTED_VALUE"""),0.0)</f>
        <v>0</v>
      </c>
      <c r="L54">
        <f>IFERROR(__xludf.DUMMYFUNCTION("""COMPUTED_VALUE"""),0.0)</f>
        <v>0</v>
      </c>
      <c r="M54">
        <f>IFERROR(__xludf.DUMMYFUNCTION("""COMPUTED_VALUE"""),7.63)</f>
        <v>7.63</v>
      </c>
      <c r="N54">
        <f>IFERROR(__xludf.DUMMYFUNCTION("""COMPUTED_VALUE"""),0.74)</f>
        <v>0.74</v>
      </c>
      <c r="O54">
        <f>IFERROR(__xludf.DUMMYFUNCTION("""COMPUTED_VALUE"""),0.11)</f>
        <v>0.11</v>
      </c>
    </row>
    <row r="55">
      <c r="A55" t="str">
        <f>IFERROR(__xludf.DUMMYFUNCTION("""COMPUTED_VALUE"""),"Belhaddad")</f>
        <v>Belhaddad</v>
      </c>
      <c r="B55" t="str">
        <f>IFERROR(__xludf.DUMMYFUNCTION("""COMPUTED_VALUE"""),"Belkhir Belhaddad")</f>
        <v>Belkhir Belhaddad</v>
      </c>
      <c r="C55">
        <f>IFERROR(__xludf.DUMMYFUNCTION("""COMPUTED_VALUE"""),3.89)</f>
        <v>3.89</v>
      </c>
      <c r="D55">
        <f>IFERROR(__xludf.DUMMYFUNCTION("""COMPUTED_VALUE"""),6.0)</f>
        <v>6</v>
      </c>
      <c r="E55">
        <f>IFERROR(__xludf.DUMMYFUNCTION("""COMPUTED_VALUE"""),4.58)</f>
        <v>4.58</v>
      </c>
      <c r="F55">
        <f>IFERROR(__xludf.DUMMYFUNCTION("""COMPUTED_VALUE"""),1.89)</f>
        <v>1.89</v>
      </c>
      <c r="G55">
        <f>IFERROR(__xludf.DUMMYFUNCTION("""COMPUTED_VALUE"""),0.53)</f>
        <v>0.53</v>
      </c>
      <c r="H55">
        <f>IFERROR(__xludf.DUMMYFUNCTION("""COMPUTED_VALUE"""),2.0)</f>
        <v>2</v>
      </c>
      <c r="I55">
        <f>IFERROR(__xludf.DUMMYFUNCTION("""COMPUTED_VALUE"""),58.37)</f>
        <v>58.37</v>
      </c>
      <c r="J55">
        <f>IFERROR(__xludf.DUMMYFUNCTION("""COMPUTED_VALUE"""),14.63)</f>
        <v>14.63</v>
      </c>
      <c r="K55">
        <f>IFERROR(__xludf.DUMMYFUNCTION("""COMPUTED_VALUE"""),0.0)</f>
        <v>0</v>
      </c>
      <c r="L55">
        <f>IFERROR(__xludf.DUMMYFUNCTION("""COMPUTED_VALUE"""),0.0)</f>
        <v>0</v>
      </c>
      <c r="M55">
        <f>IFERROR(__xludf.DUMMYFUNCTION("""COMPUTED_VALUE"""),2.0)</f>
        <v>2</v>
      </c>
      <c r="N55">
        <f>IFERROR(__xludf.DUMMYFUNCTION("""COMPUTED_VALUE"""),0.84)</f>
        <v>0.84</v>
      </c>
      <c r="O55">
        <f>IFERROR(__xludf.DUMMYFUNCTION("""COMPUTED_VALUE"""),0.16)</f>
        <v>0.16</v>
      </c>
    </row>
    <row r="56">
      <c r="A56" t="str">
        <f>IFERROR(__xludf.DUMMYFUNCTION("""COMPUTED_VALUE"""),"Belhamiti")</f>
        <v>Belhamiti</v>
      </c>
      <c r="B56" t="str">
        <f>IFERROR(__xludf.DUMMYFUNCTION("""COMPUTED_VALUE"""),"Mounir Belhamiti")</f>
        <v>Mounir Belhamiti</v>
      </c>
      <c r="C56">
        <f>IFERROR(__xludf.DUMMYFUNCTION("""COMPUTED_VALUE"""),3.74)</f>
        <v>3.74</v>
      </c>
      <c r="D56">
        <f>IFERROR(__xludf.DUMMYFUNCTION("""COMPUTED_VALUE"""),5.47)</f>
        <v>5.47</v>
      </c>
      <c r="E56">
        <f>IFERROR(__xludf.DUMMYFUNCTION("""COMPUTED_VALUE"""),4.68)</f>
        <v>4.68</v>
      </c>
      <c r="F56">
        <f>IFERROR(__xludf.DUMMYFUNCTION("""COMPUTED_VALUE"""),2.21)</f>
        <v>2.21</v>
      </c>
      <c r="G56">
        <f>IFERROR(__xludf.DUMMYFUNCTION("""COMPUTED_VALUE"""),2.05)</f>
        <v>2.05</v>
      </c>
      <c r="H56">
        <f>IFERROR(__xludf.DUMMYFUNCTION("""COMPUTED_VALUE"""),1.58)</f>
        <v>1.58</v>
      </c>
      <c r="I56">
        <f>IFERROR(__xludf.DUMMYFUNCTION("""COMPUTED_VALUE"""),47.32)</f>
        <v>47.32</v>
      </c>
      <c r="J56">
        <f>IFERROR(__xludf.DUMMYFUNCTION("""COMPUTED_VALUE"""),13.89)</f>
        <v>13.89</v>
      </c>
      <c r="K56">
        <f>IFERROR(__xludf.DUMMYFUNCTION("""COMPUTED_VALUE"""),0.16)</f>
        <v>0.16</v>
      </c>
      <c r="L56">
        <f>IFERROR(__xludf.DUMMYFUNCTION("""COMPUTED_VALUE"""),0.0)</f>
        <v>0</v>
      </c>
      <c r="M56">
        <f>IFERROR(__xludf.DUMMYFUNCTION("""COMPUTED_VALUE"""),2.16)</f>
        <v>2.16</v>
      </c>
      <c r="N56">
        <f>IFERROR(__xludf.DUMMYFUNCTION("""COMPUTED_VALUE"""),1.11)</f>
        <v>1.11</v>
      </c>
      <c r="O56">
        <f>IFERROR(__xludf.DUMMYFUNCTION("""COMPUTED_VALUE"""),0.11)</f>
        <v>0.11</v>
      </c>
    </row>
    <row r="57">
      <c r="A57" t="str">
        <f>IFERROR(__xludf.DUMMYFUNCTION("""COMPUTED_VALUE"""),"Bellamy")</f>
        <v>Bellamy</v>
      </c>
      <c r="B57" t="str">
        <f>IFERROR(__xludf.DUMMYFUNCTION("""COMPUTED_VALUE"""),"Béatrice Bellamy")</f>
        <v>Béatrice Bellamy</v>
      </c>
      <c r="C57">
        <f>IFERROR(__xludf.DUMMYFUNCTION("""COMPUTED_VALUE"""),3.89)</f>
        <v>3.89</v>
      </c>
      <c r="D57">
        <f>IFERROR(__xludf.DUMMYFUNCTION("""COMPUTED_VALUE"""),7.84)</f>
        <v>7.84</v>
      </c>
      <c r="E57">
        <f>IFERROR(__xludf.DUMMYFUNCTION("""COMPUTED_VALUE"""),25.42)</f>
        <v>25.42</v>
      </c>
      <c r="F57">
        <f>IFERROR(__xludf.DUMMYFUNCTION("""COMPUTED_VALUE"""),3.37)</f>
        <v>3.37</v>
      </c>
      <c r="G57">
        <f>IFERROR(__xludf.DUMMYFUNCTION("""COMPUTED_VALUE"""),0.32)</f>
        <v>0.32</v>
      </c>
      <c r="H57">
        <f>IFERROR(__xludf.DUMMYFUNCTION("""COMPUTED_VALUE"""),2.16)</f>
        <v>2.16</v>
      </c>
      <c r="I57">
        <f>IFERROR(__xludf.DUMMYFUNCTION("""COMPUTED_VALUE"""),62.21)</f>
        <v>62.21</v>
      </c>
      <c r="J57">
        <f>IFERROR(__xludf.DUMMYFUNCTION("""COMPUTED_VALUE"""),14.26)</f>
        <v>14.26</v>
      </c>
      <c r="K57">
        <f>IFERROR(__xludf.DUMMYFUNCTION("""COMPUTED_VALUE"""),0.05)</f>
        <v>0.05</v>
      </c>
      <c r="L57">
        <f>IFERROR(__xludf.DUMMYFUNCTION("""COMPUTED_VALUE"""),0.0)</f>
        <v>0</v>
      </c>
      <c r="M57">
        <f>IFERROR(__xludf.DUMMYFUNCTION("""COMPUTED_VALUE"""),1.79)</f>
        <v>1.79</v>
      </c>
      <c r="N57">
        <f>IFERROR(__xludf.DUMMYFUNCTION("""COMPUTED_VALUE"""),1.21)</f>
        <v>1.21</v>
      </c>
      <c r="O57">
        <f>IFERROR(__xludf.DUMMYFUNCTION("""COMPUTED_VALUE"""),0.32)</f>
        <v>0.32</v>
      </c>
    </row>
    <row r="58">
      <c r="A58" t="str">
        <f>IFERROR(__xludf.DUMMYFUNCTION("""COMPUTED_VALUE"""),"Belluco")</f>
        <v>Belluco</v>
      </c>
      <c r="B58" t="str">
        <f>IFERROR(__xludf.DUMMYFUNCTION("""COMPUTED_VALUE"""),"Lisa Belluco")</f>
        <v>Lisa Belluco</v>
      </c>
      <c r="C58">
        <f>IFERROR(__xludf.DUMMYFUNCTION("""COMPUTED_VALUE"""),3.53)</f>
        <v>3.53</v>
      </c>
      <c r="D58">
        <f>IFERROR(__xludf.DUMMYFUNCTION("""COMPUTED_VALUE"""),7.37)</f>
        <v>7.37</v>
      </c>
      <c r="E58">
        <f>IFERROR(__xludf.DUMMYFUNCTION("""COMPUTED_VALUE"""),24.21)</f>
        <v>24.21</v>
      </c>
      <c r="F58">
        <f>IFERROR(__xludf.DUMMYFUNCTION("""COMPUTED_VALUE"""),13.63)</f>
        <v>13.63</v>
      </c>
      <c r="G58">
        <f>IFERROR(__xludf.DUMMYFUNCTION("""COMPUTED_VALUE"""),6.26)</f>
        <v>6.26</v>
      </c>
      <c r="H58">
        <f>IFERROR(__xludf.DUMMYFUNCTION("""COMPUTED_VALUE"""),48.37)</f>
        <v>48.37</v>
      </c>
      <c r="I58">
        <f>IFERROR(__xludf.DUMMYFUNCTION("""COMPUTED_VALUE"""),534.89)</f>
        <v>534.89</v>
      </c>
      <c r="J58">
        <f>IFERROR(__xludf.DUMMYFUNCTION("""COMPUTED_VALUE"""),21.37)</f>
        <v>21.37</v>
      </c>
      <c r="K58">
        <f>IFERROR(__xludf.DUMMYFUNCTION("""COMPUTED_VALUE"""),0.11)</f>
        <v>0.11</v>
      </c>
      <c r="L58">
        <f>IFERROR(__xludf.DUMMYFUNCTION("""COMPUTED_VALUE"""),0.37)</f>
        <v>0.37</v>
      </c>
      <c r="M58">
        <f>IFERROR(__xludf.DUMMYFUNCTION("""COMPUTED_VALUE"""),3.32)</f>
        <v>3.32</v>
      </c>
      <c r="N58">
        <f>IFERROR(__xludf.DUMMYFUNCTION("""COMPUTED_VALUE"""),1.05)</f>
        <v>1.05</v>
      </c>
      <c r="O58">
        <f>IFERROR(__xludf.DUMMYFUNCTION("""COMPUTED_VALUE"""),0.11)</f>
        <v>0.11</v>
      </c>
    </row>
    <row r="59">
      <c r="A59" t="str">
        <f>IFERROR(__xludf.DUMMYFUNCTION("""COMPUTED_VALUE"""),"Ben Cheikh")</f>
        <v>Ben Cheikh</v>
      </c>
      <c r="B59" t="str">
        <f>IFERROR(__xludf.DUMMYFUNCTION("""COMPUTED_VALUE"""),"Karim Ben Cheikh")</f>
        <v>Karim Ben Cheikh</v>
      </c>
      <c r="C59">
        <f>IFERROR(__xludf.DUMMYFUNCTION("""COMPUTED_VALUE"""),3.53)</f>
        <v>3.53</v>
      </c>
      <c r="D59">
        <f>IFERROR(__xludf.DUMMYFUNCTION("""COMPUTED_VALUE"""),7.0)</f>
        <v>7</v>
      </c>
      <c r="E59">
        <f>IFERROR(__xludf.DUMMYFUNCTION("""COMPUTED_VALUE"""),12.53)</f>
        <v>12.53</v>
      </c>
      <c r="F59">
        <f>IFERROR(__xludf.DUMMYFUNCTION("""COMPUTED_VALUE"""),1.12)</f>
        <v>1.12</v>
      </c>
      <c r="G59">
        <f>IFERROR(__xludf.DUMMYFUNCTION("""COMPUTED_VALUE"""),1.18)</f>
        <v>1.18</v>
      </c>
      <c r="H59">
        <f>IFERROR(__xludf.DUMMYFUNCTION("""COMPUTED_VALUE"""),11.88)</f>
        <v>11.88</v>
      </c>
      <c r="I59">
        <f>IFERROR(__xludf.DUMMYFUNCTION("""COMPUTED_VALUE"""),465.47)</f>
        <v>465.47</v>
      </c>
      <c r="J59">
        <f>IFERROR(__xludf.DUMMYFUNCTION("""COMPUTED_VALUE"""),20.18)</f>
        <v>20.18</v>
      </c>
      <c r="K59">
        <f>IFERROR(__xludf.DUMMYFUNCTION("""COMPUTED_VALUE"""),0.18)</f>
        <v>0.18</v>
      </c>
      <c r="L59">
        <f>IFERROR(__xludf.DUMMYFUNCTION("""COMPUTED_VALUE"""),0.06)</f>
        <v>0.06</v>
      </c>
      <c r="M59">
        <f>IFERROR(__xludf.DUMMYFUNCTION("""COMPUTED_VALUE"""),1.94)</f>
        <v>1.94</v>
      </c>
      <c r="N59">
        <f>IFERROR(__xludf.DUMMYFUNCTION("""COMPUTED_VALUE"""),0.65)</f>
        <v>0.65</v>
      </c>
      <c r="O59">
        <f>IFERROR(__xludf.DUMMYFUNCTION("""COMPUTED_VALUE"""),0.0)</f>
        <v>0</v>
      </c>
    </row>
    <row r="60">
      <c r="A60" t="str">
        <f>IFERROR(__xludf.DUMMYFUNCTION("""COMPUTED_VALUE"""),"Benoit")</f>
        <v>Benoit</v>
      </c>
      <c r="B60" t="str">
        <f>IFERROR(__xludf.DUMMYFUNCTION("""COMPUTED_VALUE"""),"Thierry Benoit")</f>
        <v>Thierry Benoit</v>
      </c>
      <c r="C60">
        <f>IFERROR(__xludf.DUMMYFUNCTION("""COMPUTED_VALUE"""),4.0)</f>
        <v>4</v>
      </c>
      <c r="D60">
        <f>IFERROR(__xludf.DUMMYFUNCTION("""COMPUTED_VALUE"""),5.05)</f>
        <v>5.05</v>
      </c>
      <c r="E60">
        <f>IFERROR(__xludf.DUMMYFUNCTION("""COMPUTED_VALUE"""),5.53)</f>
        <v>5.53</v>
      </c>
      <c r="F60">
        <f>IFERROR(__xludf.DUMMYFUNCTION("""COMPUTED_VALUE"""),10.95)</f>
        <v>10.95</v>
      </c>
      <c r="G60">
        <f>IFERROR(__xludf.DUMMYFUNCTION("""COMPUTED_VALUE"""),10.21)</f>
        <v>10.21</v>
      </c>
      <c r="H60">
        <f>IFERROR(__xludf.DUMMYFUNCTION("""COMPUTED_VALUE"""),8.89)</f>
        <v>8.89</v>
      </c>
      <c r="I60">
        <f>IFERROR(__xludf.DUMMYFUNCTION("""COMPUTED_VALUE"""),77.32)</f>
        <v>77.32</v>
      </c>
      <c r="J60">
        <f>IFERROR(__xludf.DUMMYFUNCTION("""COMPUTED_VALUE"""),14.32)</f>
        <v>14.32</v>
      </c>
      <c r="K60">
        <f>IFERROR(__xludf.DUMMYFUNCTION("""COMPUTED_VALUE"""),0.0)</f>
        <v>0</v>
      </c>
      <c r="L60">
        <f>IFERROR(__xludf.DUMMYFUNCTION("""COMPUTED_VALUE"""),0.05)</f>
        <v>0.05</v>
      </c>
      <c r="M60">
        <f>IFERROR(__xludf.DUMMYFUNCTION("""COMPUTED_VALUE"""),1.84)</f>
        <v>1.84</v>
      </c>
      <c r="N60">
        <f>IFERROR(__xludf.DUMMYFUNCTION("""COMPUTED_VALUE"""),3.53)</f>
        <v>3.53</v>
      </c>
      <c r="O60">
        <f>IFERROR(__xludf.DUMMYFUNCTION("""COMPUTED_VALUE"""),0.47)</f>
        <v>0.47</v>
      </c>
    </row>
    <row r="61">
      <c r="A61" t="str">
        <f>IFERROR(__xludf.DUMMYFUNCTION("""COMPUTED_VALUE"""),"Bentz")</f>
        <v>Bentz</v>
      </c>
      <c r="B61" t="str">
        <f>IFERROR(__xludf.DUMMYFUNCTION("""COMPUTED_VALUE"""),"Christophe Bentz")</f>
        <v>Christophe Bentz</v>
      </c>
      <c r="C61">
        <f>IFERROR(__xludf.DUMMYFUNCTION("""COMPUTED_VALUE"""),4.11)</f>
        <v>4.11</v>
      </c>
      <c r="D61">
        <f>IFERROR(__xludf.DUMMYFUNCTION("""COMPUTED_VALUE"""),7.11)</f>
        <v>7.11</v>
      </c>
      <c r="E61">
        <f>IFERROR(__xludf.DUMMYFUNCTION("""COMPUTED_VALUE"""),7.95)</f>
        <v>7.95</v>
      </c>
      <c r="F61">
        <f>IFERROR(__xludf.DUMMYFUNCTION("""COMPUTED_VALUE"""),13.89)</f>
        <v>13.89</v>
      </c>
      <c r="G61">
        <f>IFERROR(__xludf.DUMMYFUNCTION("""COMPUTED_VALUE"""),5.42)</f>
        <v>5.42</v>
      </c>
      <c r="H61">
        <f>IFERROR(__xludf.DUMMYFUNCTION("""COMPUTED_VALUE"""),18.32)</f>
        <v>18.32</v>
      </c>
      <c r="I61">
        <f>IFERROR(__xludf.DUMMYFUNCTION("""COMPUTED_VALUE"""),493.05)</f>
        <v>493.05</v>
      </c>
      <c r="J61">
        <f>IFERROR(__xludf.DUMMYFUNCTION("""COMPUTED_VALUE"""),5.89)</f>
        <v>5.89</v>
      </c>
      <c r="K61">
        <f>IFERROR(__xludf.DUMMYFUNCTION("""COMPUTED_VALUE"""),0.11)</f>
        <v>0.11</v>
      </c>
      <c r="L61">
        <f>IFERROR(__xludf.DUMMYFUNCTION("""COMPUTED_VALUE"""),0.05)</f>
        <v>0.05</v>
      </c>
      <c r="M61">
        <f>IFERROR(__xludf.DUMMYFUNCTION("""COMPUTED_VALUE"""),4.79)</f>
        <v>4.79</v>
      </c>
      <c r="N61">
        <f>IFERROR(__xludf.DUMMYFUNCTION("""COMPUTED_VALUE"""),3.0)</f>
        <v>3</v>
      </c>
      <c r="O61">
        <f>IFERROR(__xludf.DUMMYFUNCTION("""COMPUTED_VALUE"""),0.26)</f>
        <v>0.26</v>
      </c>
    </row>
    <row r="62">
      <c r="A62" t="str">
        <f>IFERROR(__xludf.DUMMYFUNCTION("""COMPUTED_VALUE"""),"Berete")</f>
        <v>Berete</v>
      </c>
      <c r="B62" t="str">
        <f>IFERROR(__xludf.DUMMYFUNCTION("""COMPUTED_VALUE"""),"Fanta Berete")</f>
        <v>Fanta Berete</v>
      </c>
      <c r="C62">
        <f>IFERROR(__xludf.DUMMYFUNCTION("""COMPUTED_VALUE"""),3.78)</f>
        <v>3.78</v>
      </c>
      <c r="D62">
        <f>IFERROR(__xludf.DUMMYFUNCTION("""COMPUTED_VALUE"""),7.11)</f>
        <v>7.11</v>
      </c>
      <c r="E62">
        <f>IFERROR(__xludf.DUMMYFUNCTION("""COMPUTED_VALUE"""),4.06)</f>
        <v>4.06</v>
      </c>
      <c r="F62">
        <f>IFERROR(__xludf.DUMMYFUNCTION("""COMPUTED_VALUE"""),8.44)</f>
        <v>8.44</v>
      </c>
      <c r="G62">
        <f>IFERROR(__xludf.DUMMYFUNCTION("""COMPUTED_VALUE"""),8.83)</f>
        <v>8.83</v>
      </c>
      <c r="H62">
        <f>IFERROR(__xludf.DUMMYFUNCTION("""COMPUTED_VALUE"""),5.28)</f>
        <v>5.28</v>
      </c>
      <c r="I62">
        <f>IFERROR(__xludf.DUMMYFUNCTION("""COMPUTED_VALUE"""),85.33)</f>
        <v>85.33</v>
      </c>
      <c r="J62">
        <f>IFERROR(__xludf.DUMMYFUNCTION("""COMPUTED_VALUE"""),19.72)</f>
        <v>19.72</v>
      </c>
      <c r="K62">
        <f>IFERROR(__xludf.DUMMYFUNCTION("""COMPUTED_VALUE"""),0.0)</f>
        <v>0</v>
      </c>
      <c r="L62">
        <f>IFERROR(__xludf.DUMMYFUNCTION("""COMPUTED_VALUE"""),0.0)</f>
        <v>0</v>
      </c>
      <c r="M62">
        <f>IFERROR(__xludf.DUMMYFUNCTION("""COMPUTED_VALUE"""),3.11)</f>
        <v>3.11</v>
      </c>
      <c r="N62">
        <f>IFERROR(__xludf.DUMMYFUNCTION("""COMPUTED_VALUE"""),0.78)</f>
        <v>0.78</v>
      </c>
      <c r="O62">
        <f>IFERROR(__xludf.DUMMYFUNCTION("""COMPUTED_VALUE"""),0.22)</f>
        <v>0.22</v>
      </c>
    </row>
    <row r="63">
      <c r="A63" t="str">
        <f>IFERROR(__xludf.DUMMYFUNCTION("""COMPUTED_VALUE"""),"Bergantz")</f>
        <v>Bergantz</v>
      </c>
      <c r="B63" t="str">
        <f>IFERROR(__xludf.DUMMYFUNCTION("""COMPUTED_VALUE"""),"Anne Bergantz")</f>
        <v>Anne Bergantz</v>
      </c>
      <c r="C63">
        <f>IFERROR(__xludf.DUMMYFUNCTION("""COMPUTED_VALUE"""),3.88)</f>
        <v>3.88</v>
      </c>
      <c r="D63">
        <f>IFERROR(__xludf.DUMMYFUNCTION("""COMPUTED_VALUE"""),8.75)</f>
        <v>8.75</v>
      </c>
      <c r="E63">
        <f>IFERROR(__xludf.DUMMYFUNCTION("""COMPUTED_VALUE"""),6.5)</f>
        <v>6.5</v>
      </c>
      <c r="F63">
        <f>IFERROR(__xludf.DUMMYFUNCTION("""COMPUTED_VALUE"""),9.81)</f>
        <v>9.81</v>
      </c>
      <c r="G63">
        <f>IFERROR(__xludf.DUMMYFUNCTION("""COMPUTED_VALUE"""),1.13)</f>
        <v>1.13</v>
      </c>
      <c r="H63">
        <f>IFERROR(__xludf.DUMMYFUNCTION("""COMPUTED_VALUE"""),6.69)</f>
        <v>6.69</v>
      </c>
      <c r="I63">
        <f>IFERROR(__xludf.DUMMYFUNCTION("""COMPUTED_VALUE"""),71.38)</f>
        <v>71.38</v>
      </c>
      <c r="J63">
        <f>IFERROR(__xludf.DUMMYFUNCTION("""COMPUTED_VALUE"""),14.69)</f>
        <v>14.69</v>
      </c>
      <c r="K63">
        <f>IFERROR(__xludf.DUMMYFUNCTION("""COMPUTED_VALUE"""),0.0)</f>
        <v>0</v>
      </c>
      <c r="L63">
        <f>IFERROR(__xludf.DUMMYFUNCTION("""COMPUTED_VALUE"""),0.0)</f>
        <v>0</v>
      </c>
      <c r="M63">
        <f>IFERROR(__xludf.DUMMYFUNCTION("""COMPUTED_VALUE"""),0.81)</f>
        <v>0.81</v>
      </c>
      <c r="N63">
        <f>IFERROR(__xludf.DUMMYFUNCTION("""COMPUTED_VALUE"""),0.31)</f>
        <v>0.31</v>
      </c>
      <c r="O63">
        <f>IFERROR(__xludf.DUMMYFUNCTION("""COMPUTED_VALUE"""),0.06)</f>
        <v>0.06</v>
      </c>
    </row>
    <row r="64">
      <c r="A64" t="str">
        <f>IFERROR(__xludf.DUMMYFUNCTION("""COMPUTED_VALUE"""),"Bergé")</f>
        <v>Bergé</v>
      </c>
      <c r="B64" t="str">
        <f>IFERROR(__xludf.DUMMYFUNCTION("""COMPUTED_VALUE"""),"Aurore Bergé")</f>
        <v>Aurore Bergé</v>
      </c>
      <c r="C64">
        <f>IFERROR(__xludf.DUMMYFUNCTION("""COMPUTED_VALUE"""),3.73)</f>
        <v>3.73</v>
      </c>
      <c r="D64">
        <f>IFERROR(__xludf.DUMMYFUNCTION("""COMPUTED_VALUE"""),6.0)</f>
        <v>6</v>
      </c>
      <c r="E64">
        <f>IFERROR(__xludf.DUMMYFUNCTION("""COMPUTED_VALUE"""),1.55)</f>
        <v>1.55</v>
      </c>
      <c r="F64">
        <f>IFERROR(__xludf.DUMMYFUNCTION("""COMPUTED_VALUE"""),37.73)</f>
        <v>37.73</v>
      </c>
      <c r="G64">
        <f>IFERROR(__xludf.DUMMYFUNCTION("""COMPUTED_VALUE"""),22.64)</f>
        <v>22.64</v>
      </c>
      <c r="H64">
        <f>IFERROR(__xludf.DUMMYFUNCTION("""COMPUTED_VALUE"""),2.27)</f>
        <v>2.27</v>
      </c>
      <c r="I64">
        <f>IFERROR(__xludf.DUMMYFUNCTION("""COMPUTED_VALUE"""),52.18)</f>
        <v>52.18</v>
      </c>
      <c r="J64">
        <f>IFERROR(__xludf.DUMMYFUNCTION("""COMPUTED_VALUE"""),20.64)</f>
        <v>20.64</v>
      </c>
      <c r="K64">
        <f>IFERROR(__xludf.DUMMYFUNCTION("""COMPUTED_VALUE"""),0.27)</f>
        <v>0.27</v>
      </c>
      <c r="L64">
        <f>IFERROR(__xludf.DUMMYFUNCTION("""COMPUTED_VALUE"""),0.91)</f>
        <v>0.91</v>
      </c>
      <c r="M64">
        <f>IFERROR(__xludf.DUMMYFUNCTION("""COMPUTED_VALUE"""),3.55)</f>
        <v>3.55</v>
      </c>
      <c r="N64">
        <f>IFERROR(__xludf.DUMMYFUNCTION("""COMPUTED_VALUE"""),0.36)</f>
        <v>0.36</v>
      </c>
      <c r="O64">
        <f>IFERROR(__xludf.DUMMYFUNCTION("""COMPUTED_VALUE"""),0.36)</f>
        <v>0.36</v>
      </c>
    </row>
    <row r="65">
      <c r="A65" t="str">
        <f>IFERROR(__xludf.DUMMYFUNCTION("""COMPUTED_VALUE"""),"Bernalicis")</f>
        <v>Bernalicis</v>
      </c>
      <c r="B65" t="str">
        <f>IFERROR(__xludf.DUMMYFUNCTION("""COMPUTED_VALUE"""),"Ugo Bernalicis")</f>
        <v>Ugo Bernalicis</v>
      </c>
      <c r="C65">
        <f>IFERROR(__xludf.DUMMYFUNCTION("""COMPUTED_VALUE"""),3.68)</f>
        <v>3.68</v>
      </c>
      <c r="D65">
        <f>IFERROR(__xludf.DUMMYFUNCTION("""COMPUTED_VALUE"""),5.58)</f>
        <v>5.58</v>
      </c>
      <c r="E65">
        <f>IFERROR(__xludf.DUMMYFUNCTION("""COMPUTED_VALUE"""),24.74)</f>
        <v>24.74</v>
      </c>
      <c r="F65">
        <f>IFERROR(__xludf.DUMMYFUNCTION("""COMPUTED_VALUE"""),46.21)</f>
        <v>46.21</v>
      </c>
      <c r="G65">
        <f>IFERROR(__xludf.DUMMYFUNCTION("""COMPUTED_VALUE"""),73.89)</f>
        <v>73.89</v>
      </c>
      <c r="H65">
        <f>IFERROR(__xludf.DUMMYFUNCTION("""COMPUTED_VALUE"""),43.0)</f>
        <v>43</v>
      </c>
      <c r="I65">
        <f>IFERROR(__xludf.DUMMYFUNCTION("""COMPUTED_VALUE"""),895.63)</f>
        <v>895.63</v>
      </c>
      <c r="J65">
        <f>IFERROR(__xludf.DUMMYFUNCTION("""COMPUTED_VALUE"""),28.79)</f>
        <v>28.79</v>
      </c>
      <c r="K65">
        <f>IFERROR(__xludf.DUMMYFUNCTION("""COMPUTED_VALUE"""),0.21)</f>
        <v>0.21</v>
      </c>
      <c r="L65">
        <f>IFERROR(__xludf.DUMMYFUNCTION("""COMPUTED_VALUE"""),0.26)</f>
        <v>0.26</v>
      </c>
      <c r="M65">
        <f>IFERROR(__xludf.DUMMYFUNCTION("""COMPUTED_VALUE"""),7.21)</f>
        <v>7.21</v>
      </c>
      <c r="N65">
        <f>IFERROR(__xludf.DUMMYFUNCTION("""COMPUTED_VALUE"""),2.47)</f>
        <v>2.47</v>
      </c>
      <c r="O65">
        <f>IFERROR(__xludf.DUMMYFUNCTION("""COMPUTED_VALUE"""),0.26)</f>
        <v>0.26</v>
      </c>
    </row>
    <row r="66">
      <c r="A66" t="str">
        <f>IFERROR(__xludf.DUMMYFUNCTION("""COMPUTED_VALUE"""),"Berta")</f>
        <v>Berta</v>
      </c>
      <c r="B66" t="str">
        <f>IFERROR(__xludf.DUMMYFUNCTION("""COMPUTED_VALUE"""),"Philippe Berta")</f>
        <v>Philippe Berta</v>
      </c>
      <c r="C66">
        <f>IFERROR(__xludf.DUMMYFUNCTION("""COMPUTED_VALUE"""),3.53)</f>
        <v>3.53</v>
      </c>
      <c r="D66">
        <f>IFERROR(__xludf.DUMMYFUNCTION("""COMPUTED_VALUE"""),5.79)</f>
        <v>5.79</v>
      </c>
      <c r="E66">
        <f>IFERROR(__xludf.DUMMYFUNCTION("""COMPUTED_VALUE"""),2.89)</f>
        <v>2.89</v>
      </c>
      <c r="F66">
        <f>IFERROR(__xludf.DUMMYFUNCTION("""COMPUTED_VALUE"""),0.42)</f>
        <v>0.42</v>
      </c>
      <c r="G66">
        <f>IFERROR(__xludf.DUMMYFUNCTION("""COMPUTED_VALUE"""),0.26)</f>
        <v>0.26</v>
      </c>
      <c r="H66">
        <f>IFERROR(__xludf.DUMMYFUNCTION("""COMPUTED_VALUE"""),3.05)</f>
        <v>3.05</v>
      </c>
      <c r="I66">
        <f>IFERROR(__xludf.DUMMYFUNCTION("""COMPUTED_VALUE"""),67.74)</f>
        <v>67.74</v>
      </c>
      <c r="J66">
        <f>IFERROR(__xludf.DUMMYFUNCTION("""COMPUTED_VALUE"""),14.26)</f>
        <v>14.26</v>
      </c>
      <c r="K66">
        <f>IFERROR(__xludf.DUMMYFUNCTION("""COMPUTED_VALUE"""),0.26)</f>
        <v>0.26</v>
      </c>
      <c r="L66">
        <f>IFERROR(__xludf.DUMMYFUNCTION("""COMPUTED_VALUE"""),0.0)</f>
        <v>0</v>
      </c>
      <c r="M66">
        <f>IFERROR(__xludf.DUMMYFUNCTION("""COMPUTED_VALUE"""),1.26)</f>
        <v>1.26</v>
      </c>
      <c r="N66">
        <f>IFERROR(__xludf.DUMMYFUNCTION("""COMPUTED_VALUE"""),0.47)</f>
        <v>0.47</v>
      </c>
      <c r="O66">
        <f>IFERROR(__xludf.DUMMYFUNCTION("""COMPUTED_VALUE"""),0.11)</f>
        <v>0.11</v>
      </c>
    </row>
    <row r="67">
      <c r="A67" t="str">
        <f>IFERROR(__xludf.DUMMYFUNCTION("""COMPUTED_VALUE"""),"Berteloot")</f>
        <v>Berteloot</v>
      </c>
      <c r="B67" t="str">
        <f>IFERROR(__xludf.DUMMYFUNCTION("""COMPUTED_VALUE"""),"Pierrick Berteloot")</f>
        <v>Pierrick Berteloot</v>
      </c>
      <c r="C67">
        <f>IFERROR(__xludf.DUMMYFUNCTION("""COMPUTED_VALUE"""),3.63)</f>
        <v>3.63</v>
      </c>
      <c r="D67">
        <f>IFERROR(__xludf.DUMMYFUNCTION("""COMPUTED_VALUE"""),6.42)</f>
        <v>6.42</v>
      </c>
      <c r="E67">
        <f>IFERROR(__xludf.DUMMYFUNCTION("""COMPUTED_VALUE"""),4.53)</f>
        <v>4.53</v>
      </c>
      <c r="F67">
        <f>IFERROR(__xludf.DUMMYFUNCTION("""COMPUTED_VALUE"""),8.21)</f>
        <v>8.21</v>
      </c>
      <c r="G67">
        <f>IFERROR(__xludf.DUMMYFUNCTION("""COMPUTED_VALUE"""),4.53)</f>
        <v>4.53</v>
      </c>
      <c r="H67">
        <f>IFERROR(__xludf.DUMMYFUNCTION("""COMPUTED_VALUE"""),13.89)</f>
        <v>13.89</v>
      </c>
      <c r="I67">
        <f>IFERROR(__xludf.DUMMYFUNCTION("""COMPUTED_VALUE"""),438.58)</f>
        <v>438.58</v>
      </c>
      <c r="J67">
        <f>IFERROR(__xludf.DUMMYFUNCTION("""COMPUTED_VALUE"""),6.32)</f>
        <v>6.32</v>
      </c>
      <c r="K67">
        <f>IFERROR(__xludf.DUMMYFUNCTION("""COMPUTED_VALUE"""),0.05)</f>
        <v>0.05</v>
      </c>
      <c r="L67">
        <f>IFERROR(__xludf.DUMMYFUNCTION("""COMPUTED_VALUE"""),0.21)</f>
        <v>0.21</v>
      </c>
      <c r="M67">
        <f>IFERROR(__xludf.DUMMYFUNCTION("""COMPUTED_VALUE"""),7.79)</f>
        <v>7.79</v>
      </c>
      <c r="N67">
        <f>IFERROR(__xludf.DUMMYFUNCTION("""COMPUTED_VALUE"""),2.95)</f>
        <v>2.95</v>
      </c>
      <c r="O67">
        <f>IFERROR(__xludf.DUMMYFUNCTION("""COMPUTED_VALUE"""),0.16)</f>
        <v>0.16</v>
      </c>
    </row>
    <row r="68">
      <c r="A68" t="str">
        <f>IFERROR(__xludf.DUMMYFUNCTION("""COMPUTED_VALUE"""),"Besse")</f>
        <v>Besse</v>
      </c>
      <c r="B68" t="str">
        <f>IFERROR(__xludf.DUMMYFUNCTION("""COMPUTED_VALUE"""),"Véronique Besse")</f>
        <v>Véronique Besse</v>
      </c>
      <c r="C68">
        <f>IFERROR(__xludf.DUMMYFUNCTION("""COMPUTED_VALUE"""),2.89)</f>
        <v>2.89</v>
      </c>
      <c r="D68">
        <f>IFERROR(__xludf.DUMMYFUNCTION("""COMPUTED_VALUE"""),4.47)</f>
        <v>4.47</v>
      </c>
      <c r="E68">
        <f>IFERROR(__xludf.DUMMYFUNCTION("""COMPUTED_VALUE"""),1.11)</f>
        <v>1.11</v>
      </c>
      <c r="F68">
        <f>IFERROR(__xludf.DUMMYFUNCTION("""COMPUTED_VALUE"""),4.32)</f>
        <v>4.32</v>
      </c>
      <c r="G68">
        <f>IFERROR(__xludf.DUMMYFUNCTION("""COMPUTED_VALUE"""),0.32)</f>
        <v>0.32</v>
      </c>
      <c r="H68">
        <f>IFERROR(__xludf.DUMMYFUNCTION("""COMPUTED_VALUE"""),8.58)</f>
        <v>8.58</v>
      </c>
      <c r="I68">
        <f>IFERROR(__xludf.DUMMYFUNCTION("""COMPUTED_VALUE"""),15.32)</f>
        <v>15.32</v>
      </c>
      <c r="J68">
        <f>IFERROR(__xludf.DUMMYFUNCTION("""COMPUTED_VALUE"""),0.16)</f>
        <v>0.16</v>
      </c>
      <c r="K68">
        <f>IFERROR(__xludf.DUMMYFUNCTION("""COMPUTED_VALUE"""),0.0)</f>
        <v>0</v>
      </c>
      <c r="L68">
        <f>IFERROR(__xludf.DUMMYFUNCTION("""COMPUTED_VALUE"""),0.32)</f>
        <v>0.32</v>
      </c>
      <c r="M68">
        <f>IFERROR(__xludf.DUMMYFUNCTION("""COMPUTED_VALUE"""),2.37)</f>
        <v>2.37</v>
      </c>
      <c r="N68">
        <f>IFERROR(__xludf.DUMMYFUNCTION("""COMPUTED_VALUE"""),3.26)</f>
        <v>3.26</v>
      </c>
      <c r="O68">
        <f>IFERROR(__xludf.DUMMYFUNCTION("""COMPUTED_VALUE"""),0.21)</f>
        <v>0.21</v>
      </c>
    </row>
    <row r="69">
      <c r="A69" t="str">
        <f>IFERROR(__xludf.DUMMYFUNCTION("""COMPUTED_VALUE"""),"Bex")</f>
        <v>Bex</v>
      </c>
      <c r="B69" t="str">
        <f>IFERROR(__xludf.DUMMYFUNCTION("""COMPUTED_VALUE"""),"Christophe Bex")</f>
        <v>Christophe Bex</v>
      </c>
      <c r="C69">
        <f>IFERROR(__xludf.DUMMYFUNCTION("""COMPUTED_VALUE"""),3.47)</f>
        <v>3.47</v>
      </c>
      <c r="D69">
        <f>IFERROR(__xludf.DUMMYFUNCTION("""COMPUTED_VALUE"""),4.16)</f>
        <v>4.16</v>
      </c>
      <c r="E69">
        <f>IFERROR(__xludf.DUMMYFUNCTION("""COMPUTED_VALUE"""),2.74)</f>
        <v>2.74</v>
      </c>
      <c r="F69">
        <f>IFERROR(__xludf.DUMMYFUNCTION("""COMPUTED_VALUE"""),7.95)</f>
        <v>7.95</v>
      </c>
      <c r="G69">
        <f>IFERROR(__xludf.DUMMYFUNCTION("""COMPUTED_VALUE"""),4.74)</f>
        <v>4.74</v>
      </c>
      <c r="H69">
        <f>IFERROR(__xludf.DUMMYFUNCTION("""COMPUTED_VALUE"""),13.21)</f>
        <v>13.21</v>
      </c>
      <c r="I69">
        <f>IFERROR(__xludf.DUMMYFUNCTION("""COMPUTED_VALUE"""),890.21)</f>
        <v>890.21</v>
      </c>
      <c r="J69">
        <f>IFERROR(__xludf.DUMMYFUNCTION("""COMPUTED_VALUE"""),28.79)</f>
        <v>28.79</v>
      </c>
      <c r="K69">
        <f>IFERROR(__xludf.DUMMYFUNCTION("""COMPUTED_VALUE"""),0.0)</f>
        <v>0</v>
      </c>
      <c r="L69">
        <f>IFERROR(__xludf.DUMMYFUNCTION("""COMPUTED_VALUE"""),0.11)</f>
        <v>0.11</v>
      </c>
      <c r="M69">
        <f>IFERROR(__xludf.DUMMYFUNCTION("""COMPUTED_VALUE"""),7.53)</f>
        <v>7.53</v>
      </c>
      <c r="N69">
        <f>IFERROR(__xludf.DUMMYFUNCTION("""COMPUTED_VALUE"""),2.05)</f>
        <v>2.05</v>
      </c>
      <c r="O69">
        <f>IFERROR(__xludf.DUMMYFUNCTION("""COMPUTED_VALUE"""),0.21)</f>
        <v>0.21</v>
      </c>
    </row>
    <row r="70">
      <c r="A70" t="str">
        <f>IFERROR(__xludf.DUMMYFUNCTION("""COMPUTED_VALUE"""),"Bilde")</f>
        <v>Bilde</v>
      </c>
      <c r="B70" t="str">
        <f>IFERROR(__xludf.DUMMYFUNCTION("""COMPUTED_VALUE"""),"Bruno Bilde")</f>
        <v>Bruno Bilde</v>
      </c>
      <c r="C70">
        <f>IFERROR(__xludf.DUMMYFUNCTION("""COMPUTED_VALUE"""),3.58)</f>
        <v>3.58</v>
      </c>
      <c r="D70">
        <f>IFERROR(__xludf.DUMMYFUNCTION("""COMPUTED_VALUE"""),5.84)</f>
        <v>5.84</v>
      </c>
      <c r="E70">
        <f>IFERROR(__xludf.DUMMYFUNCTION("""COMPUTED_VALUE"""),2.58)</f>
        <v>2.58</v>
      </c>
      <c r="F70">
        <f>IFERROR(__xludf.DUMMYFUNCTION("""COMPUTED_VALUE"""),2.16)</f>
        <v>2.16</v>
      </c>
      <c r="G70">
        <f>IFERROR(__xludf.DUMMYFUNCTION("""COMPUTED_VALUE"""),1.79)</f>
        <v>1.79</v>
      </c>
      <c r="H70">
        <f>IFERROR(__xludf.DUMMYFUNCTION("""COMPUTED_VALUE"""),6.42)</f>
        <v>6.42</v>
      </c>
      <c r="I70">
        <f>IFERROR(__xludf.DUMMYFUNCTION("""COMPUTED_VALUE"""),424.68)</f>
        <v>424.68</v>
      </c>
      <c r="J70">
        <f>IFERROR(__xludf.DUMMYFUNCTION("""COMPUTED_VALUE"""),5.21)</f>
        <v>5.21</v>
      </c>
      <c r="K70">
        <f>IFERROR(__xludf.DUMMYFUNCTION("""COMPUTED_VALUE"""),0.05)</f>
        <v>0.05</v>
      </c>
      <c r="L70">
        <f>IFERROR(__xludf.DUMMYFUNCTION("""COMPUTED_VALUE"""),0.16)</f>
        <v>0.16</v>
      </c>
      <c r="M70">
        <f>IFERROR(__xludf.DUMMYFUNCTION("""COMPUTED_VALUE"""),6.53)</f>
        <v>6.53</v>
      </c>
      <c r="N70">
        <f>IFERROR(__xludf.DUMMYFUNCTION("""COMPUTED_VALUE"""),4.05)</f>
        <v>4.05</v>
      </c>
      <c r="O70">
        <f>IFERROR(__xludf.DUMMYFUNCTION("""COMPUTED_VALUE"""),0.21)</f>
        <v>0.21</v>
      </c>
    </row>
    <row r="71">
      <c r="A71" t="str">
        <f>IFERROR(__xludf.DUMMYFUNCTION("""COMPUTED_VALUE"""),"Bilongo")</f>
        <v>Bilongo</v>
      </c>
      <c r="B71" t="str">
        <f>IFERROR(__xludf.DUMMYFUNCTION("""COMPUTED_VALUE"""),"Carlos Martens Bilongo")</f>
        <v>Carlos Martens Bilongo</v>
      </c>
      <c r="C71">
        <f>IFERROR(__xludf.DUMMYFUNCTION("""COMPUTED_VALUE"""),3.68)</f>
        <v>3.68</v>
      </c>
      <c r="D71">
        <f>IFERROR(__xludf.DUMMYFUNCTION("""COMPUTED_VALUE"""),5.95)</f>
        <v>5.95</v>
      </c>
      <c r="E71">
        <f>IFERROR(__xludf.DUMMYFUNCTION("""COMPUTED_VALUE"""),3.11)</f>
        <v>3.11</v>
      </c>
      <c r="F71">
        <f>IFERROR(__xludf.DUMMYFUNCTION("""COMPUTED_VALUE"""),3.95)</f>
        <v>3.95</v>
      </c>
      <c r="G71">
        <f>IFERROR(__xludf.DUMMYFUNCTION("""COMPUTED_VALUE"""),4.74)</f>
        <v>4.74</v>
      </c>
      <c r="H71">
        <f>IFERROR(__xludf.DUMMYFUNCTION("""COMPUTED_VALUE"""),11.26)</f>
        <v>11.26</v>
      </c>
      <c r="I71">
        <f>IFERROR(__xludf.DUMMYFUNCTION("""COMPUTED_VALUE"""),889.47)</f>
        <v>889.47</v>
      </c>
      <c r="J71">
        <f>IFERROR(__xludf.DUMMYFUNCTION("""COMPUTED_VALUE"""),28.79)</f>
        <v>28.79</v>
      </c>
      <c r="K71">
        <f>IFERROR(__xludf.DUMMYFUNCTION("""COMPUTED_VALUE"""),0.21)</f>
        <v>0.21</v>
      </c>
      <c r="L71">
        <f>IFERROR(__xludf.DUMMYFUNCTION("""COMPUTED_VALUE"""),0.26)</f>
        <v>0.26</v>
      </c>
      <c r="M71">
        <f>IFERROR(__xludf.DUMMYFUNCTION("""COMPUTED_VALUE"""),7.42)</f>
        <v>7.42</v>
      </c>
      <c r="N71">
        <f>IFERROR(__xludf.DUMMYFUNCTION("""COMPUTED_VALUE"""),0.79)</f>
        <v>0.79</v>
      </c>
      <c r="O71">
        <f>IFERROR(__xludf.DUMMYFUNCTION("""COMPUTED_VALUE"""),0.26)</f>
        <v>0.26</v>
      </c>
    </row>
    <row r="72">
      <c r="A72" t="str">
        <f>IFERROR(__xludf.DUMMYFUNCTION("""COMPUTED_VALUE"""),"Blairy")</f>
        <v>Blairy</v>
      </c>
      <c r="B72" t="str">
        <f>IFERROR(__xludf.DUMMYFUNCTION("""COMPUTED_VALUE"""),"Emmanuel Blairy")</f>
        <v>Emmanuel Blairy</v>
      </c>
      <c r="C72">
        <f>IFERROR(__xludf.DUMMYFUNCTION("""COMPUTED_VALUE"""),3.63)</f>
        <v>3.63</v>
      </c>
      <c r="D72">
        <f>IFERROR(__xludf.DUMMYFUNCTION("""COMPUTED_VALUE"""),4.89)</f>
        <v>4.89</v>
      </c>
      <c r="E72">
        <f>IFERROR(__xludf.DUMMYFUNCTION("""COMPUTED_VALUE"""),3.37)</f>
        <v>3.37</v>
      </c>
      <c r="F72">
        <f>IFERROR(__xludf.DUMMYFUNCTION("""COMPUTED_VALUE"""),4.47)</f>
        <v>4.47</v>
      </c>
      <c r="G72">
        <f>IFERROR(__xludf.DUMMYFUNCTION("""COMPUTED_VALUE"""),1.0)</f>
        <v>1</v>
      </c>
      <c r="H72">
        <f>IFERROR(__xludf.DUMMYFUNCTION("""COMPUTED_VALUE"""),5.58)</f>
        <v>5.58</v>
      </c>
      <c r="I72">
        <f>IFERROR(__xludf.DUMMYFUNCTION("""COMPUTED_VALUE"""),491.95)</f>
        <v>491.95</v>
      </c>
      <c r="J72">
        <f>IFERROR(__xludf.DUMMYFUNCTION("""COMPUTED_VALUE"""),6.63)</f>
        <v>6.63</v>
      </c>
      <c r="K72">
        <f>IFERROR(__xludf.DUMMYFUNCTION("""COMPUTED_VALUE"""),0.0)</f>
        <v>0</v>
      </c>
      <c r="L72">
        <f>IFERROR(__xludf.DUMMYFUNCTION("""COMPUTED_VALUE"""),0.05)</f>
        <v>0.05</v>
      </c>
      <c r="M72">
        <f>IFERROR(__xludf.DUMMYFUNCTION("""COMPUTED_VALUE"""),6.68)</f>
        <v>6.68</v>
      </c>
      <c r="N72">
        <f>IFERROR(__xludf.DUMMYFUNCTION("""COMPUTED_VALUE"""),1.74)</f>
        <v>1.74</v>
      </c>
      <c r="O72">
        <f>IFERROR(__xludf.DUMMYFUNCTION("""COMPUTED_VALUE"""),0.32)</f>
        <v>0.32</v>
      </c>
    </row>
    <row r="73">
      <c r="A73" t="str">
        <f>IFERROR(__xludf.DUMMYFUNCTION("""COMPUTED_VALUE"""),"Blanc")</f>
        <v>Blanc</v>
      </c>
      <c r="B73" t="str">
        <f>IFERROR(__xludf.DUMMYFUNCTION("""COMPUTED_VALUE"""),"Sophie Blanc")</f>
        <v>Sophie Blanc</v>
      </c>
      <c r="C73">
        <f>IFERROR(__xludf.DUMMYFUNCTION("""COMPUTED_VALUE"""),3.21)</f>
        <v>3.21</v>
      </c>
      <c r="D73">
        <f>IFERROR(__xludf.DUMMYFUNCTION("""COMPUTED_VALUE"""),5.68)</f>
        <v>5.68</v>
      </c>
      <c r="E73">
        <f>IFERROR(__xludf.DUMMYFUNCTION("""COMPUTED_VALUE"""),4.0)</f>
        <v>4</v>
      </c>
      <c r="F73">
        <f>IFERROR(__xludf.DUMMYFUNCTION("""COMPUTED_VALUE"""),1.58)</f>
        <v>1.58</v>
      </c>
      <c r="G73">
        <f>IFERROR(__xludf.DUMMYFUNCTION("""COMPUTED_VALUE"""),0.32)</f>
        <v>0.32</v>
      </c>
      <c r="H73">
        <f>IFERROR(__xludf.DUMMYFUNCTION("""COMPUTED_VALUE"""),5.53)</f>
        <v>5.53</v>
      </c>
      <c r="I73">
        <f>IFERROR(__xludf.DUMMYFUNCTION("""COMPUTED_VALUE"""),444.47)</f>
        <v>444.47</v>
      </c>
      <c r="J73">
        <f>IFERROR(__xludf.DUMMYFUNCTION("""COMPUTED_VALUE"""),5.42)</f>
        <v>5.42</v>
      </c>
      <c r="K73">
        <f>IFERROR(__xludf.DUMMYFUNCTION("""COMPUTED_VALUE"""),0.0)</f>
        <v>0</v>
      </c>
      <c r="L73">
        <f>IFERROR(__xludf.DUMMYFUNCTION("""COMPUTED_VALUE"""),0.0)</f>
        <v>0</v>
      </c>
      <c r="M73">
        <f>IFERROR(__xludf.DUMMYFUNCTION("""COMPUTED_VALUE"""),6.37)</f>
        <v>6.37</v>
      </c>
      <c r="N73">
        <f>IFERROR(__xludf.DUMMYFUNCTION("""COMPUTED_VALUE"""),2.84)</f>
        <v>2.84</v>
      </c>
      <c r="O73">
        <f>IFERROR(__xludf.DUMMYFUNCTION("""COMPUTED_VALUE"""),0.26)</f>
        <v>0.26</v>
      </c>
    </row>
    <row r="74">
      <c r="A74" t="str">
        <f>IFERROR(__xludf.DUMMYFUNCTION("""COMPUTED_VALUE"""),"Blanchet")</f>
        <v>Blanchet</v>
      </c>
      <c r="B74" t="str">
        <f>IFERROR(__xludf.DUMMYFUNCTION("""COMPUTED_VALUE"""),"Christophe Blanchet")</f>
        <v>Christophe Blanchet</v>
      </c>
      <c r="C74">
        <f>IFERROR(__xludf.DUMMYFUNCTION("""COMPUTED_VALUE"""),3.68)</f>
        <v>3.68</v>
      </c>
      <c r="D74">
        <f>IFERROR(__xludf.DUMMYFUNCTION("""COMPUTED_VALUE"""),6.37)</f>
        <v>6.37</v>
      </c>
      <c r="E74">
        <f>IFERROR(__xludf.DUMMYFUNCTION("""COMPUTED_VALUE"""),6.47)</f>
        <v>6.47</v>
      </c>
      <c r="F74">
        <f>IFERROR(__xludf.DUMMYFUNCTION("""COMPUTED_VALUE"""),4.89)</f>
        <v>4.89</v>
      </c>
      <c r="G74">
        <f>IFERROR(__xludf.DUMMYFUNCTION("""COMPUTED_VALUE"""),8.79)</f>
        <v>8.79</v>
      </c>
      <c r="H74">
        <f>IFERROR(__xludf.DUMMYFUNCTION("""COMPUTED_VALUE"""),16.89)</f>
        <v>16.89</v>
      </c>
      <c r="I74">
        <f>IFERROR(__xludf.DUMMYFUNCTION("""COMPUTED_VALUE"""),85.0)</f>
        <v>85</v>
      </c>
      <c r="J74">
        <f>IFERROR(__xludf.DUMMYFUNCTION("""COMPUTED_VALUE"""),15.79)</f>
        <v>15.79</v>
      </c>
      <c r="K74">
        <f>IFERROR(__xludf.DUMMYFUNCTION("""COMPUTED_VALUE"""),0.11)</f>
        <v>0.11</v>
      </c>
      <c r="L74">
        <f>IFERROR(__xludf.DUMMYFUNCTION("""COMPUTED_VALUE"""),0.26)</f>
        <v>0.26</v>
      </c>
      <c r="M74">
        <f>IFERROR(__xludf.DUMMYFUNCTION("""COMPUTED_VALUE"""),1.26)</f>
        <v>1.26</v>
      </c>
      <c r="N74">
        <f>IFERROR(__xludf.DUMMYFUNCTION("""COMPUTED_VALUE"""),3.0)</f>
        <v>3</v>
      </c>
      <c r="O74">
        <f>IFERROR(__xludf.DUMMYFUNCTION("""COMPUTED_VALUE"""),0.21)</f>
        <v>0.21</v>
      </c>
    </row>
    <row r="75">
      <c r="A75" t="str">
        <f>IFERROR(__xludf.DUMMYFUNCTION("""COMPUTED_VALUE"""),"Blin")</f>
        <v>Blin</v>
      </c>
      <c r="B75" t="str">
        <f>IFERROR(__xludf.DUMMYFUNCTION("""COMPUTED_VALUE"""),"Anne-Laure Blin")</f>
        <v>Anne-Laure Blin</v>
      </c>
      <c r="C75">
        <f>IFERROR(__xludf.DUMMYFUNCTION("""COMPUTED_VALUE"""),3.16)</f>
        <v>3.16</v>
      </c>
      <c r="D75">
        <f>IFERROR(__xludf.DUMMYFUNCTION("""COMPUTED_VALUE"""),4.32)</f>
        <v>4.32</v>
      </c>
      <c r="E75">
        <f>IFERROR(__xludf.DUMMYFUNCTION("""COMPUTED_VALUE"""),6.26)</f>
        <v>6.26</v>
      </c>
      <c r="F75">
        <f>IFERROR(__xludf.DUMMYFUNCTION("""COMPUTED_VALUE"""),11.32)</f>
        <v>11.32</v>
      </c>
      <c r="G75">
        <f>IFERROR(__xludf.DUMMYFUNCTION("""COMPUTED_VALUE"""),19.84)</f>
        <v>19.84</v>
      </c>
      <c r="H75">
        <f>IFERROR(__xludf.DUMMYFUNCTION("""COMPUTED_VALUE"""),25.58)</f>
        <v>25.58</v>
      </c>
      <c r="I75">
        <f>IFERROR(__xludf.DUMMYFUNCTION("""COMPUTED_VALUE"""),142.11)</f>
        <v>142.11</v>
      </c>
      <c r="J75">
        <f>IFERROR(__xludf.DUMMYFUNCTION("""COMPUTED_VALUE"""),5.84)</f>
        <v>5.84</v>
      </c>
      <c r="K75">
        <f>IFERROR(__xludf.DUMMYFUNCTION("""COMPUTED_VALUE"""),0.0)</f>
        <v>0</v>
      </c>
      <c r="L75">
        <f>IFERROR(__xludf.DUMMYFUNCTION("""COMPUTED_VALUE"""),0.47)</f>
        <v>0.47</v>
      </c>
      <c r="M75">
        <f>IFERROR(__xludf.DUMMYFUNCTION("""COMPUTED_VALUE"""),3.11)</f>
        <v>3.11</v>
      </c>
      <c r="N75">
        <f>IFERROR(__xludf.DUMMYFUNCTION("""COMPUTED_VALUE"""),1.32)</f>
        <v>1.32</v>
      </c>
      <c r="O75">
        <f>IFERROR(__xludf.DUMMYFUNCTION("""COMPUTED_VALUE"""),0.21)</f>
        <v>0.21</v>
      </c>
    </row>
    <row r="76">
      <c r="A76" t="str">
        <f>IFERROR(__xludf.DUMMYFUNCTION("""COMPUTED_VALUE"""),"Boccaletti")</f>
        <v>Boccaletti</v>
      </c>
      <c r="B76" t="str">
        <f>IFERROR(__xludf.DUMMYFUNCTION("""COMPUTED_VALUE"""),"Frédéric Boccaletti")</f>
        <v>Frédéric Boccaletti</v>
      </c>
      <c r="C76">
        <f>IFERROR(__xludf.DUMMYFUNCTION("""COMPUTED_VALUE"""),3.58)</f>
        <v>3.58</v>
      </c>
      <c r="D76">
        <f>IFERROR(__xludf.DUMMYFUNCTION("""COMPUTED_VALUE"""),5.79)</f>
        <v>5.79</v>
      </c>
      <c r="E76">
        <f>IFERROR(__xludf.DUMMYFUNCTION("""COMPUTED_VALUE"""),2.42)</f>
        <v>2.42</v>
      </c>
      <c r="F76">
        <f>IFERROR(__xludf.DUMMYFUNCTION("""COMPUTED_VALUE"""),2.42)</f>
        <v>2.42</v>
      </c>
      <c r="G76">
        <f>IFERROR(__xludf.DUMMYFUNCTION("""COMPUTED_VALUE"""),17.68)</f>
        <v>17.68</v>
      </c>
      <c r="H76">
        <f>IFERROR(__xludf.DUMMYFUNCTION("""COMPUTED_VALUE"""),4.42)</f>
        <v>4.42</v>
      </c>
      <c r="I76">
        <f>IFERROR(__xludf.DUMMYFUNCTION("""COMPUTED_VALUE"""),454.84)</f>
        <v>454.84</v>
      </c>
      <c r="J76">
        <f>IFERROR(__xludf.DUMMYFUNCTION("""COMPUTED_VALUE"""),6.58)</f>
        <v>6.58</v>
      </c>
      <c r="K76">
        <f>IFERROR(__xludf.DUMMYFUNCTION("""COMPUTED_VALUE"""),0.0)</f>
        <v>0</v>
      </c>
      <c r="L76">
        <f>IFERROR(__xludf.DUMMYFUNCTION("""COMPUTED_VALUE"""),0.05)</f>
        <v>0.05</v>
      </c>
      <c r="M76">
        <f>IFERROR(__xludf.DUMMYFUNCTION("""COMPUTED_VALUE"""),6.79)</f>
        <v>6.79</v>
      </c>
      <c r="N76">
        <f>IFERROR(__xludf.DUMMYFUNCTION("""COMPUTED_VALUE"""),2.37)</f>
        <v>2.37</v>
      </c>
      <c r="O76">
        <f>IFERROR(__xludf.DUMMYFUNCTION("""COMPUTED_VALUE"""),0.21)</f>
        <v>0.21</v>
      </c>
    </row>
    <row r="77">
      <c r="A77" t="str">
        <f>IFERROR(__xludf.DUMMYFUNCTION("""COMPUTED_VALUE"""),"Bolo")</f>
        <v>Bolo</v>
      </c>
      <c r="B77" t="str">
        <f>IFERROR(__xludf.DUMMYFUNCTION("""COMPUTED_VALUE"""),"Philippe Bolo")</f>
        <v>Philippe Bolo</v>
      </c>
      <c r="C77">
        <f>IFERROR(__xludf.DUMMYFUNCTION("""COMPUTED_VALUE"""),3.79)</f>
        <v>3.79</v>
      </c>
      <c r="D77">
        <f>IFERROR(__xludf.DUMMYFUNCTION("""COMPUTED_VALUE"""),6.16)</f>
        <v>6.16</v>
      </c>
      <c r="E77">
        <f>IFERROR(__xludf.DUMMYFUNCTION("""COMPUTED_VALUE"""),6.79)</f>
        <v>6.79</v>
      </c>
      <c r="F77">
        <f>IFERROR(__xludf.DUMMYFUNCTION("""COMPUTED_VALUE"""),1.79)</f>
        <v>1.79</v>
      </c>
      <c r="G77">
        <f>IFERROR(__xludf.DUMMYFUNCTION("""COMPUTED_VALUE"""),0.32)</f>
        <v>0.32</v>
      </c>
      <c r="H77">
        <f>IFERROR(__xludf.DUMMYFUNCTION("""COMPUTED_VALUE"""),1.32)</f>
        <v>1.32</v>
      </c>
      <c r="I77">
        <f>IFERROR(__xludf.DUMMYFUNCTION("""COMPUTED_VALUE"""),62.63)</f>
        <v>62.63</v>
      </c>
      <c r="J77">
        <f>IFERROR(__xludf.DUMMYFUNCTION("""COMPUTED_VALUE"""),13.79)</f>
        <v>13.79</v>
      </c>
      <c r="K77">
        <f>IFERROR(__xludf.DUMMYFUNCTION("""COMPUTED_VALUE"""),0.37)</f>
        <v>0.37</v>
      </c>
      <c r="L77">
        <f>IFERROR(__xludf.DUMMYFUNCTION("""COMPUTED_VALUE"""),0.0)</f>
        <v>0</v>
      </c>
      <c r="M77">
        <f>IFERROR(__xludf.DUMMYFUNCTION("""COMPUTED_VALUE"""),0.79)</f>
        <v>0.79</v>
      </c>
      <c r="N77">
        <f>IFERROR(__xludf.DUMMYFUNCTION("""COMPUTED_VALUE"""),0.84)</f>
        <v>0.84</v>
      </c>
      <c r="O77">
        <f>IFERROR(__xludf.DUMMYFUNCTION("""COMPUTED_VALUE"""),0.21)</f>
        <v>0.21</v>
      </c>
    </row>
    <row r="78">
      <c r="A78" t="str">
        <f>IFERROR(__xludf.DUMMYFUNCTION("""COMPUTED_VALUE"""),"Bompard")</f>
        <v>Bompard</v>
      </c>
      <c r="B78" t="str">
        <f>IFERROR(__xludf.DUMMYFUNCTION("""COMPUTED_VALUE"""),"Manuel Bompard")</f>
        <v>Manuel Bompard</v>
      </c>
      <c r="C78">
        <f>IFERROR(__xludf.DUMMYFUNCTION("""COMPUTED_VALUE"""),3.95)</f>
        <v>3.95</v>
      </c>
      <c r="D78">
        <f>IFERROR(__xludf.DUMMYFUNCTION("""COMPUTED_VALUE"""),5.05)</f>
        <v>5.05</v>
      </c>
      <c r="E78">
        <f>IFERROR(__xludf.DUMMYFUNCTION("""COMPUTED_VALUE"""),5.0)</f>
        <v>5</v>
      </c>
      <c r="F78">
        <f>IFERROR(__xludf.DUMMYFUNCTION("""COMPUTED_VALUE"""),17.84)</f>
        <v>17.84</v>
      </c>
      <c r="G78">
        <f>IFERROR(__xludf.DUMMYFUNCTION("""COMPUTED_VALUE"""),20.26)</f>
        <v>20.26</v>
      </c>
      <c r="H78">
        <f>IFERROR(__xludf.DUMMYFUNCTION("""COMPUTED_VALUE"""),32.05)</f>
        <v>32.05</v>
      </c>
      <c r="I78">
        <f>IFERROR(__xludf.DUMMYFUNCTION("""COMPUTED_VALUE"""),896.68)</f>
        <v>896.68</v>
      </c>
      <c r="J78">
        <f>IFERROR(__xludf.DUMMYFUNCTION("""COMPUTED_VALUE"""),29.0)</f>
        <v>29</v>
      </c>
      <c r="K78">
        <f>IFERROR(__xludf.DUMMYFUNCTION("""COMPUTED_VALUE"""),0.05)</f>
        <v>0.05</v>
      </c>
      <c r="L78">
        <f>IFERROR(__xludf.DUMMYFUNCTION("""COMPUTED_VALUE"""),0.21)</f>
        <v>0.21</v>
      </c>
      <c r="M78">
        <f>IFERROR(__xludf.DUMMYFUNCTION("""COMPUTED_VALUE"""),7.68)</f>
        <v>7.68</v>
      </c>
      <c r="N78">
        <f>IFERROR(__xludf.DUMMYFUNCTION("""COMPUTED_VALUE"""),1.26)</f>
        <v>1.26</v>
      </c>
      <c r="O78">
        <f>IFERROR(__xludf.DUMMYFUNCTION("""COMPUTED_VALUE"""),0.21)</f>
        <v>0.21</v>
      </c>
    </row>
    <row r="79">
      <c r="A79" t="str">
        <f>IFERROR(__xludf.DUMMYFUNCTION("""COMPUTED_VALUE"""),"Bonnivard")</f>
        <v>Bonnivard</v>
      </c>
      <c r="B79" t="str">
        <f>IFERROR(__xludf.DUMMYFUNCTION("""COMPUTED_VALUE"""),"Émilie Bonnivard")</f>
        <v>Émilie Bonnivard</v>
      </c>
      <c r="C79">
        <f>IFERROR(__xludf.DUMMYFUNCTION("""COMPUTED_VALUE"""),3.47)</f>
        <v>3.47</v>
      </c>
      <c r="D79">
        <f>IFERROR(__xludf.DUMMYFUNCTION("""COMPUTED_VALUE"""),6.63)</f>
        <v>6.63</v>
      </c>
      <c r="E79">
        <f>IFERROR(__xludf.DUMMYFUNCTION("""COMPUTED_VALUE"""),11.26)</f>
        <v>11.26</v>
      </c>
      <c r="F79">
        <f>IFERROR(__xludf.DUMMYFUNCTION("""COMPUTED_VALUE"""),13.84)</f>
        <v>13.84</v>
      </c>
      <c r="G79">
        <f>IFERROR(__xludf.DUMMYFUNCTION("""COMPUTED_VALUE"""),25.0)</f>
        <v>25</v>
      </c>
      <c r="H79">
        <f>IFERROR(__xludf.DUMMYFUNCTION("""COMPUTED_VALUE"""),38.26)</f>
        <v>38.26</v>
      </c>
      <c r="I79">
        <f>IFERROR(__xludf.DUMMYFUNCTION("""COMPUTED_VALUE"""),349.89)</f>
        <v>349.89</v>
      </c>
      <c r="J79">
        <f>IFERROR(__xludf.DUMMYFUNCTION("""COMPUTED_VALUE"""),13.16)</f>
        <v>13.16</v>
      </c>
      <c r="K79">
        <f>IFERROR(__xludf.DUMMYFUNCTION("""COMPUTED_VALUE"""),0.16)</f>
        <v>0.16</v>
      </c>
      <c r="L79">
        <f>IFERROR(__xludf.DUMMYFUNCTION("""COMPUTED_VALUE"""),0.11)</f>
        <v>0.11</v>
      </c>
      <c r="M79">
        <f>IFERROR(__xludf.DUMMYFUNCTION("""COMPUTED_VALUE"""),8.26)</f>
        <v>8.26</v>
      </c>
      <c r="N79">
        <f>IFERROR(__xludf.DUMMYFUNCTION("""COMPUTED_VALUE"""),3.74)</f>
        <v>3.74</v>
      </c>
      <c r="O79">
        <f>IFERROR(__xludf.DUMMYFUNCTION("""COMPUTED_VALUE"""),0.26)</f>
        <v>0.26</v>
      </c>
    </row>
    <row r="80">
      <c r="A80" t="str">
        <f>IFERROR(__xludf.DUMMYFUNCTION("""COMPUTED_VALUE"""),"Bony")</f>
        <v>Bony</v>
      </c>
      <c r="B80" t="str">
        <f>IFERROR(__xludf.DUMMYFUNCTION("""COMPUTED_VALUE"""),"Jean-Yves Bony")</f>
        <v>Jean-Yves Bony</v>
      </c>
      <c r="C80">
        <f>IFERROR(__xludf.DUMMYFUNCTION("""COMPUTED_VALUE"""),3.74)</f>
        <v>3.74</v>
      </c>
      <c r="D80">
        <f>IFERROR(__xludf.DUMMYFUNCTION("""COMPUTED_VALUE"""),6.79)</f>
        <v>6.79</v>
      </c>
      <c r="E80">
        <f>IFERROR(__xludf.DUMMYFUNCTION("""COMPUTED_VALUE"""),4.79)</f>
        <v>4.79</v>
      </c>
      <c r="F80">
        <f>IFERROR(__xludf.DUMMYFUNCTION("""COMPUTED_VALUE"""),3.0)</f>
        <v>3</v>
      </c>
      <c r="G80">
        <f>IFERROR(__xludf.DUMMYFUNCTION("""COMPUTED_VALUE"""),13.53)</f>
        <v>13.53</v>
      </c>
      <c r="H80">
        <f>IFERROR(__xludf.DUMMYFUNCTION("""COMPUTED_VALUE"""),14.84)</f>
        <v>14.84</v>
      </c>
      <c r="I80">
        <f>IFERROR(__xludf.DUMMYFUNCTION("""COMPUTED_VALUE"""),422.21)</f>
        <v>422.21</v>
      </c>
      <c r="J80">
        <f>IFERROR(__xludf.DUMMYFUNCTION("""COMPUTED_VALUE"""),16.79)</f>
        <v>16.79</v>
      </c>
      <c r="K80">
        <f>IFERROR(__xludf.DUMMYFUNCTION("""COMPUTED_VALUE"""),0.0)</f>
        <v>0</v>
      </c>
      <c r="L80">
        <f>IFERROR(__xludf.DUMMYFUNCTION("""COMPUTED_VALUE"""),0.05)</f>
        <v>0.05</v>
      </c>
      <c r="M80">
        <f>IFERROR(__xludf.DUMMYFUNCTION("""COMPUTED_VALUE"""),6.11)</f>
        <v>6.11</v>
      </c>
      <c r="N80">
        <f>IFERROR(__xludf.DUMMYFUNCTION("""COMPUTED_VALUE"""),1.05)</f>
        <v>1.05</v>
      </c>
      <c r="O80">
        <f>IFERROR(__xludf.DUMMYFUNCTION("""COMPUTED_VALUE"""),0.16)</f>
        <v>0.16</v>
      </c>
    </row>
    <row r="81">
      <c r="A81" t="str">
        <f>IFERROR(__xludf.DUMMYFUNCTION("""COMPUTED_VALUE"""),"Bordat")</f>
        <v>Bordat</v>
      </c>
      <c r="B81" t="str">
        <f>IFERROR(__xludf.DUMMYFUNCTION("""COMPUTED_VALUE"""),"Benoît Bordat")</f>
        <v>Benoît Bordat</v>
      </c>
      <c r="C81">
        <f>IFERROR(__xludf.DUMMYFUNCTION("""COMPUTED_VALUE"""),3.74)</f>
        <v>3.74</v>
      </c>
      <c r="D81">
        <f>IFERROR(__xludf.DUMMYFUNCTION("""COMPUTED_VALUE"""),5.0)</f>
        <v>5</v>
      </c>
      <c r="E81">
        <f>IFERROR(__xludf.DUMMYFUNCTION("""COMPUTED_VALUE"""),1.47)</f>
        <v>1.47</v>
      </c>
      <c r="F81">
        <f>IFERROR(__xludf.DUMMYFUNCTION("""COMPUTED_VALUE"""),1.32)</f>
        <v>1.32</v>
      </c>
      <c r="G81">
        <f>IFERROR(__xludf.DUMMYFUNCTION("""COMPUTED_VALUE"""),0.16)</f>
        <v>0.16</v>
      </c>
      <c r="H81">
        <f>IFERROR(__xludf.DUMMYFUNCTION("""COMPUTED_VALUE"""),7.37)</f>
        <v>7.37</v>
      </c>
      <c r="I81">
        <f>IFERROR(__xludf.DUMMYFUNCTION("""COMPUTED_VALUE"""),110.63)</f>
        <v>110.63</v>
      </c>
      <c r="J81">
        <f>IFERROR(__xludf.DUMMYFUNCTION("""COMPUTED_VALUE"""),18.05)</f>
        <v>18.05</v>
      </c>
      <c r="K81">
        <f>IFERROR(__xludf.DUMMYFUNCTION("""COMPUTED_VALUE"""),0.05)</f>
        <v>0.05</v>
      </c>
      <c r="L81">
        <f>IFERROR(__xludf.DUMMYFUNCTION("""COMPUTED_VALUE"""),0.0)</f>
        <v>0</v>
      </c>
      <c r="M81">
        <f>IFERROR(__xludf.DUMMYFUNCTION("""COMPUTED_VALUE"""),3.0)</f>
        <v>3</v>
      </c>
      <c r="N81">
        <f>IFERROR(__xludf.DUMMYFUNCTION("""COMPUTED_VALUE"""),2.37)</f>
        <v>2.37</v>
      </c>
      <c r="O81">
        <f>IFERROR(__xludf.DUMMYFUNCTION("""COMPUTED_VALUE"""),0.32)</f>
        <v>0.32</v>
      </c>
    </row>
    <row r="82">
      <c r="A82" t="str">
        <f>IFERROR(__xludf.DUMMYFUNCTION("""COMPUTED_VALUE"""),"Bordes")</f>
        <v>Bordes</v>
      </c>
      <c r="B82" t="str">
        <f>IFERROR(__xludf.DUMMYFUNCTION("""COMPUTED_VALUE"""),"Pascale Bordes")</f>
        <v>Pascale Bordes</v>
      </c>
      <c r="C82">
        <f>IFERROR(__xludf.DUMMYFUNCTION("""COMPUTED_VALUE"""),3.47)</f>
        <v>3.47</v>
      </c>
      <c r="D82">
        <f>IFERROR(__xludf.DUMMYFUNCTION("""COMPUTED_VALUE"""),5.16)</f>
        <v>5.16</v>
      </c>
      <c r="E82">
        <f>IFERROR(__xludf.DUMMYFUNCTION("""COMPUTED_VALUE"""),4.58)</f>
        <v>4.58</v>
      </c>
      <c r="F82">
        <f>IFERROR(__xludf.DUMMYFUNCTION("""COMPUTED_VALUE"""),11.79)</f>
        <v>11.79</v>
      </c>
      <c r="G82">
        <f>IFERROR(__xludf.DUMMYFUNCTION("""COMPUTED_VALUE"""),3.11)</f>
        <v>3.11</v>
      </c>
      <c r="H82">
        <f>IFERROR(__xludf.DUMMYFUNCTION("""COMPUTED_VALUE"""),7.05)</f>
        <v>7.05</v>
      </c>
      <c r="I82">
        <f>IFERROR(__xludf.DUMMYFUNCTION("""COMPUTED_VALUE"""),445.16)</f>
        <v>445.16</v>
      </c>
      <c r="J82">
        <f>IFERROR(__xludf.DUMMYFUNCTION("""COMPUTED_VALUE"""),5.47)</f>
        <v>5.47</v>
      </c>
      <c r="K82">
        <f>IFERROR(__xludf.DUMMYFUNCTION("""COMPUTED_VALUE"""),0.0)</f>
        <v>0</v>
      </c>
      <c r="L82">
        <f>IFERROR(__xludf.DUMMYFUNCTION("""COMPUTED_VALUE"""),0.0)</f>
        <v>0</v>
      </c>
      <c r="M82">
        <f>IFERROR(__xludf.DUMMYFUNCTION("""COMPUTED_VALUE"""),5.74)</f>
        <v>5.74</v>
      </c>
      <c r="N82">
        <f>IFERROR(__xludf.DUMMYFUNCTION("""COMPUTED_VALUE"""),1.89)</f>
        <v>1.89</v>
      </c>
      <c r="O82">
        <f>IFERROR(__xludf.DUMMYFUNCTION("""COMPUTED_VALUE"""),0.11)</f>
        <v>0.11</v>
      </c>
    </row>
    <row r="83">
      <c r="A83" t="str">
        <f>IFERROR(__xludf.DUMMYFUNCTION("""COMPUTED_VALUE"""),"Bothorel")</f>
        <v>Bothorel</v>
      </c>
      <c r="B83" t="str">
        <f>IFERROR(__xludf.DUMMYFUNCTION("""COMPUTED_VALUE"""),"Éric Bothorel")</f>
        <v>Éric Bothorel</v>
      </c>
      <c r="C83">
        <f>IFERROR(__xludf.DUMMYFUNCTION("""COMPUTED_VALUE"""),3.37)</f>
        <v>3.37</v>
      </c>
      <c r="D83">
        <f>IFERROR(__xludf.DUMMYFUNCTION("""COMPUTED_VALUE"""),5.53)</f>
        <v>5.53</v>
      </c>
      <c r="E83">
        <f>IFERROR(__xludf.DUMMYFUNCTION("""COMPUTED_VALUE"""),15.05)</f>
        <v>15.05</v>
      </c>
      <c r="F83">
        <f>IFERROR(__xludf.DUMMYFUNCTION("""COMPUTED_VALUE"""),17.37)</f>
        <v>17.37</v>
      </c>
      <c r="G83">
        <f>IFERROR(__xludf.DUMMYFUNCTION("""COMPUTED_VALUE"""),21.84)</f>
        <v>21.84</v>
      </c>
      <c r="H83">
        <f>IFERROR(__xludf.DUMMYFUNCTION("""COMPUTED_VALUE"""),9.89)</f>
        <v>9.89</v>
      </c>
      <c r="I83">
        <f>IFERROR(__xludf.DUMMYFUNCTION("""COMPUTED_VALUE"""),66.89)</f>
        <v>66.89</v>
      </c>
      <c r="J83">
        <f>IFERROR(__xludf.DUMMYFUNCTION("""COMPUTED_VALUE"""),21.89)</f>
        <v>21.89</v>
      </c>
      <c r="K83">
        <f>IFERROR(__xludf.DUMMYFUNCTION("""COMPUTED_VALUE"""),0.16)</f>
        <v>0.16</v>
      </c>
      <c r="L83">
        <f>IFERROR(__xludf.DUMMYFUNCTION("""COMPUTED_VALUE"""),0.05)</f>
        <v>0.05</v>
      </c>
      <c r="M83">
        <f>IFERROR(__xludf.DUMMYFUNCTION("""COMPUTED_VALUE"""),2.05)</f>
        <v>2.05</v>
      </c>
      <c r="N83">
        <f>IFERROR(__xludf.DUMMYFUNCTION("""COMPUTED_VALUE"""),0.26)</f>
        <v>0.26</v>
      </c>
      <c r="O83">
        <f>IFERROR(__xludf.DUMMYFUNCTION("""COMPUTED_VALUE"""),0.11)</f>
        <v>0.11</v>
      </c>
    </row>
    <row r="84">
      <c r="A84" t="str">
        <f>IFERROR(__xludf.DUMMYFUNCTION("""COMPUTED_VALUE"""),"Boucard")</f>
        <v>Boucard</v>
      </c>
      <c r="B84" t="str">
        <f>IFERROR(__xludf.DUMMYFUNCTION("""COMPUTED_VALUE"""),"Ian Boucard")</f>
        <v>Ian Boucard</v>
      </c>
      <c r="C84">
        <f>IFERROR(__xludf.DUMMYFUNCTION("""COMPUTED_VALUE"""),3.53)</f>
        <v>3.53</v>
      </c>
      <c r="D84">
        <f>IFERROR(__xludf.DUMMYFUNCTION("""COMPUTED_VALUE"""),4.84)</f>
        <v>4.84</v>
      </c>
      <c r="E84">
        <f>IFERROR(__xludf.DUMMYFUNCTION("""COMPUTED_VALUE"""),5.26)</f>
        <v>5.26</v>
      </c>
      <c r="F84">
        <f>IFERROR(__xludf.DUMMYFUNCTION("""COMPUTED_VALUE"""),13.26)</f>
        <v>13.26</v>
      </c>
      <c r="G84">
        <f>IFERROR(__xludf.DUMMYFUNCTION("""COMPUTED_VALUE"""),27.47)</f>
        <v>27.47</v>
      </c>
      <c r="H84">
        <f>IFERROR(__xludf.DUMMYFUNCTION("""COMPUTED_VALUE"""),14.37)</f>
        <v>14.37</v>
      </c>
      <c r="I84">
        <f>IFERROR(__xludf.DUMMYFUNCTION("""COMPUTED_VALUE"""),205.53)</f>
        <v>205.53</v>
      </c>
      <c r="J84">
        <f>IFERROR(__xludf.DUMMYFUNCTION("""COMPUTED_VALUE"""),8.74)</f>
        <v>8.74</v>
      </c>
      <c r="K84">
        <f>IFERROR(__xludf.DUMMYFUNCTION("""COMPUTED_VALUE"""),0.0)</f>
        <v>0</v>
      </c>
      <c r="L84">
        <f>IFERROR(__xludf.DUMMYFUNCTION("""COMPUTED_VALUE"""),0.37)</f>
        <v>0.37</v>
      </c>
      <c r="M84">
        <f>IFERROR(__xludf.DUMMYFUNCTION("""COMPUTED_VALUE"""),7.84)</f>
        <v>7.84</v>
      </c>
      <c r="N84">
        <f>IFERROR(__xludf.DUMMYFUNCTION("""COMPUTED_VALUE"""),3.32)</f>
        <v>3.32</v>
      </c>
      <c r="O84">
        <f>IFERROR(__xludf.DUMMYFUNCTION("""COMPUTED_VALUE"""),0.05)</f>
        <v>0.05</v>
      </c>
    </row>
    <row r="85">
      <c r="A85" t="str">
        <f>IFERROR(__xludf.DUMMYFUNCTION("""COMPUTED_VALUE"""),"Boudié")</f>
        <v>Boudié</v>
      </c>
      <c r="B85" t="str">
        <f>IFERROR(__xludf.DUMMYFUNCTION("""COMPUTED_VALUE"""),"Florent Boudié")</f>
        <v>Florent Boudié</v>
      </c>
      <c r="C85">
        <f>IFERROR(__xludf.DUMMYFUNCTION("""COMPUTED_VALUE"""),3.84)</f>
        <v>3.84</v>
      </c>
      <c r="D85">
        <f>IFERROR(__xludf.DUMMYFUNCTION("""COMPUTED_VALUE"""),7.11)</f>
        <v>7.11</v>
      </c>
      <c r="E85">
        <f>IFERROR(__xludf.DUMMYFUNCTION("""COMPUTED_VALUE"""),33.0)</f>
        <v>33</v>
      </c>
      <c r="F85">
        <f>IFERROR(__xludf.DUMMYFUNCTION("""COMPUTED_VALUE"""),15.68)</f>
        <v>15.68</v>
      </c>
      <c r="G85">
        <f>IFERROR(__xludf.DUMMYFUNCTION("""COMPUTED_VALUE"""),23.89)</f>
        <v>23.89</v>
      </c>
      <c r="H85">
        <f>IFERROR(__xludf.DUMMYFUNCTION("""COMPUTED_VALUE"""),10.53)</f>
        <v>10.53</v>
      </c>
      <c r="I85">
        <f>IFERROR(__xludf.DUMMYFUNCTION("""COMPUTED_VALUE"""),68.42)</f>
        <v>68.42</v>
      </c>
      <c r="J85">
        <f>IFERROR(__xludf.DUMMYFUNCTION("""COMPUTED_VALUE"""),26.79)</f>
        <v>26.79</v>
      </c>
      <c r="K85">
        <f>IFERROR(__xludf.DUMMYFUNCTION("""COMPUTED_VALUE"""),0.37)</f>
        <v>0.37</v>
      </c>
      <c r="L85">
        <f>IFERROR(__xludf.DUMMYFUNCTION("""COMPUTED_VALUE"""),0.0)</f>
        <v>0</v>
      </c>
      <c r="M85">
        <f>IFERROR(__xludf.DUMMYFUNCTION("""COMPUTED_VALUE"""),2.16)</f>
        <v>2.16</v>
      </c>
      <c r="N85">
        <f>IFERROR(__xludf.DUMMYFUNCTION("""COMPUTED_VALUE"""),0.37)</f>
        <v>0.37</v>
      </c>
      <c r="O85">
        <f>IFERROR(__xludf.DUMMYFUNCTION("""COMPUTED_VALUE"""),0.0)</f>
        <v>0</v>
      </c>
    </row>
    <row r="86">
      <c r="A86" t="str">
        <f>IFERROR(__xludf.DUMMYFUNCTION("""COMPUTED_VALUE"""),"Bouloux")</f>
        <v>Bouloux</v>
      </c>
      <c r="B86" t="str">
        <f>IFERROR(__xludf.DUMMYFUNCTION("""COMPUTED_VALUE"""),"Mickaël Bouloux")</f>
        <v>Mickaël Bouloux</v>
      </c>
      <c r="C86">
        <f>IFERROR(__xludf.DUMMYFUNCTION("""COMPUTED_VALUE"""),3.74)</f>
        <v>3.74</v>
      </c>
      <c r="D86">
        <f>IFERROR(__xludf.DUMMYFUNCTION("""COMPUTED_VALUE"""),9.74)</f>
        <v>9.74</v>
      </c>
      <c r="E86">
        <f>IFERROR(__xludf.DUMMYFUNCTION("""COMPUTED_VALUE"""),13.79)</f>
        <v>13.79</v>
      </c>
      <c r="F86">
        <f>IFERROR(__xludf.DUMMYFUNCTION("""COMPUTED_VALUE"""),14.21)</f>
        <v>14.21</v>
      </c>
      <c r="G86">
        <f>IFERROR(__xludf.DUMMYFUNCTION("""COMPUTED_VALUE"""),4.68)</f>
        <v>4.68</v>
      </c>
      <c r="H86">
        <f>IFERROR(__xludf.DUMMYFUNCTION("""COMPUTED_VALUE"""),26.42)</f>
        <v>26.42</v>
      </c>
      <c r="I86">
        <f>IFERROR(__xludf.DUMMYFUNCTION("""COMPUTED_VALUE"""),483.0)</f>
        <v>483</v>
      </c>
      <c r="J86">
        <f>IFERROR(__xludf.DUMMYFUNCTION("""COMPUTED_VALUE"""),24.37)</f>
        <v>24.37</v>
      </c>
      <c r="K86">
        <f>IFERROR(__xludf.DUMMYFUNCTION("""COMPUTED_VALUE"""),0.16)</f>
        <v>0.16</v>
      </c>
      <c r="L86">
        <f>IFERROR(__xludf.DUMMYFUNCTION("""COMPUTED_VALUE"""),0.47)</f>
        <v>0.47</v>
      </c>
      <c r="M86">
        <f>IFERROR(__xludf.DUMMYFUNCTION("""COMPUTED_VALUE"""),5.79)</f>
        <v>5.79</v>
      </c>
      <c r="N86">
        <f>IFERROR(__xludf.DUMMYFUNCTION("""COMPUTED_VALUE"""),4.42)</f>
        <v>4.42</v>
      </c>
      <c r="O86">
        <f>IFERROR(__xludf.DUMMYFUNCTION("""COMPUTED_VALUE"""),0.32)</f>
        <v>0.32</v>
      </c>
    </row>
    <row r="87">
      <c r="A87" t="str">
        <f>IFERROR(__xludf.DUMMYFUNCTION("""COMPUTED_VALUE"""),"Bouloux")</f>
        <v>Bouloux</v>
      </c>
      <c r="B87" t="str">
        <f>IFERROR(__xludf.DUMMYFUNCTION("""COMPUTED_VALUE"""),"Chantal Bouloux")</f>
        <v>Chantal Bouloux</v>
      </c>
      <c r="C87">
        <f>IFERROR(__xludf.DUMMYFUNCTION("""COMPUTED_VALUE"""),3.94)</f>
        <v>3.94</v>
      </c>
      <c r="D87">
        <f>IFERROR(__xludf.DUMMYFUNCTION("""COMPUTED_VALUE"""),8.28)</f>
        <v>8.28</v>
      </c>
      <c r="E87">
        <f>IFERROR(__xludf.DUMMYFUNCTION("""COMPUTED_VALUE"""),0.44)</f>
        <v>0.44</v>
      </c>
      <c r="F87">
        <f>IFERROR(__xludf.DUMMYFUNCTION("""COMPUTED_VALUE"""),1.17)</f>
        <v>1.17</v>
      </c>
      <c r="G87">
        <f>IFERROR(__xludf.DUMMYFUNCTION("""COMPUTED_VALUE"""),0.17)</f>
        <v>0.17</v>
      </c>
      <c r="H87">
        <f>IFERROR(__xludf.DUMMYFUNCTION("""COMPUTED_VALUE"""),0.28)</f>
        <v>0.28</v>
      </c>
      <c r="I87">
        <f>IFERROR(__xludf.DUMMYFUNCTION("""COMPUTED_VALUE"""),54.61)</f>
        <v>54.61</v>
      </c>
      <c r="J87">
        <f>IFERROR(__xludf.DUMMYFUNCTION("""COMPUTED_VALUE"""),14.28)</f>
        <v>14.28</v>
      </c>
      <c r="K87">
        <f>IFERROR(__xludf.DUMMYFUNCTION("""COMPUTED_VALUE"""),0.0)</f>
        <v>0</v>
      </c>
      <c r="L87">
        <f>IFERROR(__xludf.DUMMYFUNCTION("""COMPUTED_VALUE"""),0.0)</f>
        <v>0</v>
      </c>
      <c r="M87">
        <f>IFERROR(__xludf.DUMMYFUNCTION("""COMPUTED_VALUE"""),2.22)</f>
        <v>2.22</v>
      </c>
      <c r="N87">
        <f>IFERROR(__xludf.DUMMYFUNCTION("""COMPUTED_VALUE"""),0.22)</f>
        <v>0.22</v>
      </c>
      <c r="O87">
        <f>IFERROR(__xludf.DUMMYFUNCTION("""COMPUTED_VALUE"""),0.17)</f>
        <v>0.17</v>
      </c>
    </row>
    <row r="88">
      <c r="A88" t="str">
        <f>IFERROR(__xludf.DUMMYFUNCTION("""COMPUTED_VALUE"""),"Boumertit")</f>
        <v>Boumertit</v>
      </c>
      <c r="B88" t="str">
        <f>IFERROR(__xludf.DUMMYFUNCTION("""COMPUTED_VALUE"""),"Idir Boumertit")</f>
        <v>Idir Boumertit</v>
      </c>
      <c r="C88">
        <f>IFERROR(__xludf.DUMMYFUNCTION("""COMPUTED_VALUE"""),3.89)</f>
        <v>3.89</v>
      </c>
      <c r="D88">
        <f>IFERROR(__xludf.DUMMYFUNCTION("""COMPUTED_VALUE"""),6.53)</f>
        <v>6.53</v>
      </c>
      <c r="E88">
        <f>IFERROR(__xludf.DUMMYFUNCTION("""COMPUTED_VALUE"""),3.16)</f>
        <v>3.16</v>
      </c>
      <c r="F88">
        <f>IFERROR(__xludf.DUMMYFUNCTION("""COMPUTED_VALUE"""),2.47)</f>
        <v>2.47</v>
      </c>
      <c r="G88">
        <f>IFERROR(__xludf.DUMMYFUNCTION("""COMPUTED_VALUE"""),2.05)</f>
        <v>2.05</v>
      </c>
      <c r="H88">
        <f>IFERROR(__xludf.DUMMYFUNCTION("""COMPUTED_VALUE"""),16.68)</f>
        <v>16.68</v>
      </c>
      <c r="I88">
        <f>IFERROR(__xludf.DUMMYFUNCTION("""COMPUTED_VALUE"""),889.89)</f>
        <v>889.89</v>
      </c>
      <c r="J88">
        <f>IFERROR(__xludf.DUMMYFUNCTION("""COMPUTED_VALUE"""),28.79)</f>
        <v>28.79</v>
      </c>
      <c r="K88">
        <f>IFERROR(__xludf.DUMMYFUNCTION("""COMPUTED_VALUE"""),0.0)</f>
        <v>0</v>
      </c>
      <c r="L88">
        <f>IFERROR(__xludf.DUMMYFUNCTION("""COMPUTED_VALUE"""),0.16)</f>
        <v>0.16</v>
      </c>
      <c r="M88">
        <f>IFERROR(__xludf.DUMMYFUNCTION("""COMPUTED_VALUE"""),7.16)</f>
        <v>7.16</v>
      </c>
      <c r="N88">
        <f>IFERROR(__xludf.DUMMYFUNCTION("""COMPUTED_VALUE"""),2.26)</f>
        <v>2.26</v>
      </c>
      <c r="O88">
        <f>IFERROR(__xludf.DUMMYFUNCTION("""COMPUTED_VALUE"""),0.16)</f>
        <v>0.16</v>
      </c>
    </row>
    <row r="89">
      <c r="A89" t="str">
        <f>IFERROR(__xludf.DUMMYFUNCTION("""COMPUTED_VALUE"""),"Bourgeaux")</f>
        <v>Bourgeaux</v>
      </c>
      <c r="B89" t="str">
        <f>IFERROR(__xludf.DUMMYFUNCTION("""COMPUTED_VALUE"""),"Jean-Luc Bourgeaux")</f>
        <v>Jean-Luc Bourgeaux</v>
      </c>
      <c r="C89">
        <f>IFERROR(__xludf.DUMMYFUNCTION("""COMPUTED_VALUE"""),3.42)</f>
        <v>3.42</v>
      </c>
      <c r="D89">
        <f>IFERROR(__xludf.DUMMYFUNCTION("""COMPUTED_VALUE"""),4.95)</f>
        <v>4.95</v>
      </c>
      <c r="E89">
        <f>IFERROR(__xludf.DUMMYFUNCTION("""COMPUTED_VALUE"""),2.11)</f>
        <v>2.11</v>
      </c>
      <c r="F89">
        <f>IFERROR(__xludf.DUMMYFUNCTION("""COMPUTED_VALUE"""),1.32)</f>
        <v>1.32</v>
      </c>
      <c r="G89">
        <f>IFERROR(__xludf.DUMMYFUNCTION("""COMPUTED_VALUE"""),1.16)</f>
        <v>1.16</v>
      </c>
      <c r="H89">
        <f>IFERROR(__xludf.DUMMYFUNCTION("""COMPUTED_VALUE"""),8.42)</f>
        <v>8.42</v>
      </c>
      <c r="I89">
        <f>IFERROR(__xludf.DUMMYFUNCTION("""COMPUTED_VALUE"""),442.16)</f>
        <v>442.16</v>
      </c>
      <c r="J89">
        <f>IFERROR(__xludf.DUMMYFUNCTION("""COMPUTED_VALUE"""),16.32)</f>
        <v>16.32</v>
      </c>
      <c r="K89">
        <f>IFERROR(__xludf.DUMMYFUNCTION("""COMPUTED_VALUE"""),0.05)</f>
        <v>0.05</v>
      </c>
      <c r="L89">
        <f>IFERROR(__xludf.DUMMYFUNCTION("""COMPUTED_VALUE"""),0.11)</f>
        <v>0.11</v>
      </c>
      <c r="M89">
        <f>IFERROR(__xludf.DUMMYFUNCTION("""COMPUTED_VALUE"""),8.21)</f>
        <v>8.21</v>
      </c>
      <c r="N89">
        <f>IFERROR(__xludf.DUMMYFUNCTION("""COMPUTED_VALUE"""),3.95)</f>
        <v>3.95</v>
      </c>
      <c r="O89">
        <f>IFERROR(__xludf.DUMMYFUNCTION("""COMPUTED_VALUE"""),0.16)</f>
        <v>0.16</v>
      </c>
    </row>
    <row r="90">
      <c r="A90" t="str">
        <f>IFERROR(__xludf.DUMMYFUNCTION("""COMPUTED_VALUE"""),"Bourlanges")</f>
        <v>Bourlanges</v>
      </c>
      <c r="B90" t="str">
        <f>IFERROR(__xludf.DUMMYFUNCTION("""COMPUTED_VALUE"""),"Jean-Louis Bourlanges")</f>
        <v>Jean-Louis Bourlanges</v>
      </c>
      <c r="C90">
        <f>IFERROR(__xludf.DUMMYFUNCTION("""COMPUTED_VALUE"""),3.95)</f>
        <v>3.95</v>
      </c>
      <c r="D90">
        <f>IFERROR(__xludf.DUMMYFUNCTION("""COMPUTED_VALUE"""),10.63)</f>
        <v>10.63</v>
      </c>
      <c r="E90">
        <f>IFERROR(__xludf.DUMMYFUNCTION("""COMPUTED_VALUE"""),59.32)</f>
        <v>59.32</v>
      </c>
      <c r="F90">
        <f>IFERROR(__xludf.DUMMYFUNCTION("""COMPUTED_VALUE"""),14.68)</f>
        <v>14.68</v>
      </c>
      <c r="G90">
        <f>IFERROR(__xludf.DUMMYFUNCTION("""COMPUTED_VALUE"""),6.95)</f>
        <v>6.95</v>
      </c>
      <c r="H90">
        <f>IFERROR(__xludf.DUMMYFUNCTION("""COMPUTED_VALUE"""),1.79)</f>
        <v>1.79</v>
      </c>
      <c r="I90">
        <f>IFERROR(__xludf.DUMMYFUNCTION("""COMPUTED_VALUE"""),55.74)</f>
        <v>55.74</v>
      </c>
      <c r="J90">
        <f>IFERROR(__xludf.DUMMYFUNCTION("""COMPUTED_VALUE"""),13.58)</f>
        <v>13.58</v>
      </c>
      <c r="K90">
        <f>IFERROR(__xludf.DUMMYFUNCTION("""COMPUTED_VALUE"""),0.37)</f>
        <v>0.37</v>
      </c>
      <c r="L90">
        <f>IFERROR(__xludf.DUMMYFUNCTION("""COMPUTED_VALUE"""),0.05)</f>
        <v>0.05</v>
      </c>
      <c r="M90">
        <f>IFERROR(__xludf.DUMMYFUNCTION("""COMPUTED_VALUE"""),0.74)</f>
        <v>0.74</v>
      </c>
      <c r="N90">
        <f>IFERROR(__xludf.DUMMYFUNCTION("""COMPUTED_VALUE"""),0.26)</f>
        <v>0.26</v>
      </c>
      <c r="O90">
        <f>IFERROR(__xludf.DUMMYFUNCTION("""COMPUTED_VALUE"""),0.21)</f>
        <v>0.21</v>
      </c>
    </row>
    <row r="91">
      <c r="A91" t="str">
        <f>IFERROR(__xludf.DUMMYFUNCTION("""COMPUTED_VALUE"""),"Bourouaha")</f>
        <v>Bourouaha</v>
      </c>
      <c r="B91" t="str">
        <f>IFERROR(__xludf.DUMMYFUNCTION("""COMPUTED_VALUE"""),"Soumya Bourouaha")</f>
        <v>Soumya Bourouaha</v>
      </c>
      <c r="C91">
        <f>IFERROR(__xludf.DUMMYFUNCTION("""COMPUTED_VALUE"""),3.84)</f>
        <v>3.84</v>
      </c>
      <c r="D91">
        <f>IFERROR(__xludf.DUMMYFUNCTION("""COMPUTED_VALUE"""),5.42)</f>
        <v>5.42</v>
      </c>
      <c r="E91">
        <f>IFERROR(__xludf.DUMMYFUNCTION("""COMPUTED_VALUE"""),6.26)</f>
        <v>6.26</v>
      </c>
      <c r="F91">
        <f>IFERROR(__xludf.DUMMYFUNCTION("""COMPUTED_VALUE"""),12.42)</f>
        <v>12.42</v>
      </c>
      <c r="G91">
        <f>IFERROR(__xludf.DUMMYFUNCTION("""COMPUTED_VALUE"""),2.63)</f>
        <v>2.63</v>
      </c>
      <c r="H91">
        <f>IFERROR(__xludf.DUMMYFUNCTION("""COMPUTED_VALUE"""),12.05)</f>
        <v>12.05</v>
      </c>
      <c r="I91">
        <f>IFERROR(__xludf.DUMMYFUNCTION("""COMPUTED_VALUE"""),221.74)</f>
        <v>221.74</v>
      </c>
      <c r="J91">
        <f>IFERROR(__xludf.DUMMYFUNCTION("""COMPUTED_VALUE"""),13.37)</f>
        <v>13.37</v>
      </c>
      <c r="K91">
        <f>IFERROR(__xludf.DUMMYFUNCTION("""COMPUTED_VALUE"""),0.0)</f>
        <v>0</v>
      </c>
      <c r="L91">
        <f>IFERROR(__xludf.DUMMYFUNCTION("""COMPUTED_VALUE"""),0.37)</f>
        <v>0.37</v>
      </c>
      <c r="M91">
        <f>IFERROR(__xludf.DUMMYFUNCTION("""COMPUTED_VALUE"""),5.16)</f>
        <v>5.16</v>
      </c>
      <c r="N91">
        <f>IFERROR(__xludf.DUMMYFUNCTION("""COMPUTED_VALUE"""),0.95)</f>
        <v>0.95</v>
      </c>
      <c r="O91">
        <f>IFERROR(__xludf.DUMMYFUNCTION("""COMPUTED_VALUE"""),0.53)</f>
        <v>0.53</v>
      </c>
    </row>
    <row r="92">
      <c r="A92" t="str">
        <f>IFERROR(__xludf.DUMMYFUNCTION("""COMPUTED_VALUE"""),"Bouyx")</f>
        <v>Bouyx</v>
      </c>
      <c r="B92" t="str">
        <f>IFERROR(__xludf.DUMMYFUNCTION("""COMPUTED_VALUE"""),"Bertrand Bouyx")</f>
        <v>Bertrand Bouyx</v>
      </c>
      <c r="C92">
        <f>IFERROR(__xludf.DUMMYFUNCTION("""COMPUTED_VALUE"""),3.37)</f>
        <v>3.37</v>
      </c>
      <c r="D92">
        <f>IFERROR(__xludf.DUMMYFUNCTION("""COMPUTED_VALUE"""),5.74)</f>
        <v>5.74</v>
      </c>
      <c r="E92">
        <f>IFERROR(__xludf.DUMMYFUNCTION("""COMPUTED_VALUE"""),1.95)</f>
        <v>1.95</v>
      </c>
      <c r="F92">
        <f>IFERROR(__xludf.DUMMYFUNCTION("""COMPUTED_VALUE"""),1.0)</f>
        <v>1</v>
      </c>
      <c r="G92">
        <f>IFERROR(__xludf.DUMMYFUNCTION("""COMPUTED_VALUE"""),0.79)</f>
        <v>0.79</v>
      </c>
      <c r="H92">
        <f>IFERROR(__xludf.DUMMYFUNCTION("""COMPUTED_VALUE"""),10.21)</f>
        <v>10.21</v>
      </c>
      <c r="I92">
        <f>IFERROR(__xludf.DUMMYFUNCTION("""COMPUTED_VALUE"""),67.37)</f>
        <v>67.37</v>
      </c>
      <c r="J92">
        <f>IFERROR(__xludf.DUMMYFUNCTION("""COMPUTED_VALUE"""),17.11)</f>
        <v>17.11</v>
      </c>
      <c r="K92">
        <f>IFERROR(__xludf.DUMMYFUNCTION("""COMPUTED_VALUE"""),0.37)</f>
        <v>0.37</v>
      </c>
      <c r="L92">
        <f>IFERROR(__xludf.DUMMYFUNCTION("""COMPUTED_VALUE"""),0.0)</f>
        <v>0</v>
      </c>
      <c r="M92">
        <f>IFERROR(__xludf.DUMMYFUNCTION("""COMPUTED_VALUE"""),2.11)</f>
        <v>2.11</v>
      </c>
      <c r="N92">
        <f>IFERROR(__xludf.DUMMYFUNCTION("""COMPUTED_VALUE"""),1.32)</f>
        <v>1.32</v>
      </c>
      <c r="O92">
        <f>IFERROR(__xludf.DUMMYFUNCTION("""COMPUTED_VALUE"""),0.16)</f>
        <v>0.16</v>
      </c>
    </row>
    <row r="93">
      <c r="A93" t="str">
        <f>IFERROR(__xludf.DUMMYFUNCTION("""COMPUTED_VALUE"""),"Bovet")</f>
        <v>Bovet</v>
      </c>
      <c r="B93" t="str">
        <f>IFERROR(__xludf.DUMMYFUNCTION("""COMPUTED_VALUE"""),"Jorys Bovet")</f>
        <v>Jorys Bovet</v>
      </c>
      <c r="C93">
        <f>IFERROR(__xludf.DUMMYFUNCTION("""COMPUTED_VALUE"""),3.47)</f>
        <v>3.47</v>
      </c>
      <c r="D93">
        <f>IFERROR(__xludf.DUMMYFUNCTION("""COMPUTED_VALUE"""),4.63)</f>
        <v>4.63</v>
      </c>
      <c r="E93">
        <f>IFERROR(__xludf.DUMMYFUNCTION("""COMPUTED_VALUE"""),1.63)</f>
        <v>1.63</v>
      </c>
      <c r="F93">
        <f>IFERROR(__xludf.DUMMYFUNCTION("""COMPUTED_VALUE"""),1.42)</f>
        <v>1.42</v>
      </c>
      <c r="G93">
        <f>IFERROR(__xludf.DUMMYFUNCTION("""COMPUTED_VALUE"""),0.68)</f>
        <v>0.68</v>
      </c>
      <c r="H93">
        <f>IFERROR(__xludf.DUMMYFUNCTION("""COMPUTED_VALUE"""),13.26)</f>
        <v>13.26</v>
      </c>
      <c r="I93">
        <f>IFERROR(__xludf.DUMMYFUNCTION("""COMPUTED_VALUE"""),472.26)</f>
        <v>472.26</v>
      </c>
      <c r="J93">
        <f>IFERROR(__xludf.DUMMYFUNCTION("""COMPUTED_VALUE"""),6.63)</f>
        <v>6.63</v>
      </c>
      <c r="K93">
        <f>IFERROR(__xludf.DUMMYFUNCTION("""COMPUTED_VALUE"""),0.0)</f>
        <v>0</v>
      </c>
      <c r="L93">
        <f>IFERROR(__xludf.DUMMYFUNCTION("""COMPUTED_VALUE"""),0.0)</f>
        <v>0</v>
      </c>
      <c r="M93">
        <f>IFERROR(__xludf.DUMMYFUNCTION("""COMPUTED_VALUE"""),5.11)</f>
        <v>5.11</v>
      </c>
      <c r="N93">
        <f>IFERROR(__xludf.DUMMYFUNCTION("""COMPUTED_VALUE"""),1.79)</f>
        <v>1.79</v>
      </c>
      <c r="O93">
        <f>IFERROR(__xludf.DUMMYFUNCTION("""COMPUTED_VALUE"""),0.11)</f>
        <v>0.11</v>
      </c>
    </row>
    <row r="94">
      <c r="A94" t="str">
        <f>IFERROR(__xludf.DUMMYFUNCTION("""COMPUTED_VALUE"""),"Boyard")</f>
        <v>Boyard</v>
      </c>
      <c r="B94" t="str">
        <f>IFERROR(__xludf.DUMMYFUNCTION("""COMPUTED_VALUE"""),"Louis Boyard")</f>
        <v>Louis Boyard</v>
      </c>
      <c r="C94">
        <f>IFERROR(__xludf.DUMMYFUNCTION("""COMPUTED_VALUE"""),3.68)</f>
        <v>3.68</v>
      </c>
      <c r="D94">
        <f>IFERROR(__xludf.DUMMYFUNCTION("""COMPUTED_VALUE"""),3.95)</f>
        <v>3.95</v>
      </c>
      <c r="E94">
        <f>IFERROR(__xludf.DUMMYFUNCTION("""COMPUTED_VALUE"""),5.21)</f>
        <v>5.21</v>
      </c>
      <c r="F94">
        <f>IFERROR(__xludf.DUMMYFUNCTION("""COMPUTED_VALUE"""),22.68)</f>
        <v>22.68</v>
      </c>
      <c r="G94">
        <f>IFERROR(__xludf.DUMMYFUNCTION("""COMPUTED_VALUE"""),22.11)</f>
        <v>22.11</v>
      </c>
      <c r="H94">
        <f>IFERROR(__xludf.DUMMYFUNCTION("""COMPUTED_VALUE"""),15.68)</f>
        <v>15.68</v>
      </c>
      <c r="I94">
        <f>IFERROR(__xludf.DUMMYFUNCTION("""COMPUTED_VALUE"""),896.21)</f>
        <v>896.21</v>
      </c>
      <c r="J94">
        <f>IFERROR(__xludf.DUMMYFUNCTION("""COMPUTED_VALUE"""),28.79)</f>
        <v>28.79</v>
      </c>
      <c r="K94">
        <f>IFERROR(__xludf.DUMMYFUNCTION("""COMPUTED_VALUE"""),0.05)</f>
        <v>0.05</v>
      </c>
      <c r="L94">
        <f>IFERROR(__xludf.DUMMYFUNCTION("""COMPUTED_VALUE"""),0.16)</f>
        <v>0.16</v>
      </c>
      <c r="M94">
        <f>IFERROR(__xludf.DUMMYFUNCTION("""COMPUTED_VALUE"""),7.58)</f>
        <v>7.58</v>
      </c>
      <c r="N94">
        <f>IFERROR(__xludf.DUMMYFUNCTION("""COMPUTED_VALUE"""),1.68)</f>
        <v>1.68</v>
      </c>
      <c r="O94">
        <f>IFERROR(__xludf.DUMMYFUNCTION("""COMPUTED_VALUE"""),0.32)</f>
        <v>0.32</v>
      </c>
    </row>
    <row r="95">
      <c r="A95" t="str">
        <f>IFERROR(__xludf.DUMMYFUNCTION("""COMPUTED_VALUE"""),"Boyer")</f>
        <v>Boyer</v>
      </c>
      <c r="B95" t="str">
        <f>IFERROR(__xludf.DUMMYFUNCTION("""COMPUTED_VALUE"""),"Pascale Boyer")</f>
        <v>Pascale Boyer</v>
      </c>
      <c r="C95">
        <f>IFERROR(__xludf.DUMMYFUNCTION("""COMPUTED_VALUE"""),3.84)</f>
        <v>3.84</v>
      </c>
      <c r="D95">
        <f>IFERROR(__xludf.DUMMYFUNCTION("""COMPUTED_VALUE"""),7.89)</f>
        <v>7.89</v>
      </c>
      <c r="E95">
        <f>IFERROR(__xludf.DUMMYFUNCTION("""COMPUTED_VALUE"""),5.89)</f>
        <v>5.89</v>
      </c>
      <c r="F95">
        <f>IFERROR(__xludf.DUMMYFUNCTION("""COMPUTED_VALUE"""),3.11)</f>
        <v>3.11</v>
      </c>
      <c r="G95">
        <f>IFERROR(__xludf.DUMMYFUNCTION("""COMPUTED_VALUE"""),0.11)</f>
        <v>0.11</v>
      </c>
      <c r="H95">
        <f>IFERROR(__xludf.DUMMYFUNCTION("""COMPUTED_VALUE"""),21.05)</f>
        <v>21.05</v>
      </c>
      <c r="I95">
        <f>IFERROR(__xludf.DUMMYFUNCTION("""COMPUTED_VALUE"""),101.79)</f>
        <v>101.79</v>
      </c>
      <c r="J95">
        <f>IFERROR(__xludf.DUMMYFUNCTION("""COMPUTED_VALUE"""),20.21)</f>
        <v>20.21</v>
      </c>
      <c r="K95">
        <f>IFERROR(__xludf.DUMMYFUNCTION("""COMPUTED_VALUE"""),0.11)</f>
        <v>0.11</v>
      </c>
      <c r="L95">
        <f>IFERROR(__xludf.DUMMYFUNCTION("""COMPUTED_VALUE"""),0.0)</f>
        <v>0</v>
      </c>
      <c r="M95">
        <f>IFERROR(__xludf.DUMMYFUNCTION("""COMPUTED_VALUE"""),2.68)</f>
        <v>2.68</v>
      </c>
      <c r="N95">
        <f>IFERROR(__xludf.DUMMYFUNCTION("""COMPUTED_VALUE"""),0.58)</f>
        <v>0.58</v>
      </c>
      <c r="O95">
        <f>IFERROR(__xludf.DUMMYFUNCTION("""COMPUTED_VALUE"""),0.11)</f>
        <v>0.11</v>
      </c>
    </row>
    <row r="96">
      <c r="A96" t="str">
        <f>IFERROR(__xludf.DUMMYFUNCTION("""COMPUTED_VALUE"""),"Braun-Pivet")</f>
        <v>Braun-Pivet</v>
      </c>
      <c r="B96" t="str">
        <f>IFERROR(__xludf.DUMMYFUNCTION("""COMPUTED_VALUE"""),"Yaël Braun-Pivet")</f>
        <v>Yaël Braun-Pivet</v>
      </c>
      <c r="C96">
        <f>IFERROR(__xludf.DUMMYFUNCTION("""COMPUTED_VALUE"""),3.95)</f>
        <v>3.95</v>
      </c>
      <c r="D96">
        <f>IFERROR(__xludf.DUMMYFUNCTION("""COMPUTED_VALUE"""),5.58)</f>
        <v>5.58</v>
      </c>
      <c r="E96">
        <f>IFERROR(__xludf.DUMMYFUNCTION("""COMPUTED_VALUE"""),0.53)</f>
        <v>0.53</v>
      </c>
      <c r="F96">
        <f>IFERROR(__xludf.DUMMYFUNCTION("""COMPUTED_VALUE"""),128.68)</f>
        <v>128.68</v>
      </c>
      <c r="G96">
        <f>IFERROR(__xludf.DUMMYFUNCTION("""COMPUTED_VALUE"""),648.32)</f>
        <v>648.32</v>
      </c>
      <c r="H96">
        <f>IFERROR(__xludf.DUMMYFUNCTION("""COMPUTED_VALUE"""),0.0)</f>
        <v>0</v>
      </c>
      <c r="I96">
        <f>IFERROR(__xludf.DUMMYFUNCTION("""COMPUTED_VALUE"""),15.21)</f>
        <v>15.21</v>
      </c>
      <c r="J96">
        <f>IFERROR(__xludf.DUMMYFUNCTION("""COMPUTED_VALUE"""),4.89)</f>
        <v>4.89</v>
      </c>
      <c r="K96">
        <f>IFERROR(__xludf.DUMMYFUNCTION("""COMPUTED_VALUE"""),0.11)</f>
        <v>0.11</v>
      </c>
      <c r="L96">
        <f>IFERROR(__xludf.DUMMYFUNCTION("""COMPUTED_VALUE"""),0.0)</f>
        <v>0</v>
      </c>
      <c r="M96">
        <f>IFERROR(__xludf.DUMMYFUNCTION("""COMPUTED_VALUE"""),1.95)</f>
        <v>1.95</v>
      </c>
      <c r="N96">
        <f>IFERROR(__xludf.DUMMYFUNCTION("""COMPUTED_VALUE"""),0.0)</f>
        <v>0</v>
      </c>
      <c r="O96">
        <f>IFERROR(__xludf.DUMMYFUNCTION("""COMPUTED_VALUE"""),0.0)</f>
        <v>0</v>
      </c>
    </row>
    <row r="97">
      <c r="A97" t="str">
        <f>IFERROR(__xludf.DUMMYFUNCTION("""COMPUTED_VALUE"""),"Bregeon")</f>
        <v>Bregeon</v>
      </c>
      <c r="B97" t="str">
        <f>IFERROR(__xludf.DUMMYFUNCTION("""COMPUTED_VALUE"""),"Maud Bregeon")</f>
        <v>Maud Bregeon</v>
      </c>
      <c r="C97">
        <f>IFERROR(__xludf.DUMMYFUNCTION("""COMPUTED_VALUE"""),3.68)</f>
        <v>3.68</v>
      </c>
      <c r="D97">
        <f>IFERROR(__xludf.DUMMYFUNCTION("""COMPUTED_VALUE"""),5.11)</f>
        <v>5.11</v>
      </c>
      <c r="E97">
        <f>IFERROR(__xludf.DUMMYFUNCTION("""COMPUTED_VALUE"""),14.26)</f>
        <v>14.26</v>
      </c>
      <c r="F97">
        <f>IFERROR(__xludf.DUMMYFUNCTION("""COMPUTED_VALUE"""),14.84)</f>
        <v>14.84</v>
      </c>
      <c r="G97">
        <f>IFERROR(__xludf.DUMMYFUNCTION("""COMPUTED_VALUE"""),11.05)</f>
        <v>11.05</v>
      </c>
      <c r="H97">
        <f>IFERROR(__xludf.DUMMYFUNCTION("""COMPUTED_VALUE"""),9.16)</f>
        <v>9.16</v>
      </c>
      <c r="I97">
        <f>IFERROR(__xludf.DUMMYFUNCTION("""COMPUTED_VALUE"""),66.21)</f>
        <v>66.21</v>
      </c>
      <c r="J97">
        <f>IFERROR(__xludf.DUMMYFUNCTION("""COMPUTED_VALUE"""),25.74)</f>
        <v>25.74</v>
      </c>
      <c r="K97">
        <f>IFERROR(__xludf.DUMMYFUNCTION("""COMPUTED_VALUE"""),0.21)</f>
        <v>0.21</v>
      </c>
      <c r="L97">
        <f>IFERROR(__xludf.DUMMYFUNCTION("""COMPUTED_VALUE"""),0.0)</f>
        <v>0</v>
      </c>
      <c r="M97">
        <f>IFERROR(__xludf.DUMMYFUNCTION("""COMPUTED_VALUE"""),1.95)</f>
        <v>1.95</v>
      </c>
      <c r="N97">
        <f>IFERROR(__xludf.DUMMYFUNCTION("""COMPUTED_VALUE"""),0.21)</f>
        <v>0.21</v>
      </c>
      <c r="O97">
        <f>IFERROR(__xludf.DUMMYFUNCTION("""COMPUTED_VALUE"""),0.05)</f>
        <v>0.05</v>
      </c>
    </row>
    <row r="98">
      <c r="A98" t="str">
        <f>IFERROR(__xludf.DUMMYFUNCTION("""COMPUTED_VALUE"""),"Breton")</f>
        <v>Breton</v>
      </c>
      <c r="B98" t="str">
        <f>IFERROR(__xludf.DUMMYFUNCTION("""COMPUTED_VALUE"""),"Xavier Breton")</f>
        <v>Xavier Breton</v>
      </c>
      <c r="C98">
        <f>IFERROR(__xludf.DUMMYFUNCTION("""COMPUTED_VALUE"""),4.11)</f>
        <v>4.11</v>
      </c>
      <c r="D98">
        <f>IFERROR(__xludf.DUMMYFUNCTION("""COMPUTED_VALUE"""),6.16)</f>
        <v>6.16</v>
      </c>
      <c r="E98">
        <f>IFERROR(__xludf.DUMMYFUNCTION("""COMPUTED_VALUE"""),4.16)</f>
        <v>4.16</v>
      </c>
      <c r="F98">
        <f>IFERROR(__xludf.DUMMYFUNCTION("""COMPUTED_VALUE"""),16.0)</f>
        <v>16</v>
      </c>
      <c r="G98">
        <f>IFERROR(__xludf.DUMMYFUNCTION("""COMPUTED_VALUE"""),13.79)</f>
        <v>13.79</v>
      </c>
      <c r="H98">
        <f>IFERROR(__xludf.DUMMYFUNCTION("""COMPUTED_VALUE"""),37.05)</f>
        <v>37.05</v>
      </c>
      <c r="I98">
        <f>IFERROR(__xludf.DUMMYFUNCTION("""COMPUTED_VALUE"""),171.26)</f>
        <v>171.26</v>
      </c>
      <c r="J98">
        <f>IFERROR(__xludf.DUMMYFUNCTION("""COMPUTED_VALUE"""),6.37)</f>
        <v>6.37</v>
      </c>
      <c r="K98">
        <f>IFERROR(__xludf.DUMMYFUNCTION("""COMPUTED_VALUE"""),0.0)</f>
        <v>0</v>
      </c>
      <c r="L98">
        <f>IFERROR(__xludf.DUMMYFUNCTION("""COMPUTED_VALUE"""),0.26)</f>
        <v>0.26</v>
      </c>
      <c r="M98">
        <f>IFERROR(__xludf.DUMMYFUNCTION("""COMPUTED_VALUE"""),4.16)</f>
        <v>4.16</v>
      </c>
      <c r="N98">
        <f>IFERROR(__xludf.DUMMYFUNCTION("""COMPUTED_VALUE"""),1.89)</f>
        <v>1.89</v>
      </c>
      <c r="O98">
        <f>IFERROR(__xludf.DUMMYFUNCTION("""COMPUTED_VALUE"""),0.32)</f>
        <v>0.32</v>
      </c>
    </row>
    <row r="99">
      <c r="A99" t="str">
        <f>IFERROR(__xludf.DUMMYFUNCTION("""COMPUTED_VALUE"""),"Bricout")</f>
        <v>Bricout</v>
      </c>
      <c r="B99" t="str">
        <f>IFERROR(__xludf.DUMMYFUNCTION("""COMPUTED_VALUE"""),"Guy Bricout")</f>
        <v>Guy Bricout</v>
      </c>
      <c r="C99">
        <f>IFERROR(__xludf.DUMMYFUNCTION("""COMPUTED_VALUE"""),3.63)</f>
        <v>3.63</v>
      </c>
      <c r="D99">
        <f>IFERROR(__xludf.DUMMYFUNCTION("""COMPUTED_VALUE"""),5.95)</f>
        <v>5.95</v>
      </c>
      <c r="E99">
        <f>IFERROR(__xludf.DUMMYFUNCTION("""COMPUTED_VALUE"""),5.95)</f>
        <v>5.95</v>
      </c>
      <c r="F99">
        <f>IFERROR(__xludf.DUMMYFUNCTION("""COMPUTED_VALUE"""),2.58)</f>
        <v>2.58</v>
      </c>
      <c r="G99">
        <f>IFERROR(__xludf.DUMMYFUNCTION("""COMPUTED_VALUE"""),0.26)</f>
        <v>0.26</v>
      </c>
      <c r="H99">
        <f>IFERROR(__xludf.DUMMYFUNCTION("""COMPUTED_VALUE"""),36.74)</f>
        <v>36.74</v>
      </c>
      <c r="I99">
        <f>IFERROR(__xludf.DUMMYFUNCTION("""COMPUTED_VALUE"""),242.16)</f>
        <v>242.16</v>
      </c>
      <c r="J99">
        <f>IFERROR(__xludf.DUMMYFUNCTION("""COMPUTED_VALUE"""),15.95)</f>
        <v>15.95</v>
      </c>
      <c r="K99">
        <f>IFERROR(__xludf.DUMMYFUNCTION("""COMPUTED_VALUE"""),0.05)</f>
        <v>0.05</v>
      </c>
      <c r="L99">
        <f>IFERROR(__xludf.DUMMYFUNCTION("""COMPUTED_VALUE"""),0.32)</f>
        <v>0.32</v>
      </c>
      <c r="M99">
        <f>IFERROR(__xludf.DUMMYFUNCTION("""COMPUTED_VALUE"""),2.95)</f>
        <v>2.95</v>
      </c>
      <c r="N99">
        <f>IFERROR(__xludf.DUMMYFUNCTION("""COMPUTED_VALUE"""),2.63)</f>
        <v>2.63</v>
      </c>
      <c r="O99">
        <f>IFERROR(__xludf.DUMMYFUNCTION("""COMPUTED_VALUE"""),0.42)</f>
        <v>0.42</v>
      </c>
    </row>
    <row r="100">
      <c r="A100" t="str">
        <f>IFERROR(__xludf.DUMMYFUNCTION("""COMPUTED_VALUE"""),"Bricout")</f>
        <v>Bricout</v>
      </c>
      <c r="B100" t="str">
        <f>IFERROR(__xludf.DUMMYFUNCTION("""COMPUTED_VALUE"""),"Jean-Louis Bricout")</f>
        <v>Jean-Louis Bricout</v>
      </c>
      <c r="C100">
        <f>IFERROR(__xludf.DUMMYFUNCTION("""COMPUTED_VALUE"""),3.58)</f>
        <v>3.58</v>
      </c>
      <c r="D100">
        <f>IFERROR(__xludf.DUMMYFUNCTION("""COMPUTED_VALUE"""),6.05)</f>
        <v>6.05</v>
      </c>
      <c r="E100">
        <f>IFERROR(__xludf.DUMMYFUNCTION("""COMPUTED_VALUE"""),9.21)</f>
        <v>9.21</v>
      </c>
      <c r="F100">
        <f>IFERROR(__xludf.DUMMYFUNCTION("""COMPUTED_VALUE"""),8.21)</f>
        <v>8.21</v>
      </c>
      <c r="G100">
        <f>IFERROR(__xludf.DUMMYFUNCTION("""COMPUTED_VALUE"""),1.16)</f>
        <v>1.16</v>
      </c>
      <c r="H100">
        <f>IFERROR(__xludf.DUMMYFUNCTION("""COMPUTED_VALUE"""),10.11)</f>
        <v>10.11</v>
      </c>
      <c r="I100">
        <f>IFERROR(__xludf.DUMMYFUNCTION("""COMPUTED_VALUE"""),237.53)</f>
        <v>237.53</v>
      </c>
      <c r="J100">
        <f>IFERROR(__xludf.DUMMYFUNCTION("""COMPUTED_VALUE"""),15.95)</f>
        <v>15.95</v>
      </c>
      <c r="K100">
        <f>IFERROR(__xludf.DUMMYFUNCTION("""COMPUTED_VALUE"""),0.11)</f>
        <v>0.11</v>
      </c>
      <c r="L100">
        <f>IFERROR(__xludf.DUMMYFUNCTION("""COMPUTED_VALUE"""),0.16)</f>
        <v>0.16</v>
      </c>
      <c r="M100">
        <f>IFERROR(__xludf.DUMMYFUNCTION("""COMPUTED_VALUE"""),2.74)</f>
        <v>2.74</v>
      </c>
      <c r="N100">
        <f>IFERROR(__xludf.DUMMYFUNCTION("""COMPUTED_VALUE"""),0.0)</f>
        <v>0</v>
      </c>
      <c r="O100">
        <f>IFERROR(__xludf.DUMMYFUNCTION("""COMPUTED_VALUE"""),0.68)</f>
        <v>0.68</v>
      </c>
    </row>
    <row r="101">
      <c r="A101" t="str">
        <f>IFERROR(__xludf.DUMMYFUNCTION("""COMPUTED_VALUE"""),"Brigand")</f>
        <v>Brigand</v>
      </c>
      <c r="B101" t="str">
        <f>IFERROR(__xludf.DUMMYFUNCTION("""COMPUTED_VALUE"""),"Hubert Brigand")</f>
        <v>Hubert Brigand</v>
      </c>
      <c r="C101">
        <f>IFERROR(__xludf.DUMMYFUNCTION("""COMPUTED_VALUE"""),3.63)</f>
        <v>3.63</v>
      </c>
      <c r="D101">
        <f>IFERROR(__xludf.DUMMYFUNCTION("""COMPUTED_VALUE"""),4.05)</f>
        <v>4.05</v>
      </c>
      <c r="E101">
        <f>IFERROR(__xludf.DUMMYFUNCTION("""COMPUTED_VALUE"""),0.21)</f>
        <v>0.21</v>
      </c>
      <c r="F101">
        <f>IFERROR(__xludf.DUMMYFUNCTION("""COMPUTED_VALUE"""),1.74)</f>
        <v>1.74</v>
      </c>
      <c r="G101">
        <f>IFERROR(__xludf.DUMMYFUNCTION("""COMPUTED_VALUE"""),0.32)</f>
        <v>0.32</v>
      </c>
      <c r="H101">
        <f>IFERROR(__xludf.DUMMYFUNCTION("""COMPUTED_VALUE"""),14.05)</f>
        <v>14.05</v>
      </c>
      <c r="I101">
        <f>IFERROR(__xludf.DUMMYFUNCTION("""COMPUTED_VALUE"""),470.32)</f>
        <v>470.32</v>
      </c>
      <c r="J101">
        <f>IFERROR(__xludf.DUMMYFUNCTION("""COMPUTED_VALUE"""),14.95)</f>
        <v>14.95</v>
      </c>
      <c r="K101">
        <f>IFERROR(__xludf.DUMMYFUNCTION("""COMPUTED_VALUE"""),0.0)</f>
        <v>0</v>
      </c>
      <c r="L101">
        <f>IFERROR(__xludf.DUMMYFUNCTION("""COMPUTED_VALUE"""),0.11)</f>
        <v>0.11</v>
      </c>
      <c r="M101">
        <f>IFERROR(__xludf.DUMMYFUNCTION("""COMPUTED_VALUE"""),8.95)</f>
        <v>8.95</v>
      </c>
      <c r="N101">
        <f>IFERROR(__xludf.DUMMYFUNCTION("""COMPUTED_VALUE"""),5.0)</f>
        <v>5</v>
      </c>
      <c r="O101">
        <f>IFERROR(__xludf.DUMMYFUNCTION("""COMPUTED_VALUE"""),0.32)</f>
        <v>0.32</v>
      </c>
    </row>
    <row r="102">
      <c r="A102" t="str">
        <f>IFERROR(__xludf.DUMMYFUNCTION("""COMPUTED_VALUE"""),"Brocard")</f>
        <v>Brocard</v>
      </c>
      <c r="B102" t="str">
        <f>IFERROR(__xludf.DUMMYFUNCTION("""COMPUTED_VALUE"""),"Blandine Brocard")</f>
        <v>Blandine Brocard</v>
      </c>
      <c r="C102">
        <f>IFERROR(__xludf.DUMMYFUNCTION("""COMPUTED_VALUE"""),3.32)</f>
        <v>3.32</v>
      </c>
      <c r="D102">
        <f>IFERROR(__xludf.DUMMYFUNCTION("""COMPUTED_VALUE"""),3.63)</f>
        <v>3.63</v>
      </c>
      <c r="E102">
        <f>IFERROR(__xludf.DUMMYFUNCTION("""COMPUTED_VALUE"""),3.58)</f>
        <v>3.58</v>
      </c>
      <c r="F102">
        <f>IFERROR(__xludf.DUMMYFUNCTION("""COMPUTED_VALUE"""),2.21)</f>
        <v>2.21</v>
      </c>
      <c r="G102">
        <f>IFERROR(__xludf.DUMMYFUNCTION("""COMPUTED_VALUE"""),7.84)</f>
        <v>7.84</v>
      </c>
      <c r="H102">
        <f>IFERROR(__xludf.DUMMYFUNCTION("""COMPUTED_VALUE"""),2.05)</f>
        <v>2.05</v>
      </c>
      <c r="I102">
        <f>IFERROR(__xludf.DUMMYFUNCTION("""COMPUTED_VALUE"""),74.05)</f>
        <v>74.05</v>
      </c>
      <c r="J102">
        <f>IFERROR(__xludf.DUMMYFUNCTION("""COMPUTED_VALUE"""),17.63)</f>
        <v>17.63</v>
      </c>
      <c r="K102">
        <f>IFERROR(__xludf.DUMMYFUNCTION("""COMPUTED_VALUE"""),0.16)</f>
        <v>0.16</v>
      </c>
      <c r="L102">
        <f>IFERROR(__xludf.DUMMYFUNCTION("""COMPUTED_VALUE"""),0.05)</f>
        <v>0.05</v>
      </c>
      <c r="M102">
        <f>IFERROR(__xludf.DUMMYFUNCTION("""COMPUTED_VALUE"""),0.68)</f>
        <v>0.68</v>
      </c>
      <c r="N102">
        <f>IFERROR(__xludf.DUMMYFUNCTION("""COMPUTED_VALUE"""),0.37)</f>
        <v>0.37</v>
      </c>
      <c r="O102">
        <f>IFERROR(__xludf.DUMMYFUNCTION("""COMPUTED_VALUE"""),0.16)</f>
        <v>0.16</v>
      </c>
    </row>
    <row r="103">
      <c r="A103" t="str">
        <f>IFERROR(__xludf.DUMMYFUNCTION("""COMPUTED_VALUE"""),"Brosse")</f>
        <v>Brosse</v>
      </c>
      <c r="B103" t="str">
        <f>IFERROR(__xludf.DUMMYFUNCTION("""COMPUTED_VALUE"""),"Anthony Brosse")</f>
        <v>Anthony Brosse</v>
      </c>
      <c r="C103">
        <f>IFERROR(__xludf.DUMMYFUNCTION("""COMPUTED_VALUE"""),3.68)</f>
        <v>3.68</v>
      </c>
      <c r="D103">
        <f>IFERROR(__xludf.DUMMYFUNCTION("""COMPUTED_VALUE"""),7.47)</f>
        <v>7.47</v>
      </c>
      <c r="E103">
        <f>IFERROR(__xludf.DUMMYFUNCTION("""COMPUTED_VALUE"""),6.21)</f>
        <v>6.21</v>
      </c>
      <c r="F103">
        <f>IFERROR(__xludf.DUMMYFUNCTION("""COMPUTED_VALUE"""),7.11)</f>
        <v>7.11</v>
      </c>
      <c r="G103">
        <f>IFERROR(__xludf.DUMMYFUNCTION("""COMPUTED_VALUE"""),1.63)</f>
        <v>1.63</v>
      </c>
      <c r="H103">
        <f>IFERROR(__xludf.DUMMYFUNCTION("""COMPUTED_VALUE"""),5.32)</f>
        <v>5.32</v>
      </c>
      <c r="I103">
        <f>IFERROR(__xludf.DUMMYFUNCTION("""COMPUTED_VALUE"""),76.05)</f>
        <v>76.05</v>
      </c>
      <c r="J103">
        <f>IFERROR(__xludf.DUMMYFUNCTION("""COMPUTED_VALUE"""),23.16)</f>
        <v>23.16</v>
      </c>
      <c r="K103">
        <f>IFERROR(__xludf.DUMMYFUNCTION("""COMPUTED_VALUE"""),0.05)</f>
        <v>0.05</v>
      </c>
      <c r="L103">
        <f>IFERROR(__xludf.DUMMYFUNCTION("""COMPUTED_VALUE"""),0.0)</f>
        <v>0</v>
      </c>
      <c r="M103">
        <f>IFERROR(__xludf.DUMMYFUNCTION("""COMPUTED_VALUE"""),2.74)</f>
        <v>2.74</v>
      </c>
      <c r="N103">
        <f>IFERROR(__xludf.DUMMYFUNCTION("""COMPUTED_VALUE"""),0.47)</f>
        <v>0.47</v>
      </c>
      <c r="O103">
        <f>IFERROR(__xludf.DUMMYFUNCTION("""COMPUTED_VALUE"""),0.16)</f>
        <v>0.16</v>
      </c>
    </row>
    <row r="104">
      <c r="A104" t="str">
        <f>IFERROR(__xludf.DUMMYFUNCTION("""COMPUTED_VALUE"""),"Brotherson")</f>
        <v>Brotherson</v>
      </c>
      <c r="B104" t="str">
        <f>IFERROR(__xludf.DUMMYFUNCTION("""COMPUTED_VALUE"""),"Moetai Brotherson")</f>
        <v>Moetai Brotherson</v>
      </c>
      <c r="C104">
        <f>IFERROR(__xludf.DUMMYFUNCTION("""COMPUTED_VALUE"""),2.67)</f>
        <v>2.67</v>
      </c>
      <c r="D104">
        <f>IFERROR(__xludf.DUMMYFUNCTION("""COMPUTED_VALUE"""),2.11)</f>
        <v>2.11</v>
      </c>
      <c r="E104">
        <f>IFERROR(__xludf.DUMMYFUNCTION("""COMPUTED_VALUE"""),3.22)</f>
        <v>3.22</v>
      </c>
      <c r="F104">
        <f>IFERROR(__xludf.DUMMYFUNCTION("""COMPUTED_VALUE"""),4.67)</f>
        <v>4.67</v>
      </c>
      <c r="G104">
        <f>IFERROR(__xludf.DUMMYFUNCTION("""COMPUTED_VALUE"""),1.33)</f>
        <v>1.33</v>
      </c>
      <c r="H104">
        <f>IFERROR(__xludf.DUMMYFUNCTION("""COMPUTED_VALUE"""),4.89)</f>
        <v>4.89</v>
      </c>
      <c r="I104">
        <f>IFERROR(__xludf.DUMMYFUNCTION("""COMPUTED_VALUE"""),199.11)</f>
        <v>199.11</v>
      </c>
      <c r="J104">
        <f>IFERROR(__xludf.DUMMYFUNCTION("""COMPUTED_VALUE"""),10.89)</f>
        <v>10.89</v>
      </c>
      <c r="K104">
        <f>IFERROR(__xludf.DUMMYFUNCTION("""COMPUTED_VALUE"""),0.0)</f>
        <v>0</v>
      </c>
      <c r="L104">
        <f>IFERROR(__xludf.DUMMYFUNCTION("""COMPUTED_VALUE"""),0.44)</f>
        <v>0.44</v>
      </c>
      <c r="M104">
        <f>IFERROR(__xludf.DUMMYFUNCTION("""COMPUTED_VALUE"""),5.78)</f>
        <v>5.78</v>
      </c>
      <c r="N104">
        <f>IFERROR(__xludf.DUMMYFUNCTION("""COMPUTED_VALUE"""),0.0)</f>
        <v>0</v>
      </c>
      <c r="O104">
        <f>IFERROR(__xludf.DUMMYFUNCTION("""COMPUTED_VALUE"""),0.44)</f>
        <v>0.44</v>
      </c>
    </row>
    <row r="105">
      <c r="A105" t="str">
        <f>IFERROR(__xludf.DUMMYFUNCTION("""COMPUTED_VALUE"""),"Bru")</f>
        <v>Bru</v>
      </c>
      <c r="B105" t="str">
        <f>IFERROR(__xludf.DUMMYFUNCTION("""COMPUTED_VALUE"""),"Vincent Bru")</f>
        <v>Vincent Bru</v>
      </c>
      <c r="C105">
        <f>IFERROR(__xludf.DUMMYFUNCTION("""COMPUTED_VALUE"""),2.89)</f>
        <v>2.89</v>
      </c>
      <c r="D105">
        <f>IFERROR(__xludf.DUMMYFUNCTION("""COMPUTED_VALUE"""),4.74)</f>
        <v>4.74</v>
      </c>
      <c r="E105">
        <f>IFERROR(__xludf.DUMMYFUNCTION("""COMPUTED_VALUE"""),2.37)</f>
        <v>2.37</v>
      </c>
      <c r="F105">
        <f>IFERROR(__xludf.DUMMYFUNCTION("""COMPUTED_VALUE"""),0.95)</f>
        <v>0.95</v>
      </c>
      <c r="G105">
        <f>IFERROR(__xludf.DUMMYFUNCTION("""COMPUTED_VALUE"""),2.42)</f>
        <v>2.42</v>
      </c>
      <c r="H105">
        <f>IFERROR(__xludf.DUMMYFUNCTION("""COMPUTED_VALUE"""),6.0)</f>
        <v>6</v>
      </c>
      <c r="I105">
        <f>IFERROR(__xludf.DUMMYFUNCTION("""COMPUTED_VALUE"""),71.95)</f>
        <v>71.95</v>
      </c>
      <c r="J105">
        <f>IFERROR(__xludf.DUMMYFUNCTION("""COMPUTED_VALUE"""),14.58)</f>
        <v>14.58</v>
      </c>
      <c r="K105">
        <f>IFERROR(__xludf.DUMMYFUNCTION("""COMPUTED_VALUE"""),0.05)</f>
        <v>0.05</v>
      </c>
      <c r="L105">
        <f>IFERROR(__xludf.DUMMYFUNCTION("""COMPUTED_VALUE"""),0.0)</f>
        <v>0</v>
      </c>
      <c r="M105">
        <f>IFERROR(__xludf.DUMMYFUNCTION("""COMPUTED_VALUE"""),0.68)</f>
        <v>0.68</v>
      </c>
      <c r="N105">
        <f>IFERROR(__xludf.DUMMYFUNCTION("""COMPUTED_VALUE"""),0.16)</f>
        <v>0.16</v>
      </c>
      <c r="O105">
        <f>IFERROR(__xludf.DUMMYFUNCTION("""COMPUTED_VALUE"""),0.05)</f>
        <v>0.05</v>
      </c>
    </row>
    <row r="106">
      <c r="A106" t="str">
        <f>IFERROR(__xludf.DUMMYFUNCTION("""COMPUTED_VALUE"""),"Brugnera")</f>
        <v>Brugnera</v>
      </c>
      <c r="B106" t="str">
        <f>IFERROR(__xludf.DUMMYFUNCTION("""COMPUTED_VALUE"""),"Anne Brugnera")</f>
        <v>Anne Brugnera</v>
      </c>
      <c r="C106">
        <f>IFERROR(__xludf.DUMMYFUNCTION("""COMPUTED_VALUE"""),3.79)</f>
        <v>3.79</v>
      </c>
      <c r="D106">
        <f>IFERROR(__xludf.DUMMYFUNCTION("""COMPUTED_VALUE"""),6.53)</f>
        <v>6.53</v>
      </c>
      <c r="E106">
        <f>IFERROR(__xludf.DUMMYFUNCTION("""COMPUTED_VALUE"""),4.89)</f>
        <v>4.89</v>
      </c>
      <c r="F106">
        <f>IFERROR(__xludf.DUMMYFUNCTION("""COMPUTED_VALUE"""),4.11)</f>
        <v>4.11</v>
      </c>
      <c r="G106">
        <f>IFERROR(__xludf.DUMMYFUNCTION("""COMPUTED_VALUE"""),2.84)</f>
        <v>2.84</v>
      </c>
      <c r="H106">
        <f>IFERROR(__xludf.DUMMYFUNCTION("""COMPUTED_VALUE"""),4.37)</f>
        <v>4.37</v>
      </c>
      <c r="I106">
        <f>IFERROR(__xludf.DUMMYFUNCTION("""COMPUTED_VALUE"""),85.32)</f>
        <v>85.32</v>
      </c>
      <c r="J106">
        <f>IFERROR(__xludf.DUMMYFUNCTION("""COMPUTED_VALUE"""),19.68)</f>
        <v>19.68</v>
      </c>
      <c r="K106">
        <f>IFERROR(__xludf.DUMMYFUNCTION("""COMPUTED_VALUE"""),0.05)</f>
        <v>0.05</v>
      </c>
      <c r="L106">
        <f>IFERROR(__xludf.DUMMYFUNCTION("""COMPUTED_VALUE"""),0.21)</f>
        <v>0.21</v>
      </c>
      <c r="M106">
        <f>IFERROR(__xludf.DUMMYFUNCTION("""COMPUTED_VALUE"""),2.84)</f>
        <v>2.84</v>
      </c>
      <c r="N106">
        <f>IFERROR(__xludf.DUMMYFUNCTION("""COMPUTED_VALUE"""),0.58)</f>
        <v>0.58</v>
      </c>
      <c r="O106">
        <f>IFERROR(__xludf.DUMMYFUNCTION("""COMPUTED_VALUE"""),0.26)</f>
        <v>0.26</v>
      </c>
    </row>
    <row r="107">
      <c r="A107" t="str">
        <f>IFERROR(__xludf.DUMMYFUNCTION("""COMPUTED_VALUE"""),"Brulebois")</f>
        <v>Brulebois</v>
      </c>
      <c r="B107" t="str">
        <f>IFERROR(__xludf.DUMMYFUNCTION("""COMPUTED_VALUE"""),"Danielle Brulebois")</f>
        <v>Danielle Brulebois</v>
      </c>
      <c r="C107">
        <f>IFERROR(__xludf.DUMMYFUNCTION("""COMPUTED_VALUE"""),4.0)</f>
        <v>4</v>
      </c>
      <c r="D107">
        <f>IFERROR(__xludf.DUMMYFUNCTION("""COMPUTED_VALUE"""),10.11)</f>
        <v>10.11</v>
      </c>
      <c r="E107">
        <f>IFERROR(__xludf.DUMMYFUNCTION("""COMPUTED_VALUE"""),13.58)</f>
        <v>13.58</v>
      </c>
      <c r="F107">
        <f>IFERROR(__xludf.DUMMYFUNCTION("""COMPUTED_VALUE"""),14.84)</f>
        <v>14.84</v>
      </c>
      <c r="G107">
        <f>IFERROR(__xludf.DUMMYFUNCTION("""COMPUTED_VALUE"""),18.16)</f>
        <v>18.16</v>
      </c>
      <c r="H107">
        <f>IFERROR(__xludf.DUMMYFUNCTION("""COMPUTED_VALUE"""),41.26)</f>
        <v>41.26</v>
      </c>
      <c r="I107">
        <f>IFERROR(__xludf.DUMMYFUNCTION("""COMPUTED_VALUE"""),133.74)</f>
        <v>133.74</v>
      </c>
      <c r="J107">
        <f>IFERROR(__xludf.DUMMYFUNCTION("""COMPUTED_VALUE"""),21.37)</f>
        <v>21.37</v>
      </c>
      <c r="K107">
        <f>IFERROR(__xludf.DUMMYFUNCTION("""COMPUTED_VALUE"""),0.11)</f>
        <v>0.11</v>
      </c>
      <c r="L107">
        <f>IFERROR(__xludf.DUMMYFUNCTION("""COMPUTED_VALUE"""),0.42)</f>
        <v>0.42</v>
      </c>
      <c r="M107">
        <f>IFERROR(__xludf.DUMMYFUNCTION("""COMPUTED_VALUE"""),2.95)</f>
        <v>2.95</v>
      </c>
      <c r="N107">
        <f>IFERROR(__xludf.DUMMYFUNCTION("""COMPUTED_VALUE"""),3.84)</f>
        <v>3.84</v>
      </c>
      <c r="O107">
        <f>IFERROR(__xludf.DUMMYFUNCTION("""COMPUTED_VALUE"""),0.37)</f>
        <v>0.37</v>
      </c>
    </row>
    <row r="108">
      <c r="A108" t="str">
        <f>IFERROR(__xludf.DUMMYFUNCTION("""COMPUTED_VALUE"""),"Brun")</f>
        <v>Brun</v>
      </c>
      <c r="B108" t="str">
        <f>IFERROR(__xludf.DUMMYFUNCTION("""COMPUTED_VALUE"""),"Philippe Brun")</f>
        <v>Philippe Brun</v>
      </c>
      <c r="C108">
        <f>IFERROR(__xludf.DUMMYFUNCTION("""COMPUTED_VALUE"""),4.0)</f>
        <v>4</v>
      </c>
      <c r="D108">
        <f>IFERROR(__xludf.DUMMYFUNCTION("""COMPUTED_VALUE"""),7.21)</f>
        <v>7.21</v>
      </c>
      <c r="E108">
        <f>IFERROR(__xludf.DUMMYFUNCTION("""COMPUTED_VALUE"""),17.84)</f>
        <v>17.84</v>
      </c>
      <c r="F108">
        <f>IFERROR(__xludf.DUMMYFUNCTION("""COMPUTED_VALUE"""),20.89)</f>
        <v>20.89</v>
      </c>
      <c r="G108">
        <f>IFERROR(__xludf.DUMMYFUNCTION("""COMPUTED_VALUE"""),8.47)</f>
        <v>8.47</v>
      </c>
      <c r="H108">
        <f>IFERROR(__xludf.DUMMYFUNCTION("""COMPUTED_VALUE"""),22.26)</f>
        <v>22.26</v>
      </c>
      <c r="I108">
        <f>IFERROR(__xludf.DUMMYFUNCTION("""COMPUTED_VALUE"""),486.74)</f>
        <v>486.74</v>
      </c>
      <c r="J108">
        <f>IFERROR(__xludf.DUMMYFUNCTION("""COMPUTED_VALUE"""),25.74)</f>
        <v>25.74</v>
      </c>
      <c r="K108">
        <f>IFERROR(__xludf.DUMMYFUNCTION("""COMPUTED_VALUE"""),0.32)</f>
        <v>0.32</v>
      </c>
      <c r="L108">
        <f>IFERROR(__xludf.DUMMYFUNCTION("""COMPUTED_VALUE"""),0.21)</f>
        <v>0.21</v>
      </c>
      <c r="M108">
        <f>IFERROR(__xludf.DUMMYFUNCTION("""COMPUTED_VALUE"""),3.84)</f>
        <v>3.84</v>
      </c>
      <c r="N108">
        <f>IFERROR(__xludf.DUMMYFUNCTION("""COMPUTED_VALUE"""),1.05)</f>
        <v>1.05</v>
      </c>
      <c r="O108">
        <f>IFERROR(__xludf.DUMMYFUNCTION("""COMPUTED_VALUE"""),0.32)</f>
        <v>0.32</v>
      </c>
    </row>
    <row r="109">
      <c r="A109" t="str">
        <f>IFERROR(__xludf.DUMMYFUNCTION("""COMPUTED_VALUE"""),"Brun")</f>
        <v>Brun</v>
      </c>
      <c r="B109" t="str">
        <f>IFERROR(__xludf.DUMMYFUNCTION("""COMPUTED_VALUE"""),"Fabrice Brun")</f>
        <v>Fabrice Brun</v>
      </c>
      <c r="C109">
        <f>IFERROR(__xludf.DUMMYFUNCTION("""COMPUTED_VALUE"""),3.47)</f>
        <v>3.47</v>
      </c>
      <c r="D109">
        <f>IFERROR(__xludf.DUMMYFUNCTION("""COMPUTED_VALUE"""),4.26)</f>
        <v>4.26</v>
      </c>
      <c r="E109">
        <f>IFERROR(__xludf.DUMMYFUNCTION("""COMPUTED_VALUE"""),5.42)</f>
        <v>5.42</v>
      </c>
      <c r="F109">
        <f>IFERROR(__xludf.DUMMYFUNCTION("""COMPUTED_VALUE"""),6.89)</f>
        <v>6.89</v>
      </c>
      <c r="G109">
        <f>IFERROR(__xludf.DUMMYFUNCTION("""COMPUTED_VALUE"""),23.58)</f>
        <v>23.58</v>
      </c>
      <c r="H109">
        <f>IFERROR(__xludf.DUMMYFUNCTION("""COMPUTED_VALUE"""),52.84)</f>
        <v>52.84</v>
      </c>
      <c r="I109">
        <f>IFERROR(__xludf.DUMMYFUNCTION("""COMPUTED_VALUE"""),245.11)</f>
        <v>245.11</v>
      </c>
      <c r="J109">
        <f>IFERROR(__xludf.DUMMYFUNCTION("""COMPUTED_VALUE"""),10.37)</f>
        <v>10.37</v>
      </c>
      <c r="K109">
        <f>IFERROR(__xludf.DUMMYFUNCTION("""COMPUTED_VALUE"""),0.0)</f>
        <v>0</v>
      </c>
      <c r="L109">
        <f>IFERROR(__xludf.DUMMYFUNCTION("""COMPUTED_VALUE"""),0.47)</f>
        <v>0.47</v>
      </c>
      <c r="M109">
        <f>IFERROR(__xludf.DUMMYFUNCTION("""COMPUTED_VALUE"""),6.21)</f>
        <v>6.21</v>
      </c>
      <c r="N109">
        <f>IFERROR(__xludf.DUMMYFUNCTION("""COMPUTED_VALUE"""),4.63)</f>
        <v>4.63</v>
      </c>
      <c r="O109">
        <f>IFERROR(__xludf.DUMMYFUNCTION("""COMPUTED_VALUE"""),0.26)</f>
        <v>0.26</v>
      </c>
    </row>
    <row r="110">
      <c r="A110" t="str">
        <f>IFERROR(__xludf.DUMMYFUNCTION("""COMPUTED_VALUE"""),"Buchou")</f>
        <v>Buchou</v>
      </c>
      <c r="B110" t="str">
        <f>IFERROR(__xludf.DUMMYFUNCTION("""COMPUTED_VALUE"""),"Stéphane Buchou")</f>
        <v>Stéphane Buchou</v>
      </c>
      <c r="C110">
        <f>IFERROR(__xludf.DUMMYFUNCTION("""COMPUTED_VALUE"""),3.74)</f>
        <v>3.74</v>
      </c>
      <c r="D110">
        <f>IFERROR(__xludf.DUMMYFUNCTION("""COMPUTED_VALUE"""),9.11)</f>
        <v>9.11</v>
      </c>
      <c r="E110">
        <f>IFERROR(__xludf.DUMMYFUNCTION("""COMPUTED_VALUE"""),5.74)</f>
        <v>5.74</v>
      </c>
      <c r="F110">
        <f>IFERROR(__xludf.DUMMYFUNCTION("""COMPUTED_VALUE"""),0.84)</f>
        <v>0.84</v>
      </c>
      <c r="G110">
        <f>IFERROR(__xludf.DUMMYFUNCTION("""COMPUTED_VALUE"""),0.21)</f>
        <v>0.21</v>
      </c>
      <c r="H110">
        <f>IFERROR(__xludf.DUMMYFUNCTION("""COMPUTED_VALUE"""),2.37)</f>
        <v>2.37</v>
      </c>
      <c r="I110">
        <f>IFERROR(__xludf.DUMMYFUNCTION("""COMPUTED_VALUE"""),83.84)</f>
        <v>83.84</v>
      </c>
      <c r="J110">
        <f>IFERROR(__xludf.DUMMYFUNCTION("""COMPUTED_VALUE"""),18.47)</f>
        <v>18.47</v>
      </c>
      <c r="K110">
        <f>IFERROR(__xludf.DUMMYFUNCTION("""COMPUTED_VALUE"""),0.11)</f>
        <v>0.11</v>
      </c>
      <c r="L110">
        <f>IFERROR(__xludf.DUMMYFUNCTION("""COMPUTED_VALUE"""),0.0)</f>
        <v>0</v>
      </c>
      <c r="M110">
        <f>IFERROR(__xludf.DUMMYFUNCTION("""COMPUTED_VALUE"""),2.16)</f>
        <v>2.16</v>
      </c>
      <c r="N110">
        <f>IFERROR(__xludf.DUMMYFUNCTION("""COMPUTED_VALUE"""),1.37)</f>
        <v>1.37</v>
      </c>
      <c r="O110">
        <f>IFERROR(__xludf.DUMMYFUNCTION("""COMPUTED_VALUE"""),0.21)</f>
        <v>0.21</v>
      </c>
    </row>
    <row r="111">
      <c r="A111" t="str">
        <f>IFERROR(__xludf.DUMMYFUNCTION("""COMPUTED_VALUE"""),"Buffet")</f>
        <v>Buffet</v>
      </c>
      <c r="B111" t="str">
        <f>IFERROR(__xludf.DUMMYFUNCTION("""COMPUTED_VALUE"""),"Françoise Buffet")</f>
        <v>Françoise Buffet</v>
      </c>
      <c r="C111">
        <f>IFERROR(__xludf.DUMMYFUNCTION("""COMPUTED_VALUE"""),3.47)</f>
        <v>3.47</v>
      </c>
      <c r="D111">
        <f>IFERROR(__xludf.DUMMYFUNCTION("""COMPUTED_VALUE"""),5.58)</f>
        <v>5.58</v>
      </c>
      <c r="E111">
        <f>IFERROR(__xludf.DUMMYFUNCTION("""COMPUTED_VALUE"""),1.47)</f>
        <v>1.47</v>
      </c>
      <c r="F111">
        <f>IFERROR(__xludf.DUMMYFUNCTION("""COMPUTED_VALUE"""),1.0)</f>
        <v>1</v>
      </c>
      <c r="G111">
        <f>IFERROR(__xludf.DUMMYFUNCTION("""COMPUTED_VALUE"""),0.11)</f>
        <v>0.11</v>
      </c>
      <c r="H111">
        <f>IFERROR(__xludf.DUMMYFUNCTION("""COMPUTED_VALUE"""),5.42)</f>
        <v>5.42</v>
      </c>
      <c r="I111">
        <f>IFERROR(__xludf.DUMMYFUNCTION("""COMPUTED_VALUE"""),58.63)</f>
        <v>58.63</v>
      </c>
      <c r="J111">
        <f>IFERROR(__xludf.DUMMYFUNCTION("""COMPUTED_VALUE"""),17.42)</f>
        <v>17.42</v>
      </c>
      <c r="K111">
        <f>IFERROR(__xludf.DUMMYFUNCTION("""COMPUTED_VALUE"""),0.0)</f>
        <v>0</v>
      </c>
      <c r="L111">
        <f>IFERROR(__xludf.DUMMYFUNCTION("""COMPUTED_VALUE"""),0.0)</f>
        <v>0</v>
      </c>
      <c r="M111">
        <f>IFERROR(__xludf.DUMMYFUNCTION("""COMPUTED_VALUE"""),2.47)</f>
        <v>2.47</v>
      </c>
      <c r="N111">
        <f>IFERROR(__xludf.DUMMYFUNCTION("""COMPUTED_VALUE"""),1.21)</f>
        <v>1.21</v>
      </c>
      <c r="O111">
        <f>IFERROR(__xludf.DUMMYFUNCTION("""COMPUTED_VALUE"""),0.16)</f>
        <v>0.16</v>
      </c>
    </row>
    <row r="112">
      <c r="A112" t="str">
        <f>IFERROR(__xludf.DUMMYFUNCTION("""COMPUTED_VALUE"""),"Buisson")</f>
        <v>Buisson</v>
      </c>
      <c r="B112" t="str">
        <f>IFERROR(__xludf.DUMMYFUNCTION("""COMPUTED_VALUE"""),"Jérôme Buisson")</f>
        <v>Jérôme Buisson</v>
      </c>
      <c r="C112">
        <f>IFERROR(__xludf.DUMMYFUNCTION("""COMPUTED_VALUE"""),3.79)</f>
        <v>3.79</v>
      </c>
      <c r="D112">
        <f>IFERROR(__xludf.DUMMYFUNCTION("""COMPUTED_VALUE"""),6.68)</f>
        <v>6.68</v>
      </c>
      <c r="E112">
        <f>IFERROR(__xludf.DUMMYFUNCTION("""COMPUTED_VALUE"""),4.16)</f>
        <v>4.16</v>
      </c>
      <c r="F112">
        <f>IFERROR(__xludf.DUMMYFUNCTION("""COMPUTED_VALUE"""),2.32)</f>
        <v>2.32</v>
      </c>
      <c r="G112">
        <f>IFERROR(__xludf.DUMMYFUNCTION("""COMPUTED_VALUE"""),5.05)</f>
        <v>5.05</v>
      </c>
      <c r="H112">
        <f>IFERROR(__xludf.DUMMYFUNCTION("""COMPUTED_VALUE"""),5.63)</f>
        <v>5.63</v>
      </c>
      <c r="I112">
        <f>IFERROR(__xludf.DUMMYFUNCTION("""COMPUTED_VALUE"""),425.32)</f>
        <v>425.32</v>
      </c>
      <c r="J112">
        <f>IFERROR(__xludf.DUMMYFUNCTION("""COMPUTED_VALUE"""),5.21)</f>
        <v>5.21</v>
      </c>
      <c r="K112">
        <f>IFERROR(__xludf.DUMMYFUNCTION("""COMPUTED_VALUE"""),0.0)</f>
        <v>0</v>
      </c>
      <c r="L112">
        <f>IFERROR(__xludf.DUMMYFUNCTION("""COMPUTED_VALUE"""),0.05)</f>
        <v>0.05</v>
      </c>
      <c r="M112">
        <f>IFERROR(__xludf.DUMMYFUNCTION("""COMPUTED_VALUE"""),6.58)</f>
        <v>6.58</v>
      </c>
      <c r="N112">
        <f>IFERROR(__xludf.DUMMYFUNCTION("""COMPUTED_VALUE"""),2.74)</f>
        <v>2.74</v>
      </c>
      <c r="O112">
        <f>IFERROR(__xludf.DUMMYFUNCTION("""COMPUTED_VALUE"""),0.11)</f>
        <v>0.11</v>
      </c>
    </row>
    <row r="113">
      <c r="A113" t="str">
        <f>IFERROR(__xludf.DUMMYFUNCTION("""COMPUTED_VALUE"""),"Cabrolier")</f>
        <v>Cabrolier</v>
      </c>
      <c r="B113" t="str">
        <f>IFERROR(__xludf.DUMMYFUNCTION("""COMPUTED_VALUE"""),"Frédéric Cabrolier")</f>
        <v>Frédéric Cabrolier</v>
      </c>
      <c r="C113">
        <f>IFERROR(__xludf.DUMMYFUNCTION("""COMPUTED_VALUE"""),3.89)</f>
        <v>3.89</v>
      </c>
      <c r="D113">
        <f>IFERROR(__xludf.DUMMYFUNCTION("""COMPUTED_VALUE"""),9.26)</f>
        <v>9.26</v>
      </c>
      <c r="E113">
        <f>IFERROR(__xludf.DUMMYFUNCTION("""COMPUTED_VALUE"""),8.58)</f>
        <v>8.58</v>
      </c>
      <c r="F113">
        <f>IFERROR(__xludf.DUMMYFUNCTION("""COMPUTED_VALUE"""),5.58)</f>
        <v>5.58</v>
      </c>
      <c r="G113">
        <f>IFERROR(__xludf.DUMMYFUNCTION("""COMPUTED_VALUE"""),7.16)</f>
        <v>7.16</v>
      </c>
      <c r="H113">
        <f>IFERROR(__xludf.DUMMYFUNCTION("""COMPUTED_VALUE"""),6.68)</f>
        <v>6.68</v>
      </c>
      <c r="I113">
        <f>IFERROR(__xludf.DUMMYFUNCTION("""COMPUTED_VALUE"""),475.53)</f>
        <v>475.53</v>
      </c>
      <c r="J113">
        <f>IFERROR(__xludf.DUMMYFUNCTION("""COMPUTED_VALUE"""),5.58)</f>
        <v>5.58</v>
      </c>
      <c r="K113">
        <f>IFERROR(__xludf.DUMMYFUNCTION("""COMPUTED_VALUE"""),0.11)</f>
        <v>0.11</v>
      </c>
      <c r="L113">
        <f>IFERROR(__xludf.DUMMYFUNCTION("""COMPUTED_VALUE"""),0.0)</f>
        <v>0</v>
      </c>
      <c r="M113">
        <f>IFERROR(__xludf.DUMMYFUNCTION("""COMPUTED_VALUE"""),7.26)</f>
        <v>7.26</v>
      </c>
      <c r="N113">
        <f>IFERROR(__xludf.DUMMYFUNCTION("""COMPUTED_VALUE"""),1.79)</f>
        <v>1.79</v>
      </c>
      <c r="O113">
        <f>IFERROR(__xludf.DUMMYFUNCTION("""COMPUTED_VALUE"""),0.21)</f>
        <v>0.21</v>
      </c>
    </row>
    <row r="114">
      <c r="A114" t="str">
        <f>IFERROR(__xludf.DUMMYFUNCTION("""COMPUTED_VALUE"""),"Califer")</f>
        <v>Califer</v>
      </c>
      <c r="B114" t="str">
        <f>IFERROR(__xludf.DUMMYFUNCTION("""COMPUTED_VALUE"""),"Elie Califer")</f>
        <v>Elie Califer</v>
      </c>
      <c r="C114">
        <f>IFERROR(__xludf.DUMMYFUNCTION("""COMPUTED_VALUE"""),3.11)</f>
        <v>3.11</v>
      </c>
      <c r="D114">
        <f>IFERROR(__xludf.DUMMYFUNCTION("""COMPUTED_VALUE"""),4.95)</f>
        <v>4.95</v>
      </c>
      <c r="E114">
        <f>IFERROR(__xludf.DUMMYFUNCTION("""COMPUTED_VALUE"""),8.26)</f>
        <v>8.26</v>
      </c>
      <c r="F114">
        <f>IFERROR(__xludf.DUMMYFUNCTION("""COMPUTED_VALUE"""),8.26)</f>
        <v>8.26</v>
      </c>
      <c r="G114">
        <f>IFERROR(__xludf.DUMMYFUNCTION("""COMPUTED_VALUE"""),0.89)</f>
        <v>0.89</v>
      </c>
      <c r="H114">
        <f>IFERROR(__xludf.DUMMYFUNCTION("""COMPUTED_VALUE"""),42.47)</f>
        <v>42.47</v>
      </c>
      <c r="I114">
        <f>IFERROR(__xludf.DUMMYFUNCTION("""COMPUTED_VALUE"""),483.79)</f>
        <v>483.79</v>
      </c>
      <c r="J114">
        <f>IFERROR(__xludf.DUMMYFUNCTION("""COMPUTED_VALUE"""),24.53)</f>
        <v>24.53</v>
      </c>
      <c r="K114">
        <f>IFERROR(__xludf.DUMMYFUNCTION("""COMPUTED_VALUE"""),0.11)</f>
        <v>0.11</v>
      </c>
      <c r="L114">
        <f>IFERROR(__xludf.DUMMYFUNCTION("""COMPUTED_VALUE"""),0.21)</f>
        <v>0.21</v>
      </c>
      <c r="M114">
        <f>IFERROR(__xludf.DUMMYFUNCTION("""COMPUTED_VALUE"""),3.58)</f>
        <v>3.58</v>
      </c>
      <c r="N114">
        <f>IFERROR(__xludf.DUMMYFUNCTION("""COMPUTED_VALUE"""),0.32)</f>
        <v>0.32</v>
      </c>
      <c r="O114">
        <f>IFERROR(__xludf.DUMMYFUNCTION("""COMPUTED_VALUE"""),0.26)</f>
        <v>0.26</v>
      </c>
    </row>
    <row r="115">
      <c r="A115" t="str">
        <f>IFERROR(__xludf.DUMMYFUNCTION("""COMPUTED_VALUE"""),"Calvez")</f>
        <v>Calvez</v>
      </c>
      <c r="B115" t="str">
        <f>IFERROR(__xludf.DUMMYFUNCTION("""COMPUTED_VALUE"""),"Céline Calvez")</f>
        <v>Céline Calvez</v>
      </c>
      <c r="C115">
        <f>IFERROR(__xludf.DUMMYFUNCTION("""COMPUTED_VALUE"""),3.95)</f>
        <v>3.95</v>
      </c>
      <c r="D115">
        <f>IFERROR(__xludf.DUMMYFUNCTION("""COMPUTED_VALUE"""),9.0)</f>
        <v>9</v>
      </c>
      <c r="E115">
        <f>IFERROR(__xludf.DUMMYFUNCTION("""COMPUTED_VALUE"""),8.63)</f>
        <v>8.63</v>
      </c>
      <c r="F115">
        <f>IFERROR(__xludf.DUMMYFUNCTION("""COMPUTED_VALUE"""),1.84)</f>
        <v>1.84</v>
      </c>
      <c r="G115">
        <f>IFERROR(__xludf.DUMMYFUNCTION("""COMPUTED_VALUE"""),0.53)</f>
        <v>0.53</v>
      </c>
      <c r="H115">
        <f>IFERROR(__xludf.DUMMYFUNCTION("""COMPUTED_VALUE"""),5.32)</f>
        <v>5.32</v>
      </c>
      <c r="I115">
        <f>IFERROR(__xludf.DUMMYFUNCTION("""COMPUTED_VALUE"""),64.58)</f>
        <v>64.58</v>
      </c>
      <c r="J115">
        <f>IFERROR(__xludf.DUMMYFUNCTION("""COMPUTED_VALUE"""),15.89)</f>
        <v>15.89</v>
      </c>
      <c r="K115">
        <f>IFERROR(__xludf.DUMMYFUNCTION("""COMPUTED_VALUE"""),0.11)</f>
        <v>0.11</v>
      </c>
      <c r="L115">
        <f>IFERROR(__xludf.DUMMYFUNCTION("""COMPUTED_VALUE"""),0.0)</f>
        <v>0</v>
      </c>
      <c r="M115">
        <f>IFERROR(__xludf.DUMMYFUNCTION("""COMPUTED_VALUE"""),2.0)</f>
        <v>2</v>
      </c>
      <c r="N115">
        <f>IFERROR(__xludf.DUMMYFUNCTION("""COMPUTED_VALUE"""),0.32)</f>
        <v>0.32</v>
      </c>
      <c r="O115">
        <f>IFERROR(__xludf.DUMMYFUNCTION("""COMPUTED_VALUE"""),0.16)</f>
        <v>0.16</v>
      </c>
    </row>
    <row r="116">
      <c r="A116" t="str">
        <f>IFERROR(__xludf.DUMMYFUNCTION("""COMPUTED_VALUE"""),"Carel")</f>
        <v>Carel</v>
      </c>
      <c r="B116" t="str">
        <f>IFERROR(__xludf.DUMMYFUNCTION("""COMPUTED_VALUE"""),"Agnès Carel")</f>
        <v>Agnès Carel</v>
      </c>
      <c r="C116">
        <f>IFERROR(__xludf.DUMMYFUNCTION("""COMPUTED_VALUE"""),3.86)</f>
        <v>3.86</v>
      </c>
      <c r="D116">
        <f>IFERROR(__xludf.DUMMYFUNCTION("""COMPUTED_VALUE"""),6.57)</f>
        <v>6.57</v>
      </c>
      <c r="E116">
        <f>IFERROR(__xludf.DUMMYFUNCTION("""COMPUTED_VALUE"""),3.86)</f>
        <v>3.86</v>
      </c>
      <c r="F116">
        <f>IFERROR(__xludf.DUMMYFUNCTION("""COMPUTED_VALUE"""),4.5)</f>
        <v>4.5</v>
      </c>
      <c r="G116">
        <f>IFERROR(__xludf.DUMMYFUNCTION("""COMPUTED_VALUE"""),1.14)</f>
        <v>1.14</v>
      </c>
      <c r="H116">
        <f>IFERROR(__xludf.DUMMYFUNCTION("""COMPUTED_VALUE"""),2.36)</f>
        <v>2.36</v>
      </c>
      <c r="I116">
        <f>IFERROR(__xludf.DUMMYFUNCTION("""COMPUTED_VALUE"""),64.0)</f>
        <v>64</v>
      </c>
      <c r="J116">
        <f>IFERROR(__xludf.DUMMYFUNCTION("""COMPUTED_VALUE"""),15.93)</f>
        <v>15.93</v>
      </c>
      <c r="K116">
        <f>IFERROR(__xludf.DUMMYFUNCTION("""COMPUTED_VALUE"""),0.07)</f>
        <v>0.07</v>
      </c>
      <c r="L116">
        <f>IFERROR(__xludf.DUMMYFUNCTION("""COMPUTED_VALUE"""),0.07)</f>
        <v>0.07</v>
      </c>
      <c r="M116">
        <f>IFERROR(__xludf.DUMMYFUNCTION("""COMPUTED_VALUE"""),2.07)</f>
        <v>2.07</v>
      </c>
      <c r="N116">
        <f>IFERROR(__xludf.DUMMYFUNCTION("""COMPUTED_VALUE"""),4.93)</f>
        <v>4.93</v>
      </c>
      <c r="O116">
        <f>IFERROR(__xludf.DUMMYFUNCTION("""COMPUTED_VALUE"""),0.64)</f>
        <v>0.64</v>
      </c>
    </row>
    <row r="117">
      <c r="A117" t="str">
        <f>IFERROR(__xludf.DUMMYFUNCTION("""COMPUTED_VALUE"""),"Caroit")</f>
        <v>Caroit</v>
      </c>
      <c r="B117" t="str">
        <f>IFERROR(__xludf.DUMMYFUNCTION("""COMPUTED_VALUE"""),"Eléonore Caroit")</f>
        <v>Eléonore Caroit</v>
      </c>
      <c r="C117">
        <f>IFERROR(__xludf.DUMMYFUNCTION("""COMPUTED_VALUE"""),3.18)</f>
        <v>3.18</v>
      </c>
      <c r="D117">
        <f>IFERROR(__xludf.DUMMYFUNCTION("""COMPUTED_VALUE"""),6.12)</f>
        <v>6.12</v>
      </c>
      <c r="E117">
        <f>IFERROR(__xludf.DUMMYFUNCTION("""COMPUTED_VALUE"""),6.47)</f>
        <v>6.47</v>
      </c>
      <c r="F117">
        <f>IFERROR(__xludf.DUMMYFUNCTION("""COMPUTED_VALUE"""),2.29)</f>
        <v>2.29</v>
      </c>
      <c r="G117">
        <f>IFERROR(__xludf.DUMMYFUNCTION("""COMPUTED_VALUE"""),0.94)</f>
        <v>0.94</v>
      </c>
      <c r="H117">
        <f>IFERROR(__xludf.DUMMYFUNCTION("""COMPUTED_VALUE"""),5.35)</f>
        <v>5.35</v>
      </c>
      <c r="I117">
        <f>IFERROR(__xludf.DUMMYFUNCTION("""COMPUTED_VALUE"""),59.53)</f>
        <v>59.53</v>
      </c>
      <c r="J117">
        <f>IFERROR(__xludf.DUMMYFUNCTION("""COMPUTED_VALUE"""),13.71)</f>
        <v>13.71</v>
      </c>
      <c r="K117">
        <f>IFERROR(__xludf.DUMMYFUNCTION("""COMPUTED_VALUE"""),0.29)</f>
        <v>0.29</v>
      </c>
      <c r="L117">
        <f>IFERROR(__xludf.DUMMYFUNCTION("""COMPUTED_VALUE"""),0.06)</f>
        <v>0.06</v>
      </c>
      <c r="M117">
        <f>IFERROR(__xludf.DUMMYFUNCTION("""COMPUTED_VALUE"""),2.18)</f>
        <v>2.18</v>
      </c>
      <c r="N117">
        <f>IFERROR(__xludf.DUMMYFUNCTION("""COMPUTED_VALUE"""),1.06)</f>
        <v>1.06</v>
      </c>
      <c r="O117">
        <f>IFERROR(__xludf.DUMMYFUNCTION("""COMPUTED_VALUE"""),0.24)</f>
        <v>0.24</v>
      </c>
    </row>
    <row r="118">
      <c r="A118" t="str">
        <f>IFERROR(__xludf.DUMMYFUNCTION("""COMPUTED_VALUE"""),"Caron")</f>
        <v>Caron</v>
      </c>
      <c r="B118" t="str">
        <f>IFERROR(__xludf.DUMMYFUNCTION("""COMPUTED_VALUE"""),"Aymeric Caron")</f>
        <v>Aymeric Caron</v>
      </c>
      <c r="C118">
        <f>IFERROR(__xludf.DUMMYFUNCTION("""COMPUTED_VALUE"""),3.74)</f>
        <v>3.74</v>
      </c>
      <c r="D118">
        <f>IFERROR(__xludf.DUMMYFUNCTION("""COMPUTED_VALUE"""),4.21)</f>
        <v>4.21</v>
      </c>
      <c r="E118">
        <f>IFERROR(__xludf.DUMMYFUNCTION("""COMPUTED_VALUE"""),8.63)</f>
        <v>8.63</v>
      </c>
      <c r="F118">
        <f>IFERROR(__xludf.DUMMYFUNCTION("""COMPUTED_VALUE"""),7.95)</f>
        <v>7.95</v>
      </c>
      <c r="G118">
        <f>IFERROR(__xludf.DUMMYFUNCTION("""COMPUTED_VALUE"""),4.84)</f>
        <v>4.84</v>
      </c>
      <c r="H118">
        <f>IFERROR(__xludf.DUMMYFUNCTION("""COMPUTED_VALUE"""),19.26)</f>
        <v>19.26</v>
      </c>
      <c r="I118">
        <f>IFERROR(__xludf.DUMMYFUNCTION("""COMPUTED_VALUE"""),893.58)</f>
        <v>893.58</v>
      </c>
      <c r="J118">
        <f>IFERROR(__xludf.DUMMYFUNCTION("""COMPUTED_VALUE"""),28.79)</f>
        <v>28.79</v>
      </c>
      <c r="K118">
        <f>IFERROR(__xludf.DUMMYFUNCTION("""COMPUTED_VALUE"""),0.05)</f>
        <v>0.05</v>
      </c>
      <c r="L118">
        <f>IFERROR(__xludf.DUMMYFUNCTION("""COMPUTED_VALUE"""),0.26)</f>
        <v>0.26</v>
      </c>
      <c r="M118">
        <f>IFERROR(__xludf.DUMMYFUNCTION("""COMPUTED_VALUE"""),6.74)</f>
        <v>6.74</v>
      </c>
      <c r="N118">
        <f>IFERROR(__xludf.DUMMYFUNCTION("""COMPUTED_VALUE"""),0.47)</f>
        <v>0.47</v>
      </c>
      <c r="O118">
        <f>IFERROR(__xludf.DUMMYFUNCTION("""COMPUTED_VALUE"""),0.26)</f>
        <v>0.26</v>
      </c>
    </row>
    <row r="119">
      <c r="A119" t="str">
        <f>IFERROR(__xludf.DUMMYFUNCTION("""COMPUTED_VALUE"""),"Carrière")</f>
        <v>Carrière</v>
      </c>
      <c r="B119" t="str">
        <f>IFERROR(__xludf.DUMMYFUNCTION("""COMPUTED_VALUE"""),"Sylvain Carrière")</f>
        <v>Sylvain Carrière</v>
      </c>
      <c r="C119">
        <f>IFERROR(__xludf.DUMMYFUNCTION("""COMPUTED_VALUE"""),3.79)</f>
        <v>3.79</v>
      </c>
      <c r="D119">
        <f>IFERROR(__xludf.DUMMYFUNCTION("""COMPUTED_VALUE"""),8.11)</f>
        <v>8.11</v>
      </c>
      <c r="E119">
        <f>IFERROR(__xludf.DUMMYFUNCTION("""COMPUTED_VALUE"""),3.68)</f>
        <v>3.68</v>
      </c>
      <c r="F119">
        <f>IFERROR(__xludf.DUMMYFUNCTION("""COMPUTED_VALUE"""),6.21)</f>
        <v>6.21</v>
      </c>
      <c r="G119">
        <f>IFERROR(__xludf.DUMMYFUNCTION("""COMPUTED_VALUE"""),3.63)</f>
        <v>3.63</v>
      </c>
      <c r="H119">
        <f>IFERROR(__xludf.DUMMYFUNCTION("""COMPUTED_VALUE"""),12.68)</f>
        <v>12.68</v>
      </c>
      <c r="I119">
        <f>IFERROR(__xludf.DUMMYFUNCTION("""COMPUTED_VALUE"""),891.79)</f>
        <v>891.79</v>
      </c>
      <c r="J119">
        <f>IFERROR(__xludf.DUMMYFUNCTION("""COMPUTED_VALUE"""),28.89)</f>
        <v>28.89</v>
      </c>
      <c r="K119">
        <f>IFERROR(__xludf.DUMMYFUNCTION("""COMPUTED_VALUE"""),0.05)</f>
        <v>0.05</v>
      </c>
      <c r="L119">
        <f>IFERROR(__xludf.DUMMYFUNCTION("""COMPUTED_VALUE"""),0.16)</f>
        <v>0.16</v>
      </c>
      <c r="M119">
        <f>IFERROR(__xludf.DUMMYFUNCTION("""COMPUTED_VALUE"""),7.63)</f>
        <v>7.63</v>
      </c>
      <c r="N119">
        <f>IFERROR(__xludf.DUMMYFUNCTION("""COMPUTED_VALUE"""),2.84)</f>
        <v>2.84</v>
      </c>
      <c r="O119">
        <f>IFERROR(__xludf.DUMMYFUNCTION("""COMPUTED_VALUE"""),0.32)</f>
        <v>0.32</v>
      </c>
    </row>
    <row r="120">
      <c r="A120" t="str">
        <f>IFERROR(__xludf.DUMMYFUNCTION("""COMPUTED_VALUE"""),"Castellani")</f>
        <v>Castellani</v>
      </c>
      <c r="B120" t="str">
        <f>IFERROR(__xludf.DUMMYFUNCTION("""COMPUTED_VALUE"""),"Michel Castellani")</f>
        <v>Michel Castellani</v>
      </c>
      <c r="C120">
        <f>IFERROR(__xludf.DUMMYFUNCTION("""COMPUTED_VALUE"""),3.84)</f>
        <v>3.84</v>
      </c>
      <c r="D120">
        <f>IFERROR(__xludf.DUMMYFUNCTION("""COMPUTED_VALUE"""),7.16)</f>
        <v>7.16</v>
      </c>
      <c r="E120">
        <f>IFERROR(__xludf.DUMMYFUNCTION("""COMPUTED_VALUE"""),14.95)</f>
        <v>14.95</v>
      </c>
      <c r="F120">
        <f>IFERROR(__xludf.DUMMYFUNCTION("""COMPUTED_VALUE"""),18.21)</f>
        <v>18.21</v>
      </c>
      <c r="G120">
        <f>IFERROR(__xludf.DUMMYFUNCTION("""COMPUTED_VALUE"""),1.11)</f>
        <v>1.11</v>
      </c>
      <c r="H120">
        <f>IFERROR(__xludf.DUMMYFUNCTION("""COMPUTED_VALUE"""),28.89)</f>
        <v>28.89</v>
      </c>
      <c r="I120">
        <f>IFERROR(__xludf.DUMMYFUNCTION("""COMPUTED_VALUE"""),252.68)</f>
        <v>252.68</v>
      </c>
      <c r="J120">
        <f>IFERROR(__xludf.DUMMYFUNCTION("""COMPUTED_VALUE"""),17.11)</f>
        <v>17.11</v>
      </c>
      <c r="K120">
        <f>IFERROR(__xludf.DUMMYFUNCTION("""COMPUTED_VALUE"""),0.05)</f>
        <v>0.05</v>
      </c>
      <c r="L120">
        <f>IFERROR(__xludf.DUMMYFUNCTION("""COMPUTED_VALUE"""),0.11)</f>
        <v>0.11</v>
      </c>
      <c r="M120">
        <f>IFERROR(__xludf.DUMMYFUNCTION("""COMPUTED_VALUE"""),1.42)</f>
        <v>1.42</v>
      </c>
      <c r="N120">
        <f>IFERROR(__xludf.DUMMYFUNCTION("""COMPUTED_VALUE"""),0.58)</f>
        <v>0.58</v>
      </c>
      <c r="O120">
        <f>IFERROR(__xludf.DUMMYFUNCTION("""COMPUTED_VALUE"""),0.26)</f>
        <v>0.26</v>
      </c>
    </row>
    <row r="121">
      <c r="A121" t="str">
        <f>IFERROR(__xludf.DUMMYFUNCTION("""COMPUTED_VALUE"""),"Castor")</f>
        <v>Castor</v>
      </c>
      <c r="B121" t="str">
        <f>IFERROR(__xludf.DUMMYFUNCTION("""COMPUTED_VALUE"""),"Jean-Victor Castor")</f>
        <v>Jean-Victor Castor</v>
      </c>
      <c r="C121">
        <f>IFERROR(__xludf.DUMMYFUNCTION("""COMPUTED_VALUE"""),2.95)</f>
        <v>2.95</v>
      </c>
      <c r="D121">
        <f>IFERROR(__xludf.DUMMYFUNCTION("""COMPUTED_VALUE"""),2.58)</f>
        <v>2.58</v>
      </c>
      <c r="E121">
        <f>IFERROR(__xludf.DUMMYFUNCTION("""COMPUTED_VALUE"""),2.95)</f>
        <v>2.95</v>
      </c>
      <c r="F121">
        <f>IFERROR(__xludf.DUMMYFUNCTION("""COMPUTED_VALUE"""),6.68)</f>
        <v>6.68</v>
      </c>
      <c r="G121">
        <f>IFERROR(__xludf.DUMMYFUNCTION("""COMPUTED_VALUE"""),5.95)</f>
        <v>5.95</v>
      </c>
      <c r="H121">
        <f>IFERROR(__xludf.DUMMYFUNCTION("""COMPUTED_VALUE"""),2.26)</f>
        <v>2.26</v>
      </c>
      <c r="I121">
        <f>IFERROR(__xludf.DUMMYFUNCTION("""COMPUTED_VALUE"""),205.37)</f>
        <v>205.37</v>
      </c>
      <c r="J121">
        <f>IFERROR(__xludf.DUMMYFUNCTION("""COMPUTED_VALUE"""),11.95)</f>
        <v>11.95</v>
      </c>
      <c r="K121">
        <f>IFERROR(__xludf.DUMMYFUNCTION("""COMPUTED_VALUE"""),0.11)</f>
        <v>0.11</v>
      </c>
      <c r="L121">
        <f>IFERROR(__xludf.DUMMYFUNCTION("""COMPUTED_VALUE"""),0.16)</f>
        <v>0.16</v>
      </c>
      <c r="M121">
        <f>IFERROR(__xludf.DUMMYFUNCTION("""COMPUTED_VALUE"""),3.95)</f>
        <v>3.95</v>
      </c>
      <c r="N121">
        <f>IFERROR(__xludf.DUMMYFUNCTION("""COMPUTED_VALUE"""),0.0)</f>
        <v>0</v>
      </c>
      <c r="O121">
        <f>IFERROR(__xludf.DUMMYFUNCTION("""COMPUTED_VALUE"""),0.42)</f>
        <v>0.42</v>
      </c>
    </row>
    <row r="122">
      <c r="A122" t="str">
        <f>IFERROR(__xludf.DUMMYFUNCTION("""COMPUTED_VALUE"""),"Catteau")</f>
        <v>Catteau</v>
      </c>
      <c r="B122" t="str">
        <f>IFERROR(__xludf.DUMMYFUNCTION("""COMPUTED_VALUE"""),"Victor Catteau")</f>
        <v>Victor Catteau</v>
      </c>
      <c r="C122">
        <f>IFERROR(__xludf.DUMMYFUNCTION("""COMPUTED_VALUE"""),4.0)</f>
        <v>4</v>
      </c>
      <c r="D122">
        <f>IFERROR(__xludf.DUMMYFUNCTION("""COMPUTED_VALUE"""),8.21)</f>
        <v>8.21</v>
      </c>
      <c r="E122">
        <f>IFERROR(__xludf.DUMMYFUNCTION("""COMPUTED_VALUE"""),5.16)</f>
        <v>5.16</v>
      </c>
      <c r="F122">
        <f>IFERROR(__xludf.DUMMYFUNCTION("""COMPUTED_VALUE"""),5.42)</f>
        <v>5.42</v>
      </c>
      <c r="G122">
        <f>IFERROR(__xludf.DUMMYFUNCTION("""COMPUTED_VALUE"""),2.68)</f>
        <v>2.68</v>
      </c>
      <c r="H122">
        <f>IFERROR(__xludf.DUMMYFUNCTION("""COMPUTED_VALUE"""),23.16)</f>
        <v>23.16</v>
      </c>
      <c r="I122">
        <f>IFERROR(__xludf.DUMMYFUNCTION("""COMPUTED_VALUE"""),467.16)</f>
        <v>467.16</v>
      </c>
      <c r="J122">
        <f>IFERROR(__xludf.DUMMYFUNCTION("""COMPUTED_VALUE"""),5.79)</f>
        <v>5.79</v>
      </c>
      <c r="K122">
        <f>IFERROR(__xludf.DUMMYFUNCTION("""COMPUTED_VALUE"""),0.0)</f>
        <v>0</v>
      </c>
      <c r="L122">
        <f>IFERROR(__xludf.DUMMYFUNCTION("""COMPUTED_VALUE"""),0.11)</f>
        <v>0.11</v>
      </c>
      <c r="M122">
        <f>IFERROR(__xludf.DUMMYFUNCTION("""COMPUTED_VALUE"""),7.47)</f>
        <v>7.47</v>
      </c>
      <c r="N122">
        <f>IFERROR(__xludf.DUMMYFUNCTION("""COMPUTED_VALUE"""),4.11)</f>
        <v>4.11</v>
      </c>
      <c r="O122">
        <f>IFERROR(__xludf.DUMMYFUNCTION("""COMPUTED_VALUE"""),0.21)</f>
        <v>0.21</v>
      </c>
    </row>
    <row r="123">
      <c r="A123" t="str">
        <f>IFERROR(__xludf.DUMMYFUNCTION("""COMPUTED_VALUE"""),"Causse")</f>
        <v>Causse</v>
      </c>
      <c r="B123" t="str">
        <f>IFERROR(__xludf.DUMMYFUNCTION("""COMPUTED_VALUE"""),"Lionel Causse")</f>
        <v>Lionel Causse</v>
      </c>
      <c r="C123">
        <f>IFERROR(__xludf.DUMMYFUNCTION("""COMPUTED_VALUE"""),3.37)</f>
        <v>3.37</v>
      </c>
      <c r="D123">
        <f>IFERROR(__xludf.DUMMYFUNCTION("""COMPUTED_VALUE"""),4.42)</f>
        <v>4.42</v>
      </c>
      <c r="E123">
        <f>IFERROR(__xludf.DUMMYFUNCTION("""COMPUTED_VALUE"""),5.47)</f>
        <v>5.47</v>
      </c>
      <c r="F123">
        <f>IFERROR(__xludf.DUMMYFUNCTION("""COMPUTED_VALUE"""),3.95)</f>
        <v>3.95</v>
      </c>
      <c r="G123">
        <f>IFERROR(__xludf.DUMMYFUNCTION("""COMPUTED_VALUE"""),0.63)</f>
        <v>0.63</v>
      </c>
      <c r="H123">
        <f>IFERROR(__xludf.DUMMYFUNCTION("""COMPUTED_VALUE"""),7.37)</f>
        <v>7.37</v>
      </c>
      <c r="I123">
        <f>IFERROR(__xludf.DUMMYFUNCTION("""COMPUTED_VALUE"""),72.95)</f>
        <v>72.95</v>
      </c>
      <c r="J123">
        <f>IFERROR(__xludf.DUMMYFUNCTION("""COMPUTED_VALUE"""),19.21)</f>
        <v>19.21</v>
      </c>
      <c r="K123">
        <f>IFERROR(__xludf.DUMMYFUNCTION("""COMPUTED_VALUE"""),0.05)</f>
        <v>0.05</v>
      </c>
      <c r="L123">
        <f>IFERROR(__xludf.DUMMYFUNCTION("""COMPUTED_VALUE"""),0.11)</f>
        <v>0.11</v>
      </c>
      <c r="M123">
        <f>IFERROR(__xludf.DUMMYFUNCTION("""COMPUTED_VALUE"""),2.26)</f>
        <v>2.26</v>
      </c>
      <c r="N123">
        <f>IFERROR(__xludf.DUMMYFUNCTION("""COMPUTED_VALUE"""),4.0)</f>
        <v>4</v>
      </c>
      <c r="O123">
        <f>IFERROR(__xludf.DUMMYFUNCTION("""COMPUTED_VALUE"""),0.05)</f>
        <v>0.05</v>
      </c>
    </row>
    <row r="124">
      <c r="A124" t="str">
        <f>IFERROR(__xludf.DUMMYFUNCTION("""COMPUTED_VALUE"""),"Cazenave")</f>
        <v>Cazenave</v>
      </c>
      <c r="B124" t="str">
        <f>IFERROR(__xludf.DUMMYFUNCTION("""COMPUTED_VALUE"""),"Thomas Cazenave")</f>
        <v>Thomas Cazenave</v>
      </c>
      <c r="C124">
        <f>IFERROR(__xludf.DUMMYFUNCTION("""COMPUTED_VALUE"""),4.09)</f>
        <v>4.09</v>
      </c>
      <c r="D124">
        <f>IFERROR(__xludf.DUMMYFUNCTION("""COMPUTED_VALUE"""),9.82)</f>
        <v>9.82</v>
      </c>
      <c r="E124">
        <f>IFERROR(__xludf.DUMMYFUNCTION("""COMPUTED_VALUE"""),16.18)</f>
        <v>16.18</v>
      </c>
      <c r="F124">
        <f>IFERROR(__xludf.DUMMYFUNCTION("""COMPUTED_VALUE"""),14.0)</f>
        <v>14</v>
      </c>
      <c r="G124">
        <f>IFERROR(__xludf.DUMMYFUNCTION("""COMPUTED_VALUE"""),5.45)</f>
        <v>5.45</v>
      </c>
      <c r="H124">
        <f>IFERROR(__xludf.DUMMYFUNCTION("""COMPUTED_VALUE"""),4.18)</f>
        <v>4.18</v>
      </c>
      <c r="I124">
        <f>IFERROR(__xludf.DUMMYFUNCTION("""COMPUTED_VALUE"""),46.91)</f>
        <v>46.91</v>
      </c>
      <c r="J124">
        <f>IFERROR(__xludf.DUMMYFUNCTION("""COMPUTED_VALUE"""),15.91)</f>
        <v>15.91</v>
      </c>
      <c r="K124">
        <f>IFERROR(__xludf.DUMMYFUNCTION("""COMPUTED_VALUE"""),1.45)</f>
        <v>1.45</v>
      </c>
      <c r="L124">
        <f>IFERROR(__xludf.DUMMYFUNCTION("""COMPUTED_VALUE"""),0.18)</f>
        <v>0.18</v>
      </c>
      <c r="M124">
        <f>IFERROR(__xludf.DUMMYFUNCTION("""COMPUTED_VALUE"""),2.91)</f>
        <v>2.91</v>
      </c>
      <c r="N124">
        <f>IFERROR(__xludf.DUMMYFUNCTION("""COMPUTED_VALUE"""),0.27)</f>
        <v>0.27</v>
      </c>
      <c r="O124">
        <f>IFERROR(__xludf.DUMMYFUNCTION("""COMPUTED_VALUE"""),0.27)</f>
        <v>0.27</v>
      </c>
    </row>
    <row r="125">
      <c r="A125" t="str">
        <f>IFERROR(__xludf.DUMMYFUNCTION("""COMPUTED_VALUE"""),"Cazeneuve")</f>
        <v>Cazeneuve</v>
      </c>
      <c r="B125" t="str">
        <f>IFERROR(__xludf.DUMMYFUNCTION("""COMPUTED_VALUE"""),"Pierre Cazeneuve")</f>
        <v>Pierre Cazeneuve</v>
      </c>
      <c r="C125">
        <f>IFERROR(__xludf.DUMMYFUNCTION("""COMPUTED_VALUE"""),3.89)</f>
        <v>3.89</v>
      </c>
      <c r="D125">
        <f>IFERROR(__xludf.DUMMYFUNCTION("""COMPUTED_VALUE"""),7.05)</f>
        <v>7.05</v>
      </c>
      <c r="E125">
        <f>IFERROR(__xludf.DUMMYFUNCTION("""COMPUTED_VALUE"""),12.47)</f>
        <v>12.47</v>
      </c>
      <c r="F125">
        <f>IFERROR(__xludf.DUMMYFUNCTION("""COMPUTED_VALUE"""),25.11)</f>
        <v>25.11</v>
      </c>
      <c r="G125">
        <f>IFERROR(__xludf.DUMMYFUNCTION("""COMPUTED_VALUE"""),28.11)</f>
        <v>28.11</v>
      </c>
      <c r="H125">
        <f>IFERROR(__xludf.DUMMYFUNCTION("""COMPUTED_VALUE"""),9.05)</f>
        <v>9.05</v>
      </c>
      <c r="I125">
        <f>IFERROR(__xludf.DUMMYFUNCTION("""COMPUTED_VALUE"""),69.0)</f>
        <v>69</v>
      </c>
      <c r="J125">
        <f>IFERROR(__xludf.DUMMYFUNCTION("""COMPUTED_VALUE"""),24.32)</f>
        <v>24.32</v>
      </c>
      <c r="K125">
        <f>IFERROR(__xludf.DUMMYFUNCTION("""COMPUTED_VALUE"""),0.05)</f>
        <v>0.05</v>
      </c>
      <c r="L125">
        <f>IFERROR(__xludf.DUMMYFUNCTION("""COMPUTED_VALUE"""),0.0)</f>
        <v>0</v>
      </c>
      <c r="M125">
        <f>IFERROR(__xludf.DUMMYFUNCTION("""COMPUTED_VALUE"""),2.0)</f>
        <v>2</v>
      </c>
      <c r="N125">
        <f>IFERROR(__xludf.DUMMYFUNCTION("""COMPUTED_VALUE"""),0.05)</f>
        <v>0.05</v>
      </c>
      <c r="O125">
        <f>IFERROR(__xludf.DUMMYFUNCTION("""COMPUTED_VALUE"""),0.0)</f>
        <v>0</v>
      </c>
    </row>
    <row r="126">
      <c r="A126" t="str">
        <f>IFERROR(__xludf.DUMMYFUNCTION("""COMPUTED_VALUE"""),"Cazeneuve")</f>
        <v>Cazeneuve</v>
      </c>
      <c r="B126" t="str">
        <f>IFERROR(__xludf.DUMMYFUNCTION("""COMPUTED_VALUE"""),"Jean-René Cazeneuve")</f>
        <v>Jean-René Cazeneuve</v>
      </c>
      <c r="C126">
        <f>IFERROR(__xludf.DUMMYFUNCTION("""COMPUTED_VALUE"""),4.05)</f>
        <v>4.05</v>
      </c>
      <c r="D126">
        <f>IFERROR(__xludf.DUMMYFUNCTION("""COMPUTED_VALUE"""),14.32)</f>
        <v>14.32</v>
      </c>
      <c r="E126">
        <f>IFERROR(__xludf.DUMMYFUNCTION("""COMPUTED_VALUE"""),116.42)</f>
        <v>116.42</v>
      </c>
      <c r="F126">
        <f>IFERROR(__xludf.DUMMYFUNCTION("""COMPUTED_VALUE"""),78.42)</f>
        <v>78.42</v>
      </c>
      <c r="G126">
        <f>IFERROR(__xludf.DUMMYFUNCTION("""COMPUTED_VALUE"""),49.79)</f>
        <v>49.79</v>
      </c>
      <c r="H126">
        <f>IFERROR(__xludf.DUMMYFUNCTION("""COMPUTED_VALUE"""),47.47)</f>
        <v>47.47</v>
      </c>
      <c r="I126">
        <f>IFERROR(__xludf.DUMMYFUNCTION("""COMPUTED_VALUE"""),109.42)</f>
        <v>109.42</v>
      </c>
      <c r="J126">
        <f>IFERROR(__xludf.DUMMYFUNCTION("""COMPUTED_VALUE"""),42.37)</f>
        <v>42.37</v>
      </c>
      <c r="K126">
        <f>IFERROR(__xludf.DUMMYFUNCTION("""COMPUTED_VALUE"""),2.32)</f>
        <v>2.32</v>
      </c>
      <c r="L126">
        <f>IFERROR(__xludf.DUMMYFUNCTION("""COMPUTED_VALUE"""),0.0)</f>
        <v>0</v>
      </c>
      <c r="M126">
        <f>IFERROR(__xludf.DUMMYFUNCTION("""COMPUTED_VALUE"""),2.0)</f>
        <v>2</v>
      </c>
      <c r="N126">
        <f>IFERROR(__xludf.DUMMYFUNCTION("""COMPUTED_VALUE"""),0.58)</f>
        <v>0.58</v>
      </c>
      <c r="O126">
        <f>IFERROR(__xludf.DUMMYFUNCTION("""COMPUTED_VALUE"""),0.11)</f>
        <v>0.11</v>
      </c>
    </row>
    <row r="127">
      <c r="A127" t="str">
        <f>IFERROR(__xludf.DUMMYFUNCTION("""COMPUTED_VALUE"""),"Chailloux")</f>
        <v>Chailloux</v>
      </c>
      <c r="B127" t="str">
        <f>IFERROR(__xludf.DUMMYFUNCTION("""COMPUTED_VALUE"""),"Steve Chailloux")</f>
        <v>Steve Chailloux</v>
      </c>
      <c r="C127">
        <f>IFERROR(__xludf.DUMMYFUNCTION("""COMPUTED_VALUE"""),1.63)</f>
        <v>1.63</v>
      </c>
      <c r="D127">
        <f>IFERROR(__xludf.DUMMYFUNCTION("""COMPUTED_VALUE"""),0.79)</f>
        <v>0.79</v>
      </c>
      <c r="E127">
        <f>IFERROR(__xludf.DUMMYFUNCTION("""COMPUTED_VALUE"""),0.63)</f>
        <v>0.63</v>
      </c>
      <c r="F127">
        <f>IFERROR(__xludf.DUMMYFUNCTION("""COMPUTED_VALUE"""),2.26)</f>
        <v>2.26</v>
      </c>
      <c r="G127">
        <f>IFERROR(__xludf.DUMMYFUNCTION("""COMPUTED_VALUE"""),0.26)</f>
        <v>0.26</v>
      </c>
      <c r="H127">
        <f>IFERROR(__xludf.DUMMYFUNCTION("""COMPUTED_VALUE"""),2.84)</f>
        <v>2.84</v>
      </c>
      <c r="I127">
        <f>IFERROR(__xludf.DUMMYFUNCTION("""COMPUTED_VALUE"""),203.89)</f>
        <v>203.89</v>
      </c>
      <c r="J127">
        <f>IFERROR(__xludf.DUMMYFUNCTION("""COMPUTED_VALUE"""),12.11)</f>
        <v>12.11</v>
      </c>
      <c r="K127">
        <f>IFERROR(__xludf.DUMMYFUNCTION("""COMPUTED_VALUE"""),0.05)</f>
        <v>0.05</v>
      </c>
      <c r="L127">
        <f>IFERROR(__xludf.DUMMYFUNCTION("""COMPUTED_VALUE"""),0.16)</f>
        <v>0.16</v>
      </c>
      <c r="M127">
        <f>IFERROR(__xludf.DUMMYFUNCTION("""COMPUTED_VALUE"""),4.79)</f>
        <v>4.79</v>
      </c>
      <c r="N127">
        <f>IFERROR(__xludf.DUMMYFUNCTION("""COMPUTED_VALUE"""),0.0)</f>
        <v>0</v>
      </c>
      <c r="O127">
        <f>IFERROR(__xludf.DUMMYFUNCTION("""COMPUTED_VALUE"""),0.26)</f>
        <v>0.26</v>
      </c>
    </row>
    <row r="128">
      <c r="A128" t="str">
        <f>IFERROR(__xludf.DUMMYFUNCTION("""COMPUTED_VALUE"""),"Chandler")</f>
        <v>Chandler</v>
      </c>
      <c r="B128" t="str">
        <f>IFERROR(__xludf.DUMMYFUNCTION("""COMPUTED_VALUE"""),"Émilie Chandler")</f>
        <v>Émilie Chandler</v>
      </c>
      <c r="C128">
        <f>IFERROR(__xludf.DUMMYFUNCTION("""COMPUTED_VALUE"""),4.0)</f>
        <v>4</v>
      </c>
      <c r="D128">
        <f>IFERROR(__xludf.DUMMYFUNCTION("""COMPUTED_VALUE"""),6.68)</f>
        <v>6.68</v>
      </c>
      <c r="E128">
        <f>IFERROR(__xludf.DUMMYFUNCTION("""COMPUTED_VALUE"""),4.0)</f>
        <v>4</v>
      </c>
      <c r="F128">
        <f>IFERROR(__xludf.DUMMYFUNCTION("""COMPUTED_VALUE"""),3.89)</f>
        <v>3.89</v>
      </c>
      <c r="G128">
        <f>IFERROR(__xludf.DUMMYFUNCTION("""COMPUTED_VALUE"""),0.68)</f>
        <v>0.68</v>
      </c>
      <c r="H128">
        <f>IFERROR(__xludf.DUMMYFUNCTION("""COMPUTED_VALUE"""),5.42)</f>
        <v>5.42</v>
      </c>
      <c r="I128">
        <f>IFERROR(__xludf.DUMMYFUNCTION("""COMPUTED_VALUE"""),87.11)</f>
        <v>87.11</v>
      </c>
      <c r="J128">
        <f>IFERROR(__xludf.DUMMYFUNCTION("""COMPUTED_VALUE"""),22.0)</f>
        <v>22</v>
      </c>
      <c r="K128">
        <f>IFERROR(__xludf.DUMMYFUNCTION("""COMPUTED_VALUE"""),0.21)</f>
        <v>0.21</v>
      </c>
      <c r="L128">
        <f>IFERROR(__xludf.DUMMYFUNCTION("""COMPUTED_VALUE"""),0.05)</f>
        <v>0.05</v>
      </c>
      <c r="M128">
        <f>IFERROR(__xludf.DUMMYFUNCTION("""COMPUTED_VALUE"""),2.53)</f>
        <v>2.53</v>
      </c>
      <c r="N128">
        <f>IFERROR(__xludf.DUMMYFUNCTION("""COMPUTED_VALUE"""),1.26)</f>
        <v>1.26</v>
      </c>
      <c r="O128">
        <f>IFERROR(__xludf.DUMMYFUNCTION("""COMPUTED_VALUE"""),0.37)</f>
        <v>0.37</v>
      </c>
    </row>
    <row r="129">
      <c r="A129" t="str">
        <f>IFERROR(__xludf.DUMMYFUNCTION("""COMPUTED_VALUE"""),"Chassaigne")</f>
        <v>Chassaigne</v>
      </c>
      <c r="B129" t="str">
        <f>IFERROR(__xludf.DUMMYFUNCTION("""COMPUTED_VALUE"""),"André Chassaigne")</f>
        <v>André Chassaigne</v>
      </c>
      <c r="C129">
        <f>IFERROR(__xludf.DUMMYFUNCTION("""COMPUTED_VALUE"""),4.0)</f>
        <v>4</v>
      </c>
      <c r="D129">
        <f>IFERROR(__xludf.DUMMYFUNCTION("""COMPUTED_VALUE"""),8.21)</f>
        <v>8.21</v>
      </c>
      <c r="E129">
        <f>IFERROR(__xludf.DUMMYFUNCTION("""COMPUTED_VALUE"""),5.95)</f>
        <v>5.95</v>
      </c>
      <c r="F129">
        <f>IFERROR(__xludf.DUMMYFUNCTION("""COMPUTED_VALUE"""),20.58)</f>
        <v>20.58</v>
      </c>
      <c r="G129">
        <f>IFERROR(__xludf.DUMMYFUNCTION("""COMPUTED_VALUE"""),15.37)</f>
        <v>15.37</v>
      </c>
      <c r="H129">
        <f>IFERROR(__xludf.DUMMYFUNCTION("""COMPUTED_VALUE"""),13.37)</f>
        <v>13.37</v>
      </c>
      <c r="I129">
        <f>IFERROR(__xludf.DUMMYFUNCTION("""COMPUTED_VALUE"""),218.63)</f>
        <v>218.63</v>
      </c>
      <c r="J129">
        <f>IFERROR(__xludf.DUMMYFUNCTION("""COMPUTED_VALUE"""),13.0)</f>
        <v>13</v>
      </c>
      <c r="K129">
        <f>IFERROR(__xludf.DUMMYFUNCTION("""COMPUTED_VALUE"""),0.0)</f>
        <v>0</v>
      </c>
      <c r="L129">
        <f>IFERROR(__xludf.DUMMYFUNCTION("""COMPUTED_VALUE"""),0.58)</f>
        <v>0.58</v>
      </c>
      <c r="M129">
        <f>IFERROR(__xludf.DUMMYFUNCTION("""COMPUTED_VALUE"""),4.68)</f>
        <v>4.68</v>
      </c>
      <c r="N129">
        <f>IFERROR(__xludf.DUMMYFUNCTION("""COMPUTED_VALUE"""),5.58)</f>
        <v>5.58</v>
      </c>
      <c r="O129">
        <f>IFERROR(__xludf.DUMMYFUNCTION("""COMPUTED_VALUE"""),0.79)</f>
        <v>0.79</v>
      </c>
    </row>
    <row r="130">
      <c r="A130" t="str">
        <f>IFERROR(__xludf.DUMMYFUNCTION("""COMPUTED_VALUE"""),"Chassaniol")</f>
        <v>Chassaniol</v>
      </c>
      <c r="B130" t="str">
        <f>IFERROR(__xludf.DUMMYFUNCTION("""COMPUTED_VALUE"""),"Clara Chassaniol")</f>
        <v>Clara Chassaniol</v>
      </c>
      <c r="C130">
        <f>IFERROR(__xludf.DUMMYFUNCTION("""COMPUTED_VALUE"""),4.43)</f>
        <v>4.43</v>
      </c>
      <c r="D130">
        <f>IFERROR(__xludf.DUMMYFUNCTION("""COMPUTED_VALUE"""),9.71)</f>
        <v>9.71</v>
      </c>
      <c r="E130">
        <f>IFERROR(__xludf.DUMMYFUNCTION("""COMPUTED_VALUE"""),3.93)</f>
        <v>3.93</v>
      </c>
      <c r="F130">
        <f>IFERROR(__xludf.DUMMYFUNCTION("""COMPUTED_VALUE"""),1.93)</f>
        <v>1.93</v>
      </c>
      <c r="G130">
        <f>IFERROR(__xludf.DUMMYFUNCTION("""COMPUTED_VALUE"""),0.29)</f>
        <v>0.29</v>
      </c>
      <c r="H130">
        <f>IFERROR(__xludf.DUMMYFUNCTION("""COMPUTED_VALUE"""),4.07)</f>
        <v>4.07</v>
      </c>
      <c r="I130">
        <f>IFERROR(__xludf.DUMMYFUNCTION("""COMPUTED_VALUE"""),75.14)</f>
        <v>75.14</v>
      </c>
      <c r="J130">
        <f>IFERROR(__xludf.DUMMYFUNCTION("""COMPUTED_VALUE"""),22.79)</f>
        <v>22.79</v>
      </c>
      <c r="K130">
        <f>IFERROR(__xludf.DUMMYFUNCTION("""COMPUTED_VALUE"""),0.07)</f>
        <v>0.07</v>
      </c>
      <c r="L130">
        <f>IFERROR(__xludf.DUMMYFUNCTION("""COMPUTED_VALUE"""),0.0)</f>
        <v>0</v>
      </c>
      <c r="M130">
        <f>IFERROR(__xludf.DUMMYFUNCTION("""COMPUTED_VALUE"""),2.36)</f>
        <v>2.36</v>
      </c>
      <c r="N130">
        <f>IFERROR(__xludf.DUMMYFUNCTION("""COMPUTED_VALUE"""),0.07)</f>
        <v>0.07</v>
      </c>
      <c r="O130">
        <f>IFERROR(__xludf.DUMMYFUNCTION("""COMPUTED_VALUE"""),0.14)</f>
        <v>0.14</v>
      </c>
    </row>
    <row r="131">
      <c r="A131" t="str">
        <f>IFERROR(__xludf.DUMMYFUNCTION("""COMPUTED_VALUE"""),"Chatelain")</f>
        <v>Chatelain</v>
      </c>
      <c r="B131" t="str">
        <f>IFERROR(__xludf.DUMMYFUNCTION("""COMPUTED_VALUE"""),"Cyrielle Chatelain")</f>
        <v>Cyrielle Chatelain</v>
      </c>
      <c r="C131">
        <f>IFERROR(__xludf.DUMMYFUNCTION("""COMPUTED_VALUE"""),3.89)</f>
        <v>3.89</v>
      </c>
      <c r="D131">
        <f>IFERROR(__xludf.DUMMYFUNCTION("""COMPUTED_VALUE"""),7.32)</f>
        <v>7.32</v>
      </c>
      <c r="E131">
        <f>IFERROR(__xludf.DUMMYFUNCTION("""COMPUTED_VALUE"""),8.47)</f>
        <v>8.47</v>
      </c>
      <c r="F131">
        <f>IFERROR(__xludf.DUMMYFUNCTION("""COMPUTED_VALUE"""),42.21)</f>
        <v>42.21</v>
      </c>
      <c r="G131">
        <f>IFERROR(__xludf.DUMMYFUNCTION("""COMPUTED_VALUE"""),18.84)</f>
        <v>18.84</v>
      </c>
      <c r="H131">
        <f>IFERROR(__xludf.DUMMYFUNCTION("""COMPUTED_VALUE"""),15.47)</f>
        <v>15.47</v>
      </c>
      <c r="I131">
        <f>IFERROR(__xludf.DUMMYFUNCTION("""COMPUTED_VALUE"""),518.37)</f>
        <v>518.37</v>
      </c>
      <c r="J131">
        <f>IFERROR(__xludf.DUMMYFUNCTION("""COMPUTED_VALUE"""),19.11)</f>
        <v>19.11</v>
      </c>
      <c r="K131">
        <f>IFERROR(__xludf.DUMMYFUNCTION("""COMPUTED_VALUE"""),0.05)</f>
        <v>0.05</v>
      </c>
      <c r="L131">
        <f>IFERROR(__xludf.DUMMYFUNCTION("""COMPUTED_VALUE"""),0.26)</f>
        <v>0.26</v>
      </c>
      <c r="M131">
        <f>IFERROR(__xludf.DUMMYFUNCTION("""COMPUTED_VALUE"""),3.63)</f>
        <v>3.63</v>
      </c>
      <c r="N131">
        <f>IFERROR(__xludf.DUMMYFUNCTION("""COMPUTED_VALUE"""),0.53)</f>
        <v>0.53</v>
      </c>
      <c r="O131">
        <f>IFERROR(__xludf.DUMMYFUNCTION("""COMPUTED_VALUE"""),0.74)</f>
        <v>0.74</v>
      </c>
    </row>
    <row r="132">
      <c r="A132" t="str">
        <f>IFERROR(__xludf.DUMMYFUNCTION("""COMPUTED_VALUE"""),"Chauche")</f>
        <v>Chauche</v>
      </c>
      <c r="B132" t="str">
        <f>IFERROR(__xludf.DUMMYFUNCTION("""COMPUTED_VALUE"""),"Florian Chauche")</f>
        <v>Florian Chauche</v>
      </c>
      <c r="C132">
        <f>IFERROR(__xludf.DUMMYFUNCTION("""COMPUTED_VALUE"""),3.74)</f>
        <v>3.74</v>
      </c>
      <c r="D132">
        <f>IFERROR(__xludf.DUMMYFUNCTION("""COMPUTED_VALUE"""),7.37)</f>
        <v>7.37</v>
      </c>
      <c r="E132">
        <f>IFERROR(__xludf.DUMMYFUNCTION("""COMPUTED_VALUE"""),6.11)</f>
        <v>6.11</v>
      </c>
      <c r="F132">
        <f>IFERROR(__xludf.DUMMYFUNCTION("""COMPUTED_VALUE"""),4.74)</f>
        <v>4.74</v>
      </c>
      <c r="G132">
        <f>IFERROR(__xludf.DUMMYFUNCTION("""COMPUTED_VALUE"""),0.32)</f>
        <v>0.32</v>
      </c>
      <c r="H132">
        <f>IFERROR(__xludf.DUMMYFUNCTION("""COMPUTED_VALUE"""),14.84)</f>
        <v>14.84</v>
      </c>
      <c r="I132">
        <f>IFERROR(__xludf.DUMMYFUNCTION("""COMPUTED_VALUE"""),888.68)</f>
        <v>888.68</v>
      </c>
      <c r="J132">
        <f>IFERROR(__xludf.DUMMYFUNCTION("""COMPUTED_VALUE"""),28.95)</f>
        <v>28.95</v>
      </c>
      <c r="K132">
        <f>IFERROR(__xludf.DUMMYFUNCTION("""COMPUTED_VALUE"""),0.16)</f>
        <v>0.16</v>
      </c>
      <c r="L132">
        <f>IFERROR(__xludf.DUMMYFUNCTION("""COMPUTED_VALUE"""),0.16)</f>
        <v>0.16</v>
      </c>
      <c r="M132">
        <f>IFERROR(__xludf.DUMMYFUNCTION("""COMPUTED_VALUE"""),7.79)</f>
        <v>7.79</v>
      </c>
      <c r="N132">
        <f>IFERROR(__xludf.DUMMYFUNCTION("""COMPUTED_VALUE"""),3.68)</f>
        <v>3.68</v>
      </c>
      <c r="O132">
        <f>IFERROR(__xludf.DUMMYFUNCTION("""COMPUTED_VALUE"""),0.26)</f>
        <v>0.26</v>
      </c>
    </row>
    <row r="133">
      <c r="A133" t="str">
        <f>IFERROR(__xludf.DUMMYFUNCTION("""COMPUTED_VALUE"""),"Chenevard")</f>
        <v>Chenevard</v>
      </c>
      <c r="B133" t="str">
        <f>IFERROR(__xludf.DUMMYFUNCTION("""COMPUTED_VALUE"""),"Yannick Chenevard")</f>
        <v>Yannick Chenevard</v>
      </c>
      <c r="C133">
        <f>IFERROR(__xludf.DUMMYFUNCTION("""COMPUTED_VALUE"""),3.16)</f>
        <v>3.16</v>
      </c>
      <c r="D133">
        <f>IFERROR(__xludf.DUMMYFUNCTION("""COMPUTED_VALUE"""),4.89)</f>
        <v>4.89</v>
      </c>
      <c r="E133">
        <f>IFERROR(__xludf.DUMMYFUNCTION("""COMPUTED_VALUE"""),5.89)</f>
        <v>5.89</v>
      </c>
      <c r="F133">
        <f>IFERROR(__xludf.DUMMYFUNCTION("""COMPUTED_VALUE"""),2.95)</f>
        <v>2.95</v>
      </c>
      <c r="G133">
        <f>IFERROR(__xludf.DUMMYFUNCTION("""COMPUTED_VALUE"""),1.21)</f>
        <v>1.21</v>
      </c>
      <c r="H133">
        <f>IFERROR(__xludf.DUMMYFUNCTION("""COMPUTED_VALUE"""),2.74)</f>
        <v>2.74</v>
      </c>
      <c r="I133">
        <f>IFERROR(__xludf.DUMMYFUNCTION("""COMPUTED_VALUE"""),45.95)</f>
        <v>45.95</v>
      </c>
      <c r="J133">
        <f>IFERROR(__xludf.DUMMYFUNCTION("""COMPUTED_VALUE"""),15.63)</f>
        <v>15.63</v>
      </c>
      <c r="K133">
        <f>IFERROR(__xludf.DUMMYFUNCTION("""COMPUTED_VALUE"""),0.32)</f>
        <v>0.32</v>
      </c>
      <c r="L133">
        <f>IFERROR(__xludf.DUMMYFUNCTION("""COMPUTED_VALUE"""),0.05)</f>
        <v>0.05</v>
      </c>
      <c r="M133">
        <f>IFERROR(__xludf.DUMMYFUNCTION("""COMPUTED_VALUE"""),2.42)</f>
        <v>2.42</v>
      </c>
      <c r="N133">
        <f>IFERROR(__xludf.DUMMYFUNCTION("""COMPUTED_VALUE"""),0.21)</f>
        <v>0.21</v>
      </c>
      <c r="O133">
        <f>IFERROR(__xludf.DUMMYFUNCTION("""COMPUTED_VALUE"""),0.05)</f>
        <v>0.05</v>
      </c>
    </row>
    <row r="134">
      <c r="A134" t="str">
        <f>IFERROR(__xludf.DUMMYFUNCTION("""COMPUTED_VALUE"""),"Chenu")</f>
        <v>Chenu</v>
      </c>
      <c r="B134" t="str">
        <f>IFERROR(__xludf.DUMMYFUNCTION("""COMPUTED_VALUE"""),"Sébastien Chenu")</f>
        <v>Sébastien Chenu</v>
      </c>
      <c r="C134">
        <f>IFERROR(__xludf.DUMMYFUNCTION("""COMPUTED_VALUE"""),3.89)</f>
        <v>3.89</v>
      </c>
      <c r="D134">
        <f>IFERROR(__xludf.DUMMYFUNCTION("""COMPUTED_VALUE"""),6.58)</f>
        <v>6.58</v>
      </c>
      <c r="E134">
        <f>IFERROR(__xludf.DUMMYFUNCTION("""COMPUTED_VALUE"""),2.11)</f>
        <v>2.11</v>
      </c>
      <c r="F134">
        <f>IFERROR(__xludf.DUMMYFUNCTION("""COMPUTED_VALUE"""),117.42)</f>
        <v>117.42</v>
      </c>
      <c r="G134">
        <f>IFERROR(__xludf.DUMMYFUNCTION("""COMPUTED_VALUE"""),477.68)</f>
        <v>477.68</v>
      </c>
      <c r="H134">
        <f>IFERROR(__xludf.DUMMYFUNCTION("""COMPUTED_VALUE"""),5.63)</f>
        <v>5.63</v>
      </c>
      <c r="I134">
        <f>IFERROR(__xludf.DUMMYFUNCTION("""COMPUTED_VALUE"""),435.32)</f>
        <v>435.32</v>
      </c>
      <c r="J134">
        <f>IFERROR(__xludf.DUMMYFUNCTION("""COMPUTED_VALUE"""),5.26)</f>
        <v>5.26</v>
      </c>
      <c r="K134">
        <f>IFERROR(__xludf.DUMMYFUNCTION("""COMPUTED_VALUE"""),0.11)</f>
        <v>0.11</v>
      </c>
      <c r="L134">
        <f>IFERROR(__xludf.DUMMYFUNCTION("""COMPUTED_VALUE"""),0.42)</f>
        <v>0.42</v>
      </c>
      <c r="M134">
        <f>IFERROR(__xludf.DUMMYFUNCTION("""COMPUTED_VALUE"""),7.26)</f>
        <v>7.26</v>
      </c>
      <c r="N134">
        <f>IFERROR(__xludf.DUMMYFUNCTION("""COMPUTED_VALUE"""),3.32)</f>
        <v>3.32</v>
      </c>
      <c r="O134">
        <f>IFERROR(__xludf.DUMMYFUNCTION("""COMPUTED_VALUE"""),0.42)</f>
        <v>0.42</v>
      </c>
    </row>
    <row r="135">
      <c r="A135" t="str">
        <f>IFERROR(__xludf.DUMMYFUNCTION("""COMPUTED_VALUE"""),"Chikirou")</f>
        <v>Chikirou</v>
      </c>
      <c r="B135" t="str">
        <f>IFERROR(__xludf.DUMMYFUNCTION("""COMPUTED_VALUE"""),"Sophia Chikirou")</f>
        <v>Sophia Chikirou</v>
      </c>
      <c r="C135">
        <f>IFERROR(__xludf.DUMMYFUNCTION("""COMPUTED_VALUE"""),3.84)</f>
        <v>3.84</v>
      </c>
      <c r="D135">
        <f>IFERROR(__xludf.DUMMYFUNCTION("""COMPUTED_VALUE"""),5.47)</f>
        <v>5.47</v>
      </c>
      <c r="E135">
        <f>IFERROR(__xludf.DUMMYFUNCTION("""COMPUTED_VALUE"""),11.47)</f>
        <v>11.47</v>
      </c>
      <c r="F135">
        <f>IFERROR(__xludf.DUMMYFUNCTION("""COMPUTED_VALUE"""),31.68)</f>
        <v>31.68</v>
      </c>
      <c r="G135">
        <f>IFERROR(__xludf.DUMMYFUNCTION("""COMPUTED_VALUE"""),62.63)</f>
        <v>62.63</v>
      </c>
      <c r="H135">
        <f>IFERROR(__xludf.DUMMYFUNCTION("""COMPUTED_VALUE"""),17.42)</f>
        <v>17.42</v>
      </c>
      <c r="I135">
        <f>IFERROR(__xludf.DUMMYFUNCTION("""COMPUTED_VALUE"""),889.58)</f>
        <v>889.58</v>
      </c>
      <c r="J135">
        <f>IFERROR(__xludf.DUMMYFUNCTION("""COMPUTED_VALUE"""),28.79)</f>
        <v>28.79</v>
      </c>
      <c r="K135">
        <f>IFERROR(__xludf.DUMMYFUNCTION("""COMPUTED_VALUE"""),0.11)</f>
        <v>0.11</v>
      </c>
      <c r="L135">
        <f>IFERROR(__xludf.DUMMYFUNCTION("""COMPUTED_VALUE"""),0.21)</f>
        <v>0.21</v>
      </c>
      <c r="M135">
        <f>IFERROR(__xludf.DUMMYFUNCTION("""COMPUTED_VALUE"""),7.37)</f>
        <v>7.37</v>
      </c>
      <c r="N135">
        <f>IFERROR(__xludf.DUMMYFUNCTION("""COMPUTED_VALUE"""),0.84)</f>
        <v>0.84</v>
      </c>
      <c r="O135">
        <f>IFERROR(__xludf.DUMMYFUNCTION("""COMPUTED_VALUE"""),0.26)</f>
        <v>0.26</v>
      </c>
    </row>
    <row r="136">
      <c r="A136" t="str">
        <f>IFERROR(__xludf.DUMMYFUNCTION("""COMPUTED_VALUE"""),"Christophe")</f>
        <v>Christophe</v>
      </c>
      <c r="B136" t="str">
        <f>IFERROR(__xludf.DUMMYFUNCTION("""COMPUTED_VALUE"""),"Paul Christophe")</f>
        <v>Paul Christophe</v>
      </c>
      <c r="C136">
        <f>IFERROR(__xludf.DUMMYFUNCTION("""COMPUTED_VALUE"""),3.84)</f>
        <v>3.84</v>
      </c>
      <c r="D136">
        <f>IFERROR(__xludf.DUMMYFUNCTION("""COMPUTED_VALUE"""),7.47)</f>
        <v>7.47</v>
      </c>
      <c r="E136">
        <f>IFERROR(__xludf.DUMMYFUNCTION("""COMPUTED_VALUE"""),32.79)</f>
        <v>32.79</v>
      </c>
      <c r="F136">
        <f>IFERROR(__xludf.DUMMYFUNCTION("""COMPUTED_VALUE"""),27.0)</f>
        <v>27</v>
      </c>
      <c r="G136">
        <f>IFERROR(__xludf.DUMMYFUNCTION("""COMPUTED_VALUE"""),16.37)</f>
        <v>16.37</v>
      </c>
      <c r="H136">
        <f>IFERROR(__xludf.DUMMYFUNCTION("""COMPUTED_VALUE"""),20.68)</f>
        <v>20.68</v>
      </c>
      <c r="I136">
        <f>IFERROR(__xludf.DUMMYFUNCTION("""COMPUTED_VALUE"""),69.11)</f>
        <v>69.11</v>
      </c>
      <c r="J136">
        <f>IFERROR(__xludf.DUMMYFUNCTION("""COMPUTED_VALUE"""),23.84)</f>
        <v>23.84</v>
      </c>
      <c r="K136">
        <f>IFERROR(__xludf.DUMMYFUNCTION("""COMPUTED_VALUE"""),0.79)</f>
        <v>0.79</v>
      </c>
      <c r="L136">
        <f>IFERROR(__xludf.DUMMYFUNCTION("""COMPUTED_VALUE"""),0.37)</f>
        <v>0.37</v>
      </c>
      <c r="M136">
        <f>IFERROR(__xludf.DUMMYFUNCTION("""COMPUTED_VALUE"""),3.0)</f>
        <v>3</v>
      </c>
      <c r="N136">
        <f>IFERROR(__xludf.DUMMYFUNCTION("""COMPUTED_VALUE"""),1.47)</f>
        <v>1.47</v>
      </c>
      <c r="O136">
        <f>IFERROR(__xludf.DUMMYFUNCTION("""COMPUTED_VALUE"""),0.37)</f>
        <v>0.37</v>
      </c>
    </row>
    <row r="137">
      <c r="A137" t="str">
        <f>IFERROR(__xludf.DUMMYFUNCTION("""COMPUTED_VALUE"""),"Chudeau")</f>
        <v>Chudeau</v>
      </c>
      <c r="B137" t="str">
        <f>IFERROR(__xludf.DUMMYFUNCTION("""COMPUTED_VALUE"""),"Roger Chudeau")</f>
        <v>Roger Chudeau</v>
      </c>
      <c r="C137">
        <f>IFERROR(__xludf.DUMMYFUNCTION("""COMPUTED_VALUE"""),4.05)</f>
        <v>4.05</v>
      </c>
      <c r="D137">
        <f>IFERROR(__xludf.DUMMYFUNCTION("""COMPUTED_VALUE"""),7.47)</f>
        <v>7.47</v>
      </c>
      <c r="E137">
        <f>IFERROR(__xludf.DUMMYFUNCTION("""COMPUTED_VALUE"""),8.63)</f>
        <v>8.63</v>
      </c>
      <c r="F137">
        <f>IFERROR(__xludf.DUMMYFUNCTION("""COMPUTED_VALUE"""),8.32)</f>
        <v>8.32</v>
      </c>
      <c r="G137">
        <f>IFERROR(__xludf.DUMMYFUNCTION("""COMPUTED_VALUE"""),5.21)</f>
        <v>5.21</v>
      </c>
      <c r="H137">
        <f>IFERROR(__xludf.DUMMYFUNCTION("""COMPUTED_VALUE"""),7.37)</f>
        <v>7.37</v>
      </c>
      <c r="I137">
        <f>IFERROR(__xludf.DUMMYFUNCTION("""COMPUTED_VALUE"""),443.32)</f>
        <v>443.32</v>
      </c>
      <c r="J137">
        <f>IFERROR(__xludf.DUMMYFUNCTION("""COMPUTED_VALUE"""),5.37)</f>
        <v>5.37</v>
      </c>
      <c r="K137">
        <f>IFERROR(__xludf.DUMMYFUNCTION("""COMPUTED_VALUE"""),0.11)</f>
        <v>0.11</v>
      </c>
      <c r="L137">
        <f>IFERROR(__xludf.DUMMYFUNCTION("""COMPUTED_VALUE"""),0.53)</f>
        <v>0.53</v>
      </c>
      <c r="M137">
        <f>IFERROR(__xludf.DUMMYFUNCTION("""COMPUTED_VALUE"""),6.26)</f>
        <v>6.26</v>
      </c>
      <c r="N137">
        <f>IFERROR(__xludf.DUMMYFUNCTION("""COMPUTED_VALUE"""),2.42)</f>
        <v>2.42</v>
      </c>
      <c r="O137">
        <f>IFERROR(__xludf.DUMMYFUNCTION("""COMPUTED_VALUE"""),0.42)</f>
        <v>0.42</v>
      </c>
    </row>
    <row r="138">
      <c r="A138" t="str">
        <f>IFERROR(__xludf.DUMMYFUNCTION("""COMPUTED_VALUE"""),"Cinieri")</f>
        <v>Cinieri</v>
      </c>
      <c r="B138" t="str">
        <f>IFERROR(__xludf.DUMMYFUNCTION("""COMPUTED_VALUE"""),"Dino Cinieri")</f>
        <v>Dino Cinieri</v>
      </c>
      <c r="C138">
        <f>IFERROR(__xludf.DUMMYFUNCTION("""COMPUTED_VALUE"""),3.79)</f>
        <v>3.79</v>
      </c>
      <c r="D138">
        <f>IFERROR(__xludf.DUMMYFUNCTION("""COMPUTED_VALUE"""),10.79)</f>
        <v>10.79</v>
      </c>
      <c r="E138">
        <f>IFERROR(__xludf.DUMMYFUNCTION("""COMPUTED_VALUE"""),7.0)</f>
        <v>7</v>
      </c>
      <c r="F138">
        <f>IFERROR(__xludf.DUMMYFUNCTION("""COMPUTED_VALUE"""),12.21)</f>
        <v>12.21</v>
      </c>
      <c r="G138">
        <f>IFERROR(__xludf.DUMMYFUNCTION("""COMPUTED_VALUE"""),10.0)</f>
        <v>10</v>
      </c>
      <c r="H138">
        <f>IFERROR(__xludf.DUMMYFUNCTION("""COMPUTED_VALUE"""),57.57)</f>
        <v>57.57</v>
      </c>
      <c r="I138">
        <f>IFERROR(__xludf.DUMMYFUNCTION("""COMPUTED_VALUE"""),533.07)</f>
        <v>533.07</v>
      </c>
      <c r="J138">
        <f>IFERROR(__xludf.DUMMYFUNCTION("""COMPUTED_VALUE"""),17.0)</f>
        <v>17</v>
      </c>
      <c r="K138">
        <f>IFERROR(__xludf.DUMMYFUNCTION("""COMPUTED_VALUE"""),0.0)</f>
        <v>0</v>
      </c>
      <c r="L138">
        <f>IFERROR(__xludf.DUMMYFUNCTION("""COMPUTED_VALUE"""),0.5)</f>
        <v>0.5</v>
      </c>
      <c r="M138">
        <f>IFERROR(__xludf.DUMMYFUNCTION("""COMPUTED_VALUE"""),7.86)</f>
        <v>7.86</v>
      </c>
      <c r="N138">
        <f>IFERROR(__xludf.DUMMYFUNCTION("""COMPUTED_VALUE"""),4.21)</f>
        <v>4.21</v>
      </c>
      <c r="O138">
        <f>IFERROR(__xludf.DUMMYFUNCTION("""COMPUTED_VALUE"""),0.21)</f>
        <v>0.21</v>
      </c>
    </row>
    <row r="139">
      <c r="A139" t="str">
        <f>IFERROR(__xludf.DUMMYFUNCTION("""COMPUTED_VALUE"""),"Ciotti")</f>
        <v>Ciotti</v>
      </c>
      <c r="B139" t="str">
        <f>IFERROR(__xludf.DUMMYFUNCTION("""COMPUTED_VALUE"""),"Éric Ciotti")</f>
        <v>Éric Ciotti</v>
      </c>
      <c r="C139">
        <f>IFERROR(__xludf.DUMMYFUNCTION("""COMPUTED_VALUE"""),4.0)</f>
        <v>4</v>
      </c>
      <c r="D139">
        <f>IFERROR(__xludf.DUMMYFUNCTION("""COMPUTED_VALUE"""),6.26)</f>
        <v>6.26</v>
      </c>
      <c r="E139">
        <f>IFERROR(__xludf.DUMMYFUNCTION("""COMPUTED_VALUE"""),1.95)</f>
        <v>1.95</v>
      </c>
      <c r="F139">
        <f>IFERROR(__xludf.DUMMYFUNCTION("""COMPUTED_VALUE"""),9.0)</f>
        <v>9</v>
      </c>
      <c r="G139">
        <f>IFERROR(__xludf.DUMMYFUNCTION("""COMPUTED_VALUE"""),7.53)</f>
        <v>7.53</v>
      </c>
      <c r="H139">
        <f>IFERROR(__xludf.DUMMYFUNCTION("""COMPUTED_VALUE"""),12.63)</f>
        <v>12.63</v>
      </c>
      <c r="I139">
        <f>IFERROR(__xludf.DUMMYFUNCTION("""COMPUTED_VALUE"""),86.16)</f>
        <v>86.16</v>
      </c>
      <c r="J139">
        <f>IFERROR(__xludf.DUMMYFUNCTION("""COMPUTED_VALUE"""),4.84)</f>
        <v>4.84</v>
      </c>
      <c r="K139">
        <f>IFERROR(__xludf.DUMMYFUNCTION("""COMPUTED_VALUE"""),0.11)</f>
        <v>0.11</v>
      </c>
      <c r="L139">
        <f>IFERROR(__xludf.DUMMYFUNCTION("""COMPUTED_VALUE"""),0.74)</f>
        <v>0.74</v>
      </c>
      <c r="M139">
        <f>IFERROR(__xludf.DUMMYFUNCTION("""COMPUTED_VALUE"""),5.0)</f>
        <v>5</v>
      </c>
      <c r="N139">
        <f>IFERROR(__xludf.DUMMYFUNCTION("""COMPUTED_VALUE"""),2.26)</f>
        <v>2.26</v>
      </c>
      <c r="O139">
        <f>IFERROR(__xludf.DUMMYFUNCTION("""COMPUTED_VALUE"""),0.42)</f>
        <v>0.42</v>
      </c>
    </row>
    <row r="140">
      <c r="A140" t="str">
        <f>IFERROR(__xludf.DUMMYFUNCTION("""COMPUTED_VALUE"""),"Clapot")</f>
        <v>Clapot</v>
      </c>
      <c r="B140" t="str">
        <f>IFERROR(__xludf.DUMMYFUNCTION("""COMPUTED_VALUE"""),"Mireille Clapot")</f>
        <v>Mireille Clapot</v>
      </c>
      <c r="C140">
        <f>IFERROR(__xludf.DUMMYFUNCTION("""COMPUTED_VALUE"""),3.74)</f>
        <v>3.74</v>
      </c>
      <c r="D140">
        <f>IFERROR(__xludf.DUMMYFUNCTION("""COMPUTED_VALUE"""),10.58)</f>
        <v>10.58</v>
      </c>
      <c r="E140">
        <f>IFERROR(__xludf.DUMMYFUNCTION("""COMPUTED_VALUE"""),12.79)</f>
        <v>12.79</v>
      </c>
      <c r="F140">
        <f>IFERROR(__xludf.DUMMYFUNCTION("""COMPUTED_VALUE"""),3.47)</f>
        <v>3.47</v>
      </c>
      <c r="G140">
        <f>IFERROR(__xludf.DUMMYFUNCTION("""COMPUTED_VALUE"""),0.42)</f>
        <v>0.42</v>
      </c>
      <c r="H140">
        <f>IFERROR(__xludf.DUMMYFUNCTION("""COMPUTED_VALUE"""),7.53)</f>
        <v>7.53</v>
      </c>
      <c r="I140">
        <f>IFERROR(__xludf.DUMMYFUNCTION("""COMPUTED_VALUE"""),96.79)</f>
        <v>96.79</v>
      </c>
      <c r="J140">
        <f>IFERROR(__xludf.DUMMYFUNCTION("""COMPUTED_VALUE"""),18.89)</f>
        <v>18.89</v>
      </c>
      <c r="K140">
        <f>IFERROR(__xludf.DUMMYFUNCTION("""COMPUTED_VALUE"""),0.37)</f>
        <v>0.37</v>
      </c>
      <c r="L140">
        <f>IFERROR(__xludf.DUMMYFUNCTION("""COMPUTED_VALUE"""),0.05)</f>
        <v>0.05</v>
      </c>
      <c r="M140">
        <f>IFERROR(__xludf.DUMMYFUNCTION("""COMPUTED_VALUE"""),2.32)</f>
        <v>2.32</v>
      </c>
      <c r="N140">
        <f>IFERROR(__xludf.DUMMYFUNCTION("""COMPUTED_VALUE"""),0.42)</f>
        <v>0.42</v>
      </c>
      <c r="O140">
        <f>IFERROR(__xludf.DUMMYFUNCTION("""COMPUTED_VALUE"""),0.16)</f>
        <v>0.16</v>
      </c>
    </row>
    <row r="141">
      <c r="A141" t="str">
        <f>IFERROR(__xludf.DUMMYFUNCTION("""COMPUTED_VALUE"""),"Clouet")</f>
        <v>Clouet</v>
      </c>
      <c r="B141" t="str">
        <f>IFERROR(__xludf.DUMMYFUNCTION("""COMPUTED_VALUE"""),"Hadrien Clouet")</f>
        <v>Hadrien Clouet</v>
      </c>
      <c r="C141">
        <f>IFERROR(__xludf.DUMMYFUNCTION("""COMPUTED_VALUE"""),4.05)</f>
        <v>4.05</v>
      </c>
      <c r="D141">
        <f>IFERROR(__xludf.DUMMYFUNCTION("""COMPUTED_VALUE"""),7.32)</f>
        <v>7.32</v>
      </c>
      <c r="E141">
        <f>IFERROR(__xludf.DUMMYFUNCTION("""COMPUTED_VALUE"""),26.68)</f>
        <v>26.68</v>
      </c>
      <c r="F141">
        <f>IFERROR(__xludf.DUMMYFUNCTION("""COMPUTED_VALUE"""),49.53)</f>
        <v>49.53</v>
      </c>
      <c r="G141">
        <f>IFERROR(__xludf.DUMMYFUNCTION("""COMPUTED_VALUE"""),46.42)</f>
        <v>46.42</v>
      </c>
      <c r="H141">
        <f>IFERROR(__xludf.DUMMYFUNCTION("""COMPUTED_VALUE"""),103.89)</f>
        <v>103.89</v>
      </c>
      <c r="I141">
        <f>IFERROR(__xludf.DUMMYFUNCTION("""COMPUTED_VALUE"""),894.74)</f>
        <v>894.74</v>
      </c>
      <c r="J141">
        <f>IFERROR(__xludf.DUMMYFUNCTION("""COMPUTED_VALUE"""),29.11)</f>
        <v>29.11</v>
      </c>
      <c r="K141">
        <f>IFERROR(__xludf.DUMMYFUNCTION("""COMPUTED_VALUE"""),0.11)</f>
        <v>0.11</v>
      </c>
      <c r="L141">
        <f>IFERROR(__xludf.DUMMYFUNCTION("""COMPUTED_VALUE"""),0.63)</f>
        <v>0.63</v>
      </c>
      <c r="M141">
        <f>IFERROR(__xludf.DUMMYFUNCTION("""COMPUTED_VALUE"""),8.05)</f>
        <v>8.05</v>
      </c>
      <c r="N141">
        <f>IFERROR(__xludf.DUMMYFUNCTION("""COMPUTED_VALUE"""),4.05)</f>
        <v>4.05</v>
      </c>
      <c r="O141">
        <f>IFERROR(__xludf.DUMMYFUNCTION("""COMPUTED_VALUE"""),0.26)</f>
        <v>0.26</v>
      </c>
    </row>
    <row r="142">
      <c r="A142" t="str">
        <f>IFERROR(__xludf.DUMMYFUNCTION("""COMPUTED_VALUE"""),"Colboc")</f>
        <v>Colboc</v>
      </c>
      <c r="B142" t="str">
        <f>IFERROR(__xludf.DUMMYFUNCTION("""COMPUTED_VALUE"""),"Fabienne Colboc")</f>
        <v>Fabienne Colboc</v>
      </c>
      <c r="C142">
        <f>IFERROR(__xludf.DUMMYFUNCTION("""COMPUTED_VALUE"""),4.05)</f>
        <v>4.05</v>
      </c>
      <c r="D142">
        <f>IFERROR(__xludf.DUMMYFUNCTION("""COMPUTED_VALUE"""),9.0)</f>
        <v>9</v>
      </c>
      <c r="E142">
        <f>IFERROR(__xludf.DUMMYFUNCTION("""COMPUTED_VALUE"""),10.84)</f>
        <v>10.84</v>
      </c>
      <c r="F142">
        <f>IFERROR(__xludf.DUMMYFUNCTION("""COMPUTED_VALUE"""),3.68)</f>
        <v>3.68</v>
      </c>
      <c r="G142">
        <f>IFERROR(__xludf.DUMMYFUNCTION("""COMPUTED_VALUE"""),1.37)</f>
        <v>1.37</v>
      </c>
      <c r="H142">
        <f>IFERROR(__xludf.DUMMYFUNCTION("""COMPUTED_VALUE"""),7.32)</f>
        <v>7.32</v>
      </c>
      <c r="I142">
        <f>IFERROR(__xludf.DUMMYFUNCTION("""COMPUTED_VALUE"""),72.74)</f>
        <v>72.74</v>
      </c>
      <c r="J142">
        <f>IFERROR(__xludf.DUMMYFUNCTION("""COMPUTED_VALUE"""),18.47)</f>
        <v>18.47</v>
      </c>
      <c r="K142">
        <f>IFERROR(__xludf.DUMMYFUNCTION("""COMPUTED_VALUE"""),0.47)</f>
        <v>0.47</v>
      </c>
      <c r="L142">
        <f>IFERROR(__xludf.DUMMYFUNCTION("""COMPUTED_VALUE"""),0.05)</f>
        <v>0.05</v>
      </c>
      <c r="M142">
        <f>IFERROR(__xludf.DUMMYFUNCTION("""COMPUTED_VALUE"""),2.53)</f>
        <v>2.53</v>
      </c>
      <c r="N142">
        <f>IFERROR(__xludf.DUMMYFUNCTION("""COMPUTED_VALUE"""),0.32)</f>
        <v>0.32</v>
      </c>
      <c r="O142">
        <f>IFERROR(__xludf.DUMMYFUNCTION("""COMPUTED_VALUE"""),0.21)</f>
        <v>0.21</v>
      </c>
    </row>
    <row r="143">
      <c r="A143" t="str">
        <f>IFERROR(__xludf.DUMMYFUNCTION("""COMPUTED_VALUE"""),"Colomb-Pitollat")</f>
        <v>Colomb-Pitollat</v>
      </c>
      <c r="B143" t="str">
        <f>IFERROR(__xludf.DUMMYFUNCTION("""COMPUTED_VALUE"""),"Claire Colomb-Pitollat")</f>
        <v>Claire Colomb-Pitollat</v>
      </c>
      <c r="C143">
        <f>IFERROR(__xludf.DUMMYFUNCTION("""COMPUTED_VALUE"""),3.21)</f>
        <v>3.21</v>
      </c>
      <c r="D143">
        <f>IFERROR(__xludf.DUMMYFUNCTION("""COMPUTED_VALUE"""),4.11)</f>
        <v>4.11</v>
      </c>
      <c r="E143">
        <f>IFERROR(__xludf.DUMMYFUNCTION("""COMPUTED_VALUE"""),1.16)</f>
        <v>1.16</v>
      </c>
      <c r="F143">
        <f>IFERROR(__xludf.DUMMYFUNCTION("""COMPUTED_VALUE"""),0.58)</f>
        <v>0.58</v>
      </c>
      <c r="G143">
        <f>IFERROR(__xludf.DUMMYFUNCTION("""COMPUTED_VALUE"""),0.0)</f>
        <v>0</v>
      </c>
      <c r="H143">
        <f>IFERROR(__xludf.DUMMYFUNCTION("""COMPUTED_VALUE"""),2.16)</f>
        <v>2.16</v>
      </c>
      <c r="I143">
        <f>IFERROR(__xludf.DUMMYFUNCTION("""COMPUTED_VALUE"""),67.11)</f>
        <v>67.11</v>
      </c>
      <c r="J143">
        <f>IFERROR(__xludf.DUMMYFUNCTION("""COMPUTED_VALUE"""),17.42)</f>
        <v>17.42</v>
      </c>
      <c r="K143">
        <f>IFERROR(__xludf.DUMMYFUNCTION("""COMPUTED_VALUE"""),0.0)</f>
        <v>0</v>
      </c>
      <c r="L143">
        <f>IFERROR(__xludf.DUMMYFUNCTION("""COMPUTED_VALUE"""),0.0)</f>
        <v>0</v>
      </c>
      <c r="M143">
        <f>IFERROR(__xludf.DUMMYFUNCTION("""COMPUTED_VALUE"""),2.21)</f>
        <v>2.21</v>
      </c>
      <c r="N143">
        <f>IFERROR(__xludf.DUMMYFUNCTION("""COMPUTED_VALUE"""),0.26)</f>
        <v>0.26</v>
      </c>
      <c r="O143">
        <f>IFERROR(__xludf.DUMMYFUNCTION("""COMPUTED_VALUE"""),0.05)</f>
        <v>0.05</v>
      </c>
    </row>
    <row r="144">
      <c r="A144" t="str">
        <f>IFERROR(__xludf.DUMMYFUNCTION("""COMPUTED_VALUE"""),"Colombani")</f>
        <v>Colombani</v>
      </c>
      <c r="B144" t="str">
        <f>IFERROR(__xludf.DUMMYFUNCTION("""COMPUTED_VALUE"""),"Paul-André Colombani")</f>
        <v>Paul-André Colombani</v>
      </c>
      <c r="C144">
        <f>IFERROR(__xludf.DUMMYFUNCTION("""COMPUTED_VALUE"""),3.37)</f>
        <v>3.37</v>
      </c>
      <c r="D144">
        <f>IFERROR(__xludf.DUMMYFUNCTION("""COMPUTED_VALUE"""),4.37)</f>
        <v>4.37</v>
      </c>
      <c r="E144">
        <f>IFERROR(__xludf.DUMMYFUNCTION("""COMPUTED_VALUE"""),7.42)</f>
        <v>7.42</v>
      </c>
      <c r="F144">
        <f>IFERROR(__xludf.DUMMYFUNCTION("""COMPUTED_VALUE"""),6.68)</f>
        <v>6.68</v>
      </c>
      <c r="G144">
        <f>IFERROR(__xludf.DUMMYFUNCTION("""COMPUTED_VALUE"""),0.37)</f>
        <v>0.37</v>
      </c>
      <c r="H144">
        <f>IFERROR(__xludf.DUMMYFUNCTION("""COMPUTED_VALUE"""),22.32)</f>
        <v>22.32</v>
      </c>
      <c r="I144">
        <f>IFERROR(__xludf.DUMMYFUNCTION("""COMPUTED_VALUE"""),227.0)</f>
        <v>227</v>
      </c>
      <c r="J144">
        <f>IFERROR(__xludf.DUMMYFUNCTION("""COMPUTED_VALUE"""),15.16)</f>
        <v>15.16</v>
      </c>
      <c r="K144">
        <f>IFERROR(__xludf.DUMMYFUNCTION("""COMPUTED_VALUE"""),0.0)</f>
        <v>0</v>
      </c>
      <c r="L144">
        <f>IFERROR(__xludf.DUMMYFUNCTION("""COMPUTED_VALUE"""),0.16)</f>
        <v>0.16</v>
      </c>
      <c r="M144">
        <f>IFERROR(__xludf.DUMMYFUNCTION("""COMPUTED_VALUE"""),1.74)</f>
        <v>1.74</v>
      </c>
      <c r="N144">
        <f>IFERROR(__xludf.DUMMYFUNCTION("""COMPUTED_VALUE"""),2.53)</f>
        <v>2.53</v>
      </c>
      <c r="O144">
        <f>IFERROR(__xludf.DUMMYFUNCTION("""COMPUTED_VALUE"""),0.37)</f>
        <v>0.37</v>
      </c>
    </row>
    <row r="145">
      <c r="A145" t="str">
        <f>IFERROR(__xludf.DUMMYFUNCTION("""COMPUTED_VALUE"""),"Colombier")</f>
        <v>Colombier</v>
      </c>
      <c r="B145" t="str">
        <f>IFERROR(__xludf.DUMMYFUNCTION("""COMPUTED_VALUE"""),"Caroline Colombier")</f>
        <v>Caroline Colombier</v>
      </c>
      <c r="C145">
        <f>IFERROR(__xludf.DUMMYFUNCTION("""COMPUTED_VALUE"""),3.47)</f>
        <v>3.47</v>
      </c>
      <c r="D145">
        <f>IFERROR(__xludf.DUMMYFUNCTION("""COMPUTED_VALUE"""),7.58)</f>
        <v>7.58</v>
      </c>
      <c r="E145">
        <f>IFERROR(__xludf.DUMMYFUNCTION("""COMPUTED_VALUE"""),4.0)</f>
        <v>4</v>
      </c>
      <c r="F145">
        <f>IFERROR(__xludf.DUMMYFUNCTION("""COMPUTED_VALUE"""),4.21)</f>
        <v>4.21</v>
      </c>
      <c r="G145">
        <f>IFERROR(__xludf.DUMMYFUNCTION("""COMPUTED_VALUE"""),3.42)</f>
        <v>3.42</v>
      </c>
      <c r="H145">
        <f>IFERROR(__xludf.DUMMYFUNCTION("""COMPUTED_VALUE"""),9.21)</f>
        <v>9.21</v>
      </c>
      <c r="I145">
        <f>IFERROR(__xludf.DUMMYFUNCTION("""COMPUTED_VALUE"""),441.37)</f>
        <v>441.37</v>
      </c>
      <c r="J145">
        <f>IFERROR(__xludf.DUMMYFUNCTION("""COMPUTED_VALUE"""),6.53)</f>
        <v>6.53</v>
      </c>
      <c r="K145">
        <f>IFERROR(__xludf.DUMMYFUNCTION("""COMPUTED_VALUE"""),0.0)</f>
        <v>0</v>
      </c>
      <c r="L145">
        <f>IFERROR(__xludf.DUMMYFUNCTION("""COMPUTED_VALUE"""),0.26)</f>
        <v>0.26</v>
      </c>
      <c r="M145">
        <f>IFERROR(__xludf.DUMMYFUNCTION("""COMPUTED_VALUE"""),6.0)</f>
        <v>6</v>
      </c>
      <c r="N145">
        <f>IFERROR(__xludf.DUMMYFUNCTION("""COMPUTED_VALUE"""),5.26)</f>
        <v>5.26</v>
      </c>
      <c r="O145">
        <f>IFERROR(__xludf.DUMMYFUNCTION("""COMPUTED_VALUE"""),0.21)</f>
        <v>0.21</v>
      </c>
    </row>
    <row r="146">
      <c r="A146" t="str">
        <f>IFERROR(__xludf.DUMMYFUNCTION("""COMPUTED_VALUE"""),"Coquerel")</f>
        <v>Coquerel</v>
      </c>
      <c r="B146" t="str">
        <f>IFERROR(__xludf.DUMMYFUNCTION("""COMPUTED_VALUE"""),"Éric Coquerel")</f>
        <v>Éric Coquerel</v>
      </c>
      <c r="C146">
        <f>IFERROR(__xludf.DUMMYFUNCTION("""COMPUTED_VALUE"""),4.16)</f>
        <v>4.16</v>
      </c>
      <c r="D146">
        <f>IFERROR(__xludf.DUMMYFUNCTION("""COMPUTED_VALUE"""),13.84)</f>
        <v>13.84</v>
      </c>
      <c r="E146">
        <f>IFERROR(__xludf.DUMMYFUNCTION("""COMPUTED_VALUE"""),69.11)</f>
        <v>69.11</v>
      </c>
      <c r="F146">
        <f>IFERROR(__xludf.DUMMYFUNCTION("""COMPUTED_VALUE"""),50.79)</f>
        <v>50.79</v>
      </c>
      <c r="G146">
        <f>IFERROR(__xludf.DUMMYFUNCTION("""COMPUTED_VALUE"""),16.47)</f>
        <v>16.47</v>
      </c>
      <c r="H146">
        <f>IFERROR(__xludf.DUMMYFUNCTION("""COMPUTED_VALUE"""),23.47)</f>
        <v>23.47</v>
      </c>
      <c r="I146">
        <f>IFERROR(__xludf.DUMMYFUNCTION("""COMPUTED_VALUE"""),891.89)</f>
        <v>891.89</v>
      </c>
      <c r="J146">
        <f>IFERROR(__xludf.DUMMYFUNCTION("""COMPUTED_VALUE"""),29.21)</f>
        <v>29.21</v>
      </c>
      <c r="K146">
        <f>IFERROR(__xludf.DUMMYFUNCTION("""COMPUTED_VALUE"""),0.11)</f>
        <v>0.11</v>
      </c>
      <c r="L146">
        <f>IFERROR(__xludf.DUMMYFUNCTION("""COMPUTED_VALUE"""),0.11)</f>
        <v>0.11</v>
      </c>
      <c r="M146">
        <f>IFERROR(__xludf.DUMMYFUNCTION("""COMPUTED_VALUE"""),7.42)</f>
        <v>7.42</v>
      </c>
      <c r="N146">
        <f>IFERROR(__xludf.DUMMYFUNCTION("""COMPUTED_VALUE"""),0.63)</f>
        <v>0.63</v>
      </c>
      <c r="O146">
        <f>IFERROR(__xludf.DUMMYFUNCTION("""COMPUTED_VALUE"""),0.32)</f>
        <v>0.32</v>
      </c>
    </row>
    <row r="147">
      <c r="A147" t="str">
        <f>IFERROR(__xludf.DUMMYFUNCTION("""COMPUTED_VALUE"""),"Corbière")</f>
        <v>Corbière</v>
      </c>
      <c r="B147" t="str">
        <f>IFERROR(__xludf.DUMMYFUNCTION("""COMPUTED_VALUE"""),"Alexis Corbière")</f>
        <v>Alexis Corbière</v>
      </c>
      <c r="C147">
        <f>IFERROR(__xludf.DUMMYFUNCTION("""COMPUTED_VALUE"""),3.95)</f>
        <v>3.95</v>
      </c>
      <c r="D147">
        <f>IFERROR(__xludf.DUMMYFUNCTION("""COMPUTED_VALUE"""),4.68)</f>
        <v>4.68</v>
      </c>
      <c r="E147">
        <f>IFERROR(__xludf.DUMMYFUNCTION("""COMPUTED_VALUE"""),4.47)</f>
        <v>4.47</v>
      </c>
      <c r="F147">
        <f>IFERROR(__xludf.DUMMYFUNCTION("""COMPUTED_VALUE"""),15.79)</f>
        <v>15.79</v>
      </c>
      <c r="G147">
        <f>IFERROR(__xludf.DUMMYFUNCTION("""COMPUTED_VALUE"""),37.21)</f>
        <v>37.21</v>
      </c>
      <c r="H147">
        <f>IFERROR(__xludf.DUMMYFUNCTION("""COMPUTED_VALUE"""),7.42)</f>
        <v>7.42</v>
      </c>
      <c r="I147">
        <f>IFERROR(__xludf.DUMMYFUNCTION("""COMPUTED_VALUE"""),888.79)</f>
        <v>888.79</v>
      </c>
      <c r="J147">
        <f>IFERROR(__xludf.DUMMYFUNCTION("""COMPUTED_VALUE"""),28.79)</f>
        <v>28.79</v>
      </c>
      <c r="K147">
        <f>IFERROR(__xludf.DUMMYFUNCTION("""COMPUTED_VALUE"""),0.05)</f>
        <v>0.05</v>
      </c>
      <c r="L147">
        <f>IFERROR(__xludf.DUMMYFUNCTION("""COMPUTED_VALUE"""),0.26)</f>
        <v>0.26</v>
      </c>
      <c r="M147">
        <f>IFERROR(__xludf.DUMMYFUNCTION("""COMPUTED_VALUE"""),7.26)</f>
        <v>7.26</v>
      </c>
      <c r="N147">
        <f>IFERROR(__xludf.DUMMYFUNCTION("""COMPUTED_VALUE"""),1.79)</f>
        <v>1.79</v>
      </c>
      <c r="O147">
        <f>IFERROR(__xludf.DUMMYFUNCTION("""COMPUTED_VALUE"""),0.26)</f>
        <v>0.26</v>
      </c>
    </row>
    <row r="148">
      <c r="A148" t="str">
        <f>IFERROR(__xludf.DUMMYFUNCTION("""COMPUTED_VALUE"""),"Cordier")</f>
        <v>Cordier</v>
      </c>
      <c r="B148" t="str">
        <f>IFERROR(__xludf.DUMMYFUNCTION("""COMPUTED_VALUE"""),"Pierre Cordier")</f>
        <v>Pierre Cordier</v>
      </c>
      <c r="C148">
        <f>IFERROR(__xludf.DUMMYFUNCTION("""COMPUTED_VALUE"""),4.16)</f>
        <v>4.16</v>
      </c>
      <c r="D148">
        <f>IFERROR(__xludf.DUMMYFUNCTION("""COMPUTED_VALUE"""),9.53)</f>
        <v>9.53</v>
      </c>
      <c r="E148">
        <f>IFERROR(__xludf.DUMMYFUNCTION("""COMPUTED_VALUE"""),2.89)</f>
        <v>2.89</v>
      </c>
      <c r="F148">
        <f>IFERROR(__xludf.DUMMYFUNCTION("""COMPUTED_VALUE"""),4.21)</f>
        <v>4.21</v>
      </c>
      <c r="G148">
        <f>IFERROR(__xludf.DUMMYFUNCTION("""COMPUTED_VALUE"""),78.16)</f>
        <v>78.16</v>
      </c>
      <c r="H148">
        <f>IFERROR(__xludf.DUMMYFUNCTION("""COMPUTED_VALUE"""),25.0)</f>
        <v>25</v>
      </c>
      <c r="I148">
        <f>IFERROR(__xludf.DUMMYFUNCTION("""COMPUTED_VALUE"""),274.95)</f>
        <v>274.95</v>
      </c>
      <c r="J148">
        <f>IFERROR(__xludf.DUMMYFUNCTION("""COMPUTED_VALUE"""),10.42)</f>
        <v>10.42</v>
      </c>
      <c r="K148">
        <f>IFERROR(__xludf.DUMMYFUNCTION("""COMPUTED_VALUE"""),0.0)</f>
        <v>0</v>
      </c>
      <c r="L148">
        <f>IFERROR(__xludf.DUMMYFUNCTION("""COMPUTED_VALUE"""),0.53)</f>
        <v>0.53</v>
      </c>
      <c r="M148">
        <f>IFERROR(__xludf.DUMMYFUNCTION("""COMPUTED_VALUE"""),7.16)</f>
        <v>7.16</v>
      </c>
      <c r="N148">
        <f>IFERROR(__xludf.DUMMYFUNCTION("""COMPUTED_VALUE"""),4.47)</f>
        <v>4.47</v>
      </c>
      <c r="O148">
        <f>IFERROR(__xludf.DUMMYFUNCTION("""COMPUTED_VALUE"""),0.21)</f>
        <v>0.21</v>
      </c>
    </row>
    <row r="149">
      <c r="A149" t="str">
        <f>IFERROR(__xludf.DUMMYFUNCTION("""COMPUTED_VALUE"""),"Cormier-Bouligeon")</f>
        <v>Cormier-Bouligeon</v>
      </c>
      <c r="B149" t="str">
        <f>IFERROR(__xludf.DUMMYFUNCTION("""COMPUTED_VALUE"""),"François Cormier-Bouligeon")</f>
        <v>François Cormier-Bouligeon</v>
      </c>
      <c r="C149">
        <f>IFERROR(__xludf.DUMMYFUNCTION("""COMPUTED_VALUE"""),3.63)</f>
        <v>3.63</v>
      </c>
      <c r="D149">
        <f>IFERROR(__xludf.DUMMYFUNCTION("""COMPUTED_VALUE"""),4.0)</f>
        <v>4</v>
      </c>
      <c r="E149">
        <f>IFERROR(__xludf.DUMMYFUNCTION("""COMPUTED_VALUE"""),3.37)</f>
        <v>3.37</v>
      </c>
      <c r="F149">
        <f>IFERROR(__xludf.DUMMYFUNCTION("""COMPUTED_VALUE"""),3.89)</f>
        <v>3.89</v>
      </c>
      <c r="G149">
        <f>IFERROR(__xludf.DUMMYFUNCTION("""COMPUTED_VALUE"""),24.63)</f>
        <v>24.63</v>
      </c>
      <c r="H149">
        <f>IFERROR(__xludf.DUMMYFUNCTION("""COMPUTED_VALUE"""),4.84)</f>
        <v>4.84</v>
      </c>
      <c r="I149">
        <f>IFERROR(__xludf.DUMMYFUNCTION("""COMPUTED_VALUE"""),61.37)</f>
        <v>61.37</v>
      </c>
      <c r="J149">
        <f>IFERROR(__xludf.DUMMYFUNCTION("""COMPUTED_VALUE"""),14.63)</f>
        <v>14.63</v>
      </c>
      <c r="K149">
        <f>IFERROR(__xludf.DUMMYFUNCTION("""COMPUTED_VALUE"""),0.16)</f>
        <v>0.16</v>
      </c>
      <c r="L149">
        <f>IFERROR(__xludf.DUMMYFUNCTION("""COMPUTED_VALUE"""),0.05)</f>
        <v>0.05</v>
      </c>
      <c r="M149">
        <f>IFERROR(__xludf.DUMMYFUNCTION("""COMPUTED_VALUE"""),2.11)</f>
        <v>2.11</v>
      </c>
      <c r="N149">
        <f>IFERROR(__xludf.DUMMYFUNCTION("""COMPUTED_VALUE"""),0.26)</f>
        <v>0.26</v>
      </c>
      <c r="O149">
        <f>IFERROR(__xludf.DUMMYFUNCTION("""COMPUTED_VALUE"""),0.0)</f>
        <v>0</v>
      </c>
    </row>
    <row r="150">
      <c r="A150" t="str">
        <f>IFERROR(__xludf.DUMMYFUNCTION("""COMPUTED_VALUE"""),"Corneloup")</f>
        <v>Corneloup</v>
      </c>
      <c r="B150" t="str">
        <f>IFERROR(__xludf.DUMMYFUNCTION("""COMPUTED_VALUE"""),"Josiane Corneloup")</f>
        <v>Josiane Corneloup</v>
      </c>
      <c r="C150">
        <f>IFERROR(__xludf.DUMMYFUNCTION("""COMPUTED_VALUE"""),3.58)</f>
        <v>3.58</v>
      </c>
      <c r="D150">
        <f>IFERROR(__xludf.DUMMYFUNCTION("""COMPUTED_VALUE"""),6.37)</f>
        <v>6.37</v>
      </c>
      <c r="E150">
        <f>IFERROR(__xludf.DUMMYFUNCTION("""COMPUTED_VALUE"""),6.42)</f>
        <v>6.42</v>
      </c>
      <c r="F150">
        <f>IFERROR(__xludf.DUMMYFUNCTION("""COMPUTED_VALUE"""),7.42)</f>
        <v>7.42</v>
      </c>
      <c r="G150">
        <f>IFERROR(__xludf.DUMMYFUNCTION("""COMPUTED_VALUE"""),1.21)</f>
        <v>1.21</v>
      </c>
      <c r="H150">
        <f>IFERROR(__xludf.DUMMYFUNCTION("""COMPUTED_VALUE"""),52.11)</f>
        <v>52.11</v>
      </c>
      <c r="I150">
        <f>IFERROR(__xludf.DUMMYFUNCTION("""COMPUTED_VALUE"""),578.21)</f>
        <v>578.21</v>
      </c>
      <c r="J150">
        <f>IFERROR(__xludf.DUMMYFUNCTION("""COMPUTED_VALUE"""),17.84)</f>
        <v>17.84</v>
      </c>
      <c r="K150">
        <f>IFERROR(__xludf.DUMMYFUNCTION("""COMPUTED_VALUE"""),0.0)</f>
        <v>0</v>
      </c>
      <c r="L150">
        <f>IFERROR(__xludf.DUMMYFUNCTION("""COMPUTED_VALUE"""),0.47)</f>
        <v>0.47</v>
      </c>
      <c r="M150">
        <f>IFERROR(__xludf.DUMMYFUNCTION("""COMPUTED_VALUE"""),12.32)</f>
        <v>12.32</v>
      </c>
      <c r="N150">
        <f>IFERROR(__xludf.DUMMYFUNCTION("""COMPUTED_VALUE"""),3.53)</f>
        <v>3.53</v>
      </c>
      <c r="O150">
        <f>IFERROR(__xludf.DUMMYFUNCTION("""COMPUTED_VALUE"""),0.37)</f>
        <v>0.37</v>
      </c>
    </row>
    <row r="151">
      <c r="A151" t="str">
        <f>IFERROR(__xludf.DUMMYFUNCTION("""COMPUTED_VALUE"""),"Cosson")</f>
        <v>Cosson</v>
      </c>
      <c r="B151" t="str">
        <f>IFERROR(__xludf.DUMMYFUNCTION("""COMPUTED_VALUE"""),"Mickaël Cosson")</f>
        <v>Mickaël Cosson</v>
      </c>
      <c r="C151">
        <f>IFERROR(__xludf.DUMMYFUNCTION("""COMPUTED_VALUE"""),3.63)</f>
        <v>3.63</v>
      </c>
      <c r="D151">
        <f>IFERROR(__xludf.DUMMYFUNCTION("""COMPUTED_VALUE"""),6.74)</f>
        <v>6.74</v>
      </c>
      <c r="E151">
        <f>IFERROR(__xludf.DUMMYFUNCTION("""COMPUTED_VALUE"""),5.16)</f>
        <v>5.16</v>
      </c>
      <c r="F151">
        <f>IFERROR(__xludf.DUMMYFUNCTION("""COMPUTED_VALUE"""),1.53)</f>
        <v>1.53</v>
      </c>
      <c r="G151">
        <f>IFERROR(__xludf.DUMMYFUNCTION("""COMPUTED_VALUE"""),0.26)</f>
        <v>0.26</v>
      </c>
      <c r="H151">
        <f>IFERROR(__xludf.DUMMYFUNCTION("""COMPUTED_VALUE"""),2.47)</f>
        <v>2.47</v>
      </c>
      <c r="I151">
        <f>IFERROR(__xludf.DUMMYFUNCTION("""COMPUTED_VALUE"""),83.74)</f>
        <v>83.74</v>
      </c>
      <c r="J151">
        <f>IFERROR(__xludf.DUMMYFUNCTION("""COMPUTED_VALUE"""),16.53)</f>
        <v>16.53</v>
      </c>
      <c r="K151">
        <f>IFERROR(__xludf.DUMMYFUNCTION("""COMPUTED_VALUE"""),0.05)</f>
        <v>0.05</v>
      </c>
      <c r="L151">
        <f>IFERROR(__xludf.DUMMYFUNCTION("""COMPUTED_VALUE"""),0.0)</f>
        <v>0</v>
      </c>
      <c r="M151">
        <f>IFERROR(__xludf.DUMMYFUNCTION("""COMPUTED_VALUE"""),1.05)</f>
        <v>1.05</v>
      </c>
      <c r="N151">
        <f>IFERROR(__xludf.DUMMYFUNCTION("""COMPUTED_VALUE"""),0.05)</f>
        <v>0.05</v>
      </c>
      <c r="O151">
        <f>IFERROR(__xludf.DUMMYFUNCTION("""COMPUTED_VALUE"""),0.11)</f>
        <v>0.11</v>
      </c>
    </row>
    <row r="152">
      <c r="A152" t="str">
        <f>IFERROR(__xludf.DUMMYFUNCTION("""COMPUTED_VALUE"""),"Coulomme")</f>
        <v>Coulomme</v>
      </c>
      <c r="B152" t="str">
        <f>IFERROR(__xludf.DUMMYFUNCTION("""COMPUTED_VALUE"""),"Jean-François Coulomme")</f>
        <v>Jean-François Coulomme</v>
      </c>
      <c r="C152">
        <f>IFERROR(__xludf.DUMMYFUNCTION("""COMPUTED_VALUE"""),3.95)</f>
        <v>3.95</v>
      </c>
      <c r="D152">
        <f>IFERROR(__xludf.DUMMYFUNCTION("""COMPUTED_VALUE"""),6.89)</f>
        <v>6.89</v>
      </c>
      <c r="E152">
        <f>IFERROR(__xludf.DUMMYFUNCTION("""COMPUTED_VALUE"""),11.0)</f>
        <v>11</v>
      </c>
      <c r="F152">
        <f>IFERROR(__xludf.DUMMYFUNCTION("""COMPUTED_VALUE"""),22.21)</f>
        <v>22.21</v>
      </c>
      <c r="G152">
        <f>IFERROR(__xludf.DUMMYFUNCTION("""COMPUTED_VALUE"""),31.84)</f>
        <v>31.84</v>
      </c>
      <c r="H152">
        <f>IFERROR(__xludf.DUMMYFUNCTION("""COMPUTED_VALUE"""),26.42)</f>
        <v>26.42</v>
      </c>
      <c r="I152">
        <f>IFERROR(__xludf.DUMMYFUNCTION("""COMPUTED_VALUE"""),895.11)</f>
        <v>895.11</v>
      </c>
      <c r="J152">
        <f>IFERROR(__xludf.DUMMYFUNCTION("""COMPUTED_VALUE"""),28.79)</f>
        <v>28.79</v>
      </c>
      <c r="K152">
        <f>IFERROR(__xludf.DUMMYFUNCTION("""COMPUTED_VALUE"""),0.0)</f>
        <v>0</v>
      </c>
      <c r="L152">
        <f>IFERROR(__xludf.DUMMYFUNCTION("""COMPUTED_VALUE"""),0.21)</f>
        <v>0.21</v>
      </c>
      <c r="M152">
        <f>IFERROR(__xludf.DUMMYFUNCTION("""COMPUTED_VALUE"""),7.79)</f>
        <v>7.79</v>
      </c>
      <c r="N152">
        <f>IFERROR(__xludf.DUMMYFUNCTION("""COMPUTED_VALUE"""),0.58)</f>
        <v>0.58</v>
      </c>
      <c r="O152">
        <f>IFERROR(__xludf.DUMMYFUNCTION("""COMPUTED_VALUE"""),0.16)</f>
        <v>0.16</v>
      </c>
    </row>
    <row r="153">
      <c r="A153" t="str">
        <f>IFERROR(__xludf.DUMMYFUNCTION("""COMPUTED_VALUE"""),"Courson")</f>
        <v>Courson</v>
      </c>
      <c r="B153" t="str">
        <f>IFERROR(__xludf.DUMMYFUNCTION("""COMPUTED_VALUE"""),"Charles de Courson")</f>
        <v>Charles de Courson</v>
      </c>
      <c r="C153">
        <f>IFERROR(__xludf.DUMMYFUNCTION("""COMPUTED_VALUE"""),3.89)</f>
        <v>3.89</v>
      </c>
      <c r="D153">
        <f>IFERROR(__xludf.DUMMYFUNCTION("""COMPUTED_VALUE"""),9.79)</f>
        <v>9.79</v>
      </c>
      <c r="E153">
        <f>IFERROR(__xludf.DUMMYFUNCTION("""COMPUTED_VALUE"""),48.0)</f>
        <v>48</v>
      </c>
      <c r="F153">
        <f>IFERROR(__xludf.DUMMYFUNCTION("""COMPUTED_VALUE"""),39.84)</f>
        <v>39.84</v>
      </c>
      <c r="G153">
        <f>IFERROR(__xludf.DUMMYFUNCTION("""COMPUTED_VALUE"""),9.68)</f>
        <v>9.68</v>
      </c>
      <c r="H153">
        <f>IFERROR(__xludf.DUMMYFUNCTION("""COMPUTED_VALUE"""),54.89)</f>
        <v>54.89</v>
      </c>
      <c r="I153">
        <f>IFERROR(__xludf.DUMMYFUNCTION("""COMPUTED_VALUE"""),246.79)</f>
        <v>246.79</v>
      </c>
      <c r="J153">
        <f>IFERROR(__xludf.DUMMYFUNCTION("""COMPUTED_VALUE"""),15.74)</f>
        <v>15.74</v>
      </c>
      <c r="K153">
        <f>IFERROR(__xludf.DUMMYFUNCTION("""COMPUTED_VALUE"""),0.32)</f>
        <v>0.32</v>
      </c>
      <c r="L153">
        <f>IFERROR(__xludf.DUMMYFUNCTION("""COMPUTED_VALUE"""),0.05)</f>
        <v>0.05</v>
      </c>
      <c r="M153">
        <f>IFERROR(__xludf.DUMMYFUNCTION("""COMPUTED_VALUE"""),0.84)</f>
        <v>0.84</v>
      </c>
      <c r="N153">
        <f>IFERROR(__xludf.DUMMYFUNCTION("""COMPUTED_VALUE"""),0.47)</f>
        <v>0.47</v>
      </c>
      <c r="O153">
        <f>IFERROR(__xludf.DUMMYFUNCTION("""COMPUTED_VALUE"""),0.47)</f>
        <v>0.47</v>
      </c>
    </row>
    <row r="154">
      <c r="A154" t="str">
        <f>IFERROR(__xludf.DUMMYFUNCTION("""COMPUTED_VALUE"""),"Cousin")</f>
        <v>Cousin</v>
      </c>
      <c r="B154" t="str">
        <f>IFERROR(__xludf.DUMMYFUNCTION("""COMPUTED_VALUE"""),"Annick Cousin")</f>
        <v>Annick Cousin</v>
      </c>
      <c r="C154">
        <f>IFERROR(__xludf.DUMMYFUNCTION("""COMPUTED_VALUE"""),3.89)</f>
        <v>3.89</v>
      </c>
      <c r="D154">
        <f>IFERROR(__xludf.DUMMYFUNCTION("""COMPUTED_VALUE"""),9.26)</f>
        <v>9.26</v>
      </c>
      <c r="E154">
        <f>IFERROR(__xludf.DUMMYFUNCTION("""COMPUTED_VALUE"""),5.63)</f>
        <v>5.63</v>
      </c>
      <c r="F154">
        <f>IFERROR(__xludf.DUMMYFUNCTION("""COMPUTED_VALUE"""),2.21)</f>
        <v>2.21</v>
      </c>
      <c r="G154">
        <f>IFERROR(__xludf.DUMMYFUNCTION("""COMPUTED_VALUE"""),0.63)</f>
        <v>0.63</v>
      </c>
      <c r="H154">
        <f>IFERROR(__xludf.DUMMYFUNCTION("""COMPUTED_VALUE"""),5.89)</f>
        <v>5.89</v>
      </c>
      <c r="I154">
        <f>IFERROR(__xludf.DUMMYFUNCTION("""COMPUTED_VALUE"""),471.32)</f>
        <v>471.32</v>
      </c>
      <c r="J154">
        <f>IFERROR(__xludf.DUMMYFUNCTION("""COMPUTED_VALUE"""),6.63)</f>
        <v>6.63</v>
      </c>
      <c r="K154">
        <f>IFERROR(__xludf.DUMMYFUNCTION("""COMPUTED_VALUE"""),0.0)</f>
        <v>0</v>
      </c>
      <c r="L154">
        <f>IFERROR(__xludf.DUMMYFUNCTION("""COMPUTED_VALUE"""),0.05)</f>
        <v>0.05</v>
      </c>
      <c r="M154">
        <f>IFERROR(__xludf.DUMMYFUNCTION("""COMPUTED_VALUE"""),7.11)</f>
        <v>7.11</v>
      </c>
      <c r="N154">
        <f>IFERROR(__xludf.DUMMYFUNCTION("""COMPUTED_VALUE"""),2.32)</f>
        <v>2.32</v>
      </c>
      <c r="O154">
        <f>IFERROR(__xludf.DUMMYFUNCTION("""COMPUTED_VALUE"""),0.26)</f>
        <v>0.26</v>
      </c>
    </row>
    <row r="155">
      <c r="A155" t="str">
        <f>IFERROR(__xludf.DUMMYFUNCTION("""COMPUTED_VALUE"""),"Couturier")</f>
        <v>Couturier</v>
      </c>
      <c r="B155" t="str">
        <f>IFERROR(__xludf.DUMMYFUNCTION("""COMPUTED_VALUE"""),"Catherine Couturier")</f>
        <v>Catherine Couturier</v>
      </c>
      <c r="C155">
        <f>IFERROR(__xludf.DUMMYFUNCTION("""COMPUTED_VALUE"""),3.74)</f>
        <v>3.74</v>
      </c>
      <c r="D155">
        <f>IFERROR(__xludf.DUMMYFUNCTION("""COMPUTED_VALUE"""),6.68)</f>
        <v>6.68</v>
      </c>
      <c r="E155">
        <f>IFERROR(__xludf.DUMMYFUNCTION("""COMPUTED_VALUE"""),7.32)</f>
        <v>7.32</v>
      </c>
      <c r="F155">
        <f>IFERROR(__xludf.DUMMYFUNCTION("""COMPUTED_VALUE"""),13.63)</f>
        <v>13.63</v>
      </c>
      <c r="G155">
        <f>IFERROR(__xludf.DUMMYFUNCTION("""COMPUTED_VALUE"""),12.11)</f>
        <v>12.11</v>
      </c>
      <c r="H155">
        <f>IFERROR(__xludf.DUMMYFUNCTION("""COMPUTED_VALUE"""),14.68)</f>
        <v>14.68</v>
      </c>
      <c r="I155">
        <f>IFERROR(__xludf.DUMMYFUNCTION("""COMPUTED_VALUE"""),890.11)</f>
        <v>890.11</v>
      </c>
      <c r="J155">
        <f>IFERROR(__xludf.DUMMYFUNCTION("""COMPUTED_VALUE"""),28.84)</f>
        <v>28.84</v>
      </c>
      <c r="K155">
        <f>IFERROR(__xludf.DUMMYFUNCTION("""COMPUTED_VALUE"""),0.0)</f>
        <v>0</v>
      </c>
      <c r="L155">
        <f>IFERROR(__xludf.DUMMYFUNCTION("""COMPUTED_VALUE"""),0.21)</f>
        <v>0.21</v>
      </c>
      <c r="M155">
        <f>IFERROR(__xludf.DUMMYFUNCTION("""COMPUTED_VALUE"""),7.79)</f>
        <v>7.79</v>
      </c>
      <c r="N155">
        <f>IFERROR(__xludf.DUMMYFUNCTION("""COMPUTED_VALUE"""),2.32)</f>
        <v>2.32</v>
      </c>
      <c r="O155">
        <f>IFERROR(__xludf.DUMMYFUNCTION("""COMPUTED_VALUE"""),0.21)</f>
        <v>0.21</v>
      </c>
    </row>
    <row r="156">
      <c r="A156" t="str">
        <f>IFERROR(__xludf.DUMMYFUNCTION("""COMPUTED_VALUE"""),"Cristol")</f>
        <v>Cristol</v>
      </c>
      <c r="B156" t="str">
        <f>IFERROR(__xludf.DUMMYFUNCTION("""COMPUTED_VALUE"""),"Laurence Cristol")</f>
        <v>Laurence Cristol</v>
      </c>
      <c r="C156">
        <f>IFERROR(__xludf.DUMMYFUNCTION("""COMPUTED_VALUE"""),4.05)</f>
        <v>4.05</v>
      </c>
      <c r="D156">
        <f>IFERROR(__xludf.DUMMYFUNCTION("""COMPUTED_VALUE"""),10.16)</f>
        <v>10.16</v>
      </c>
      <c r="E156">
        <f>IFERROR(__xludf.DUMMYFUNCTION("""COMPUTED_VALUE"""),22.47)</f>
        <v>22.47</v>
      </c>
      <c r="F156">
        <f>IFERROR(__xludf.DUMMYFUNCTION("""COMPUTED_VALUE"""),13.63)</f>
        <v>13.63</v>
      </c>
      <c r="G156">
        <f>IFERROR(__xludf.DUMMYFUNCTION("""COMPUTED_VALUE"""),2.95)</f>
        <v>2.95</v>
      </c>
      <c r="H156">
        <f>IFERROR(__xludf.DUMMYFUNCTION("""COMPUTED_VALUE"""),7.21)</f>
        <v>7.21</v>
      </c>
      <c r="I156">
        <f>IFERROR(__xludf.DUMMYFUNCTION("""COMPUTED_VALUE"""),65.16)</f>
        <v>65.16</v>
      </c>
      <c r="J156">
        <f>IFERROR(__xludf.DUMMYFUNCTION("""COMPUTED_VALUE"""),20.16)</f>
        <v>20.16</v>
      </c>
      <c r="K156">
        <f>IFERROR(__xludf.DUMMYFUNCTION("""COMPUTED_VALUE"""),0.42)</f>
        <v>0.42</v>
      </c>
      <c r="L156">
        <f>IFERROR(__xludf.DUMMYFUNCTION("""COMPUTED_VALUE"""),0.05)</f>
        <v>0.05</v>
      </c>
      <c r="M156">
        <f>IFERROR(__xludf.DUMMYFUNCTION("""COMPUTED_VALUE"""),2.32)</f>
        <v>2.32</v>
      </c>
      <c r="N156">
        <f>IFERROR(__xludf.DUMMYFUNCTION("""COMPUTED_VALUE"""),0.47)</f>
        <v>0.47</v>
      </c>
      <c r="O156">
        <f>IFERROR(__xludf.DUMMYFUNCTION("""COMPUTED_VALUE"""),0.11)</f>
        <v>0.11</v>
      </c>
    </row>
    <row r="157">
      <c r="A157" t="str">
        <f>IFERROR(__xludf.DUMMYFUNCTION("""COMPUTED_VALUE"""),"Croizier")</f>
        <v>Croizier</v>
      </c>
      <c r="B157" t="str">
        <f>IFERROR(__xludf.DUMMYFUNCTION("""COMPUTED_VALUE"""),"Laurent Croizier")</f>
        <v>Laurent Croizier</v>
      </c>
      <c r="C157">
        <f>IFERROR(__xludf.DUMMYFUNCTION("""COMPUTED_VALUE"""),4.05)</f>
        <v>4.05</v>
      </c>
      <c r="D157">
        <f>IFERROR(__xludf.DUMMYFUNCTION("""COMPUTED_VALUE"""),5.95)</f>
        <v>5.95</v>
      </c>
      <c r="E157">
        <f>IFERROR(__xludf.DUMMYFUNCTION("""COMPUTED_VALUE"""),2.79)</f>
        <v>2.79</v>
      </c>
      <c r="F157">
        <f>IFERROR(__xludf.DUMMYFUNCTION("""COMPUTED_VALUE"""),2.68)</f>
        <v>2.68</v>
      </c>
      <c r="G157">
        <f>IFERROR(__xludf.DUMMYFUNCTION("""COMPUTED_VALUE"""),39.16)</f>
        <v>39.16</v>
      </c>
      <c r="H157">
        <f>IFERROR(__xludf.DUMMYFUNCTION("""COMPUTED_VALUE"""),3.42)</f>
        <v>3.42</v>
      </c>
      <c r="I157">
        <f>IFERROR(__xludf.DUMMYFUNCTION("""COMPUTED_VALUE"""),66.37)</f>
        <v>66.37</v>
      </c>
      <c r="J157">
        <f>IFERROR(__xludf.DUMMYFUNCTION("""COMPUTED_VALUE"""),14.37)</f>
        <v>14.37</v>
      </c>
      <c r="K157">
        <f>IFERROR(__xludf.DUMMYFUNCTION("""COMPUTED_VALUE"""),0.0)</f>
        <v>0</v>
      </c>
      <c r="L157">
        <f>IFERROR(__xludf.DUMMYFUNCTION("""COMPUTED_VALUE"""),0.0)</f>
        <v>0</v>
      </c>
      <c r="M157">
        <f>IFERROR(__xludf.DUMMYFUNCTION("""COMPUTED_VALUE"""),1.05)</f>
        <v>1.05</v>
      </c>
      <c r="N157">
        <f>IFERROR(__xludf.DUMMYFUNCTION("""COMPUTED_VALUE"""),1.47)</f>
        <v>1.47</v>
      </c>
      <c r="O157">
        <f>IFERROR(__xludf.DUMMYFUNCTION("""COMPUTED_VALUE"""),0.26)</f>
        <v>0.26</v>
      </c>
    </row>
    <row r="158">
      <c r="A158" t="str">
        <f>IFERROR(__xludf.DUMMYFUNCTION("""COMPUTED_VALUE"""),"Cubertafon")</f>
        <v>Cubertafon</v>
      </c>
      <c r="B158" t="str">
        <f>IFERROR(__xludf.DUMMYFUNCTION("""COMPUTED_VALUE"""),"Jean-Pierre Cubertafon")</f>
        <v>Jean-Pierre Cubertafon</v>
      </c>
      <c r="C158">
        <f>IFERROR(__xludf.DUMMYFUNCTION("""COMPUTED_VALUE"""),3.32)</f>
        <v>3.32</v>
      </c>
      <c r="D158">
        <f>IFERROR(__xludf.DUMMYFUNCTION("""COMPUTED_VALUE"""),5.79)</f>
        <v>5.79</v>
      </c>
      <c r="E158">
        <f>IFERROR(__xludf.DUMMYFUNCTION("""COMPUTED_VALUE"""),4.42)</f>
        <v>4.42</v>
      </c>
      <c r="F158">
        <f>IFERROR(__xludf.DUMMYFUNCTION("""COMPUTED_VALUE"""),0.95)</f>
        <v>0.95</v>
      </c>
      <c r="G158">
        <f>IFERROR(__xludf.DUMMYFUNCTION("""COMPUTED_VALUE"""),0.47)</f>
        <v>0.47</v>
      </c>
      <c r="H158">
        <f>IFERROR(__xludf.DUMMYFUNCTION("""COMPUTED_VALUE"""),4.0)</f>
        <v>4</v>
      </c>
      <c r="I158">
        <f>IFERROR(__xludf.DUMMYFUNCTION("""COMPUTED_VALUE"""),81.63)</f>
        <v>81.63</v>
      </c>
      <c r="J158">
        <f>IFERROR(__xludf.DUMMYFUNCTION("""COMPUTED_VALUE"""),15.37)</f>
        <v>15.37</v>
      </c>
      <c r="K158">
        <f>IFERROR(__xludf.DUMMYFUNCTION("""COMPUTED_VALUE"""),0.16)</f>
        <v>0.16</v>
      </c>
      <c r="L158">
        <f>IFERROR(__xludf.DUMMYFUNCTION("""COMPUTED_VALUE"""),0.0)</f>
        <v>0</v>
      </c>
      <c r="M158">
        <f>IFERROR(__xludf.DUMMYFUNCTION("""COMPUTED_VALUE"""),1.05)</f>
        <v>1.05</v>
      </c>
      <c r="N158">
        <f>IFERROR(__xludf.DUMMYFUNCTION("""COMPUTED_VALUE"""),0.68)</f>
        <v>0.68</v>
      </c>
      <c r="O158">
        <f>IFERROR(__xludf.DUMMYFUNCTION("""COMPUTED_VALUE"""),0.11)</f>
        <v>0.11</v>
      </c>
    </row>
    <row r="159">
      <c r="A159" t="str">
        <f>IFERROR(__xludf.DUMMYFUNCTION("""COMPUTED_VALUE"""),"D'Intorni")</f>
        <v>D'Intorni</v>
      </c>
      <c r="B159" t="str">
        <f>IFERROR(__xludf.DUMMYFUNCTION("""COMPUTED_VALUE"""),"Christelle D'Intorni")</f>
        <v>Christelle D'Intorni</v>
      </c>
      <c r="C159">
        <f>IFERROR(__xludf.DUMMYFUNCTION("""COMPUTED_VALUE"""),2.68)</f>
        <v>2.68</v>
      </c>
      <c r="D159">
        <f>IFERROR(__xludf.DUMMYFUNCTION("""COMPUTED_VALUE"""),2.68)</f>
        <v>2.68</v>
      </c>
      <c r="E159">
        <f>IFERROR(__xludf.DUMMYFUNCTION("""COMPUTED_VALUE"""),0.84)</f>
        <v>0.84</v>
      </c>
      <c r="F159">
        <f>IFERROR(__xludf.DUMMYFUNCTION("""COMPUTED_VALUE"""),0.63)</f>
        <v>0.63</v>
      </c>
      <c r="G159">
        <f>IFERROR(__xludf.DUMMYFUNCTION("""COMPUTED_VALUE"""),0.05)</f>
        <v>0.05</v>
      </c>
      <c r="H159">
        <f>IFERROR(__xludf.DUMMYFUNCTION("""COMPUTED_VALUE"""),12.63)</f>
        <v>12.63</v>
      </c>
      <c r="I159">
        <f>IFERROR(__xludf.DUMMYFUNCTION("""COMPUTED_VALUE"""),110.21)</f>
        <v>110.21</v>
      </c>
      <c r="J159">
        <f>IFERROR(__xludf.DUMMYFUNCTION("""COMPUTED_VALUE"""),5.21)</f>
        <v>5.21</v>
      </c>
      <c r="K159">
        <f>IFERROR(__xludf.DUMMYFUNCTION("""COMPUTED_VALUE"""),0.0)</f>
        <v>0</v>
      </c>
      <c r="L159">
        <f>IFERROR(__xludf.DUMMYFUNCTION("""COMPUTED_VALUE"""),1.37)</f>
        <v>1.37</v>
      </c>
      <c r="M159">
        <f>IFERROR(__xludf.DUMMYFUNCTION("""COMPUTED_VALUE"""),6.26)</f>
        <v>6.26</v>
      </c>
      <c r="N159">
        <f>IFERROR(__xludf.DUMMYFUNCTION("""COMPUTED_VALUE"""),5.53)</f>
        <v>5.53</v>
      </c>
      <c r="O159">
        <f>IFERROR(__xludf.DUMMYFUNCTION("""COMPUTED_VALUE"""),0.16)</f>
        <v>0.16</v>
      </c>
    </row>
    <row r="160">
      <c r="A160" t="str">
        <f>IFERROR(__xludf.DUMMYFUNCTION("""COMPUTED_VALUE"""),"Da Conceicao Carvalho")</f>
        <v>Da Conceicao Carvalho</v>
      </c>
      <c r="B160" t="str">
        <f>IFERROR(__xludf.DUMMYFUNCTION("""COMPUTED_VALUE"""),"Nathalie Da Conceicao Carvalho")</f>
        <v>Nathalie Da Conceicao Carvalho</v>
      </c>
      <c r="C160">
        <f>IFERROR(__xludf.DUMMYFUNCTION("""COMPUTED_VALUE"""),2.0)</f>
        <v>2</v>
      </c>
      <c r="D160">
        <f>IFERROR(__xludf.DUMMYFUNCTION("""COMPUTED_VALUE"""),1.68)</f>
        <v>1.68</v>
      </c>
      <c r="E160">
        <f>IFERROR(__xludf.DUMMYFUNCTION("""COMPUTED_VALUE"""),0.32)</f>
        <v>0.32</v>
      </c>
      <c r="F160">
        <f>IFERROR(__xludf.DUMMYFUNCTION("""COMPUTED_VALUE"""),0.21)</f>
        <v>0.21</v>
      </c>
      <c r="G160">
        <f>IFERROR(__xludf.DUMMYFUNCTION("""COMPUTED_VALUE"""),0.21)</f>
        <v>0.21</v>
      </c>
      <c r="H160">
        <f>IFERROR(__xludf.DUMMYFUNCTION("""COMPUTED_VALUE"""),1.0)</f>
        <v>1</v>
      </c>
      <c r="I160">
        <f>IFERROR(__xludf.DUMMYFUNCTION("""COMPUTED_VALUE"""),444.63)</f>
        <v>444.63</v>
      </c>
      <c r="J160">
        <f>IFERROR(__xludf.DUMMYFUNCTION("""COMPUTED_VALUE"""),6.05)</f>
        <v>6.05</v>
      </c>
      <c r="K160">
        <f>IFERROR(__xludf.DUMMYFUNCTION("""COMPUTED_VALUE"""),0.0)</f>
        <v>0</v>
      </c>
      <c r="L160">
        <f>IFERROR(__xludf.DUMMYFUNCTION("""COMPUTED_VALUE"""),0.11)</f>
        <v>0.11</v>
      </c>
      <c r="M160">
        <f>IFERROR(__xludf.DUMMYFUNCTION("""COMPUTED_VALUE"""),6.47)</f>
        <v>6.47</v>
      </c>
      <c r="N160">
        <f>IFERROR(__xludf.DUMMYFUNCTION("""COMPUTED_VALUE"""),4.42)</f>
        <v>4.42</v>
      </c>
      <c r="O160">
        <f>IFERROR(__xludf.DUMMYFUNCTION("""COMPUTED_VALUE"""),0.11)</f>
        <v>0.11</v>
      </c>
    </row>
    <row r="161">
      <c r="A161" t="str">
        <f>IFERROR(__xludf.DUMMYFUNCTION("""COMPUTED_VALUE"""),"Da Silva")</f>
        <v>Da Silva</v>
      </c>
      <c r="B161" t="str">
        <f>IFERROR(__xludf.DUMMYFUNCTION("""COMPUTED_VALUE"""),"Dominique Da Silva")</f>
        <v>Dominique Da Silva</v>
      </c>
      <c r="C161">
        <f>IFERROR(__xludf.DUMMYFUNCTION("""COMPUTED_VALUE"""),4.0)</f>
        <v>4</v>
      </c>
      <c r="D161">
        <f>IFERROR(__xludf.DUMMYFUNCTION("""COMPUTED_VALUE"""),8.37)</f>
        <v>8.37</v>
      </c>
      <c r="E161">
        <f>IFERROR(__xludf.DUMMYFUNCTION("""COMPUTED_VALUE"""),6.47)</f>
        <v>6.47</v>
      </c>
      <c r="F161">
        <f>IFERROR(__xludf.DUMMYFUNCTION("""COMPUTED_VALUE"""),1.63)</f>
        <v>1.63</v>
      </c>
      <c r="G161">
        <f>IFERROR(__xludf.DUMMYFUNCTION("""COMPUTED_VALUE"""),0.37)</f>
        <v>0.37</v>
      </c>
      <c r="H161">
        <f>IFERROR(__xludf.DUMMYFUNCTION("""COMPUTED_VALUE"""),3.05)</f>
        <v>3.05</v>
      </c>
      <c r="I161">
        <f>IFERROR(__xludf.DUMMYFUNCTION("""COMPUTED_VALUE"""),56.0)</f>
        <v>56</v>
      </c>
      <c r="J161">
        <f>IFERROR(__xludf.DUMMYFUNCTION("""COMPUTED_VALUE"""),16.53)</f>
        <v>16.53</v>
      </c>
      <c r="K161">
        <f>IFERROR(__xludf.DUMMYFUNCTION("""COMPUTED_VALUE"""),0.11)</f>
        <v>0.11</v>
      </c>
      <c r="L161">
        <f>IFERROR(__xludf.DUMMYFUNCTION("""COMPUTED_VALUE"""),0.05)</f>
        <v>0.05</v>
      </c>
      <c r="M161">
        <f>IFERROR(__xludf.DUMMYFUNCTION("""COMPUTED_VALUE"""),2.53)</f>
        <v>2.53</v>
      </c>
      <c r="N161">
        <f>IFERROR(__xludf.DUMMYFUNCTION("""COMPUTED_VALUE"""),0.16)</f>
        <v>0.16</v>
      </c>
      <c r="O161">
        <f>IFERROR(__xludf.DUMMYFUNCTION("""COMPUTED_VALUE"""),0.11)</f>
        <v>0.11</v>
      </c>
    </row>
    <row r="162">
      <c r="A162" t="str">
        <f>IFERROR(__xludf.DUMMYFUNCTION("""COMPUTED_VALUE"""),"Dalloz")</f>
        <v>Dalloz</v>
      </c>
      <c r="B162" t="str">
        <f>IFERROR(__xludf.DUMMYFUNCTION("""COMPUTED_VALUE"""),"Marie-Christine Dalloz")</f>
        <v>Marie-Christine Dalloz</v>
      </c>
      <c r="C162">
        <f>IFERROR(__xludf.DUMMYFUNCTION("""COMPUTED_VALUE"""),3.74)</f>
        <v>3.74</v>
      </c>
      <c r="D162">
        <f>IFERROR(__xludf.DUMMYFUNCTION("""COMPUTED_VALUE"""),7.16)</f>
        <v>7.16</v>
      </c>
      <c r="E162">
        <f>IFERROR(__xludf.DUMMYFUNCTION("""COMPUTED_VALUE"""),11.0)</f>
        <v>11</v>
      </c>
      <c r="F162">
        <f>IFERROR(__xludf.DUMMYFUNCTION("""COMPUTED_VALUE"""),14.11)</f>
        <v>14.11</v>
      </c>
      <c r="G162">
        <f>IFERROR(__xludf.DUMMYFUNCTION("""COMPUTED_VALUE"""),15.79)</f>
        <v>15.79</v>
      </c>
      <c r="H162">
        <f>IFERROR(__xludf.DUMMYFUNCTION("""COMPUTED_VALUE"""),36.11)</f>
        <v>36.11</v>
      </c>
      <c r="I162">
        <f>IFERROR(__xludf.DUMMYFUNCTION("""COMPUTED_VALUE"""),229.42)</f>
        <v>229.42</v>
      </c>
      <c r="J162">
        <f>IFERROR(__xludf.DUMMYFUNCTION("""COMPUTED_VALUE"""),8.89)</f>
        <v>8.89</v>
      </c>
      <c r="K162">
        <f>IFERROR(__xludf.DUMMYFUNCTION("""COMPUTED_VALUE"""),0.16)</f>
        <v>0.16</v>
      </c>
      <c r="L162">
        <f>IFERROR(__xludf.DUMMYFUNCTION("""COMPUTED_VALUE"""),0.21)</f>
        <v>0.21</v>
      </c>
      <c r="M162">
        <f>IFERROR(__xludf.DUMMYFUNCTION("""COMPUTED_VALUE"""),6.63)</f>
        <v>6.63</v>
      </c>
      <c r="N162">
        <f>IFERROR(__xludf.DUMMYFUNCTION("""COMPUTED_VALUE"""),2.16)</f>
        <v>2.16</v>
      </c>
      <c r="O162">
        <f>IFERROR(__xludf.DUMMYFUNCTION("""COMPUTED_VALUE"""),0.26)</f>
        <v>0.26</v>
      </c>
    </row>
    <row r="163">
      <c r="A163" t="str">
        <f>IFERROR(__xludf.DUMMYFUNCTION("""COMPUTED_VALUE"""),"Darrieussecq")</f>
        <v>Darrieussecq</v>
      </c>
      <c r="B163" t="str">
        <f>IFERROR(__xludf.DUMMYFUNCTION("""COMPUTED_VALUE"""),"Geneviève Darrieussecq")</f>
        <v>Geneviève Darrieussecq</v>
      </c>
      <c r="C163">
        <f>IFERROR(__xludf.DUMMYFUNCTION("""COMPUTED_VALUE"""),3.0)</f>
        <v>3</v>
      </c>
      <c r="D163">
        <f>IFERROR(__xludf.DUMMYFUNCTION("""COMPUTED_VALUE"""),5.7)</f>
        <v>5.7</v>
      </c>
      <c r="E163">
        <f>IFERROR(__xludf.DUMMYFUNCTION("""COMPUTED_VALUE"""),5.9)</f>
        <v>5.9</v>
      </c>
      <c r="F163">
        <f>IFERROR(__xludf.DUMMYFUNCTION("""COMPUTED_VALUE"""),8.6)</f>
        <v>8.6</v>
      </c>
      <c r="G163">
        <f>IFERROR(__xludf.DUMMYFUNCTION("""COMPUTED_VALUE"""),3.9)</f>
        <v>3.9</v>
      </c>
      <c r="H163">
        <f>IFERROR(__xludf.DUMMYFUNCTION("""COMPUTED_VALUE"""),2.1)</f>
        <v>2.1</v>
      </c>
      <c r="I163">
        <f>IFERROR(__xludf.DUMMYFUNCTION("""COMPUTED_VALUE"""),45.2)</f>
        <v>45.2</v>
      </c>
      <c r="J163">
        <f>IFERROR(__xludf.DUMMYFUNCTION("""COMPUTED_VALUE"""),9.3)</f>
        <v>9.3</v>
      </c>
      <c r="K163">
        <f>IFERROR(__xludf.DUMMYFUNCTION("""COMPUTED_VALUE"""),0.0)</f>
        <v>0</v>
      </c>
      <c r="L163">
        <f>IFERROR(__xludf.DUMMYFUNCTION("""COMPUTED_VALUE"""),0.0)</f>
        <v>0</v>
      </c>
      <c r="M163">
        <f>IFERROR(__xludf.DUMMYFUNCTION("""COMPUTED_VALUE"""),0.6)</f>
        <v>0.6</v>
      </c>
      <c r="N163">
        <f>IFERROR(__xludf.DUMMYFUNCTION("""COMPUTED_VALUE"""),0.3)</f>
        <v>0.3</v>
      </c>
      <c r="O163">
        <f>IFERROR(__xludf.DUMMYFUNCTION("""COMPUTED_VALUE"""),0.1)</f>
        <v>0.1</v>
      </c>
    </row>
    <row r="164">
      <c r="A164" t="str">
        <f>IFERROR(__xludf.DUMMYFUNCTION("""COMPUTED_VALUE"""),"Daubié")</f>
        <v>Daubié</v>
      </c>
      <c r="B164" t="str">
        <f>IFERROR(__xludf.DUMMYFUNCTION("""COMPUTED_VALUE"""),"Romain Daubié")</f>
        <v>Romain Daubié</v>
      </c>
      <c r="C164">
        <f>IFERROR(__xludf.DUMMYFUNCTION("""COMPUTED_VALUE"""),3.95)</f>
        <v>3.95</v>
      </c>
      <c r="D164">
        <f>IFERROR(__xludf.DUMMYFUNCTION("""COMPUTED_VALUE"""),5.11)</f>
        <v>5.11</v>
      </c>
      <c r="E164">
        <f>IFERROR(__xludf.DUMMYFUNCTION("""COMPUTED_VALUE"""),4.21)</f>
        <v>4.21</v>
      </c>
      <c r="F164">
        <f>IFERROR(__xludf.DUMMYFUNCTION("""COMPUTED_VALUE"""),5.79)</f>
        <v>5.79</v>
      </c>
      <c r="G164">
        <f>IFERROR(__xludf.DUMMYFUNCTION("""COMPUTED_VALUE"""),9.58)</f>
        <v>9.58</v>
      </c>
      <c r="H164">
        <f>IFERROR(__xludf.DUMMYFUNCTION("""COMPUTED_VALUE"""),11.42)</f>
        <v>11.42</v>
      </c>
      <c r="I164">
        <f>IFERROR(__xludf.DUMMYFUNCTION("""COMPUTED_VALUE"""),93.53)</f>
        <v>93.53</v>
      </c>
      <c r="J164">
        <f>IFERROR(__xludf.DUMMYFUNCTION("""COMPUTED_VALUE"""),15.79)</f>
        <v>15.79</v>
      </c>
      <c r="K164">
        <f>IFERROR(__xludf.DUMMYFUNCTION("""COMPUTED_VALUE"""),0.05)</f>
        <v>0.05</v>
      </c>
      <c r="L164">
        <f>IFERROR(__xludf.DUMMYFUNCTION("""COMPUTED_VALUE"""),0.47)</f>
        <v>0.47</v>
      </c>
      <c r="M164">
        <f>IFERROR(__xludf.DUMMYFUNCTION("""COMPUTED_VALUE"""),2.84)</f>
        <v>2.84</v>
      </c>
      <c r="N164">
        <f>IFERROR(__xludf.DUMMYFUNCTION("""COMPUTED_VALUE"""),3.16)</f>
        <v>3.16</v>
      </c>
      <c r="O164">
        <f>IFERROR(__xludf.DUMMYFUNCTION("""COMPUTED_VALUE"""),0.16)</f>
        <v>0.16</v>
      </c>
    </row>
    <row r="165">
      <c r="A165" t="str">
        <f>IFERROR(__xludf.DUMMYFUNCTION("""COMPUTED_VALUE"""),"Davi")</f>
        <v>Davi</v>
      </c>
      <c r="B165" t="str">
        <f>IFERROR(__xludf.DUMMYFUNCTION("""COMPUTED_VALUE"""),"Hendrik Davi")</f>
        <v>Hendrik Davi</v>
      </c>
      <c r="C165">
        <f>IFERROR(__xludf.DUMMYFUNCTION("""COMPUTED_VALUE"""),3.95)</f>
        <v>3.95</v>
      </c>
      <c r="D165">
        <f>IFERROR(__xludf.DUMMYFUNCTION("""COMPUTED_VALUE"""),7.53)</f>
        <v>7.53</v>
      </c>
      <c r="E165">
        <f>IFERROR(__xludf.DUMMYFUNCTION("""COMPUTED_VALUE"""),14.84)</f>
        <v>14.84</v>
      </c>
      <c r="F165">
        <f>IFERROR(__xludf.DUMMYFUNCTION("""COMPUTED_VALUE"""),13.79)</f>
        <v>13.79</v>
      </c>
      <c r="G165">
        <f>IFERROR(__xludf.DUMMYFUNCTION("""COMPUTED_VALUE"""),1.84)</f>
        <v>1.84</v>
      </c>
      <c r="H165">
        <f>IFERROR(__xludf.DUMMYFUNCTION("""COMPUTED_VALUE"""),25.84)</f>
        <v>25.84</v>
      </c>
      <c r="I165">
        <f>IFERROR(__xludf.DUMMYFUNCTION("""COMPUTED_VALUE"""),899.95)</f>
        <v>899.95</v>
      </c>
      <c r="J165">
        <f>IFERROR(__xludf.DUMMYFUNCTION("""COMPUTED_VALUE"""),28.89)</f>
        <v>28.89</v>
      </c>
      <c r="K165">
        <f>IFERROR(__xludf.DUMMYFUNCTION("""COMPUTED_VALUE"""),0.26)</f>
        <v>0.26</v>
      </c>
      <c r="L165">
        <f>IFERROR(__xludf.DUMMYFUNCTION("""COMPUTED_VALUE"""),0.26)</f>
        <v>0.26</v>
      </c>
      <c r="M165">
        <f>IFERROR(__xludf.DUMMYFUNCTION("""COMPUTED_VALUE"""),7.42)</f>
        <v>7.42</v>
      </c>
      <c r="N165">
        <f>IFERROR(__xludf.DUMMYFUNCTION("""COMPUTED_VALUE"""),2.0)</f>
        <v>2</v>
      </c>
      <c r="O165">
        <f>IFERROR(__xludf.DUMMYFUNCTION("""COMPUTED_VALUE"""),0.26)</f>
        <v>0.26</v>
      </c>
    </row>
    <row r="166">
      <c r="A166" t="str">
        <f>IFERROR(__xludf.DUMMYFUNCTION("""COMPUTED_VALUE"""),"David")</f>
        <v>David</v>
      </c>
      <c r="B166" t="str">
        <f>IFERROR(__xludf.DUMMYFUNCTION("""COMPUTED_VALUE"""),"Alain David")</f>
        <v>Alain David</v>
      </c>
      <c r="C166">
        <f>IFERROR(__xludf.DUMMYFUNCTION("""COMPUTED_VALUE"""),3.95)</f>
        <v>3.95</v>
      </c>
      <c r="D166">
        <f>IFERROR(__xludf.DUMMYFUNCTION("""COMPUTED_VALUE"""),7.68)</f>
        <v>7.68</v>
      </c>
      <c r="E166">
        <f>IFERROR(__xludf.DUMMYFUNCTION("""COMPUTED_VALUE"""),9.11)</f>
        <v>9.11</v>
      </c>
      <c r="F166">
        <f>IFERROR(__xludf.DUMMYFUNCTION("""COMPUTED_VALUE"""),5.84)</f>
        <v>5.84</v>
      </c>
      <c r="G166">
        <f>IFERROR(__xludf.DUMMYFUNCTION("""COMPUTED_VALUE"""),1.16)</f>
        <v>1.16</v>
      </c>
      <c r="H166">
        <f>IFERROR(__xludf.DUMMYFUNCTION("""COMPUTED_VALUE"""),1.84)</f>
        <v>1.84</v>
      </c>
      <c r="I166">
        <f>IFERROR(__xludf.DUMMYFUNCTION("""COMPUTED_VALUE"""),422.42)</f>
        <v>422.42</v>
      </c>
      <c r="J166">
        <f>IFERROR(__xludf.DUMMYFUNCTION("""COMPUTED_VALUE"""),19.21)</f>
        <v>19.21</v>
      </c>
      <c r="K166">
        <f>IFERROR(__xludf.DUMMYFUNCTION("""COMPUTED_VALUE"""),0.26)</f>
        <v>0.26</v>
      </c>
      <c r="L166">
        <f>IFERROR(__xludf.DUMMYFUNCTION("""COMPUTED_VALUE"""),0.11)</f>
        <v>0.11</v>
      </c>
      <c r="M166">
        <f>IFERROR(__xludf.DUMMYFUNCTION("""COMPUTED_VALUE"""),4.0)</f>
        <v>4</v>
      </c>
      <c r="N166">
        <f>IFERROR(__xludf.DUMMYFUNCTION("""COMPUTED_VALUE"""),2.47)</f>
        <v>2.47</v>
      </c>
      <c r="O166">
        <f>IFERROR(__xludf.DUMMYFUNCTION("""COMPUTED_VALUE"""),0.21)</f>
        <v>0.21</v>
      </c>
    </row>
    <row r="167">
      <c r="A167" t="str">
        <f>IFERROR(__xludf.DUMMYFUNCTION("""COMPUTED_VALUE"""),"Decodts")</f>
        <v>Decodts</v>
      </c>
      <c r="B167" t="str">
        <f>IFERROR(__xludf.DUMMYFUNCTION("""COMPUTED_VALUE"""),"Christine Decodts")</f>
        <v>Christine Decodts</v>
      </c>
      <c r="C167">
        <f>IFERROR(__xludf.DUMMYFUNCTION("""COMPUTED_VALUE"""),4.05)</f>
        <v>4.05</v>
      </c>
      <c r="D167">
        <f>IFERROR(__xludf.DUMMYFUNCTION("""COMPUTED_VALUE"""),10.42)</f>
        <v>10.42</v>
      </c>
      <c r="E167">
        <f>IFERROR(__xludf.DUMMYFUNCTION("""COMPUTED_VALUE"""),9.26)</f>
        <v>9.26</v>
      </c>
      <c r="F167">
        <f>IFERROR(__xludf.DUMMYFUNCTION("""COMPUTED_VALUE"""),3.58)</f>
        <v>3.58</v>
      </c>
      <c r="G167">
        <f>IFERROR(__xludf.DUMMYFUNCTION("""COMPUTED_VALUE"""),1.21)</f>
        <v>1.21</v>
      </c>
      <c r="H167">
        <f>IFERROR(__xludf.DUMMYFUNCTION("""COMPUTED_VALUE"""),2.16)</f>
        <v>2.16</v>
      </c>
      <c r="I167">
        <f>IFERROR(__xludf.DUMMYFUNCTION("""COMPUTED_VALUE"""),108.05)</f>
        <v>108.05</v>
      </c>
      <c r="J167">
        <f>IFERROR(__xludf.DUMMYFUNCTION("""COMPUTED_VALUE"""),25.16)</f>
        <v>25.16</v>
      </c>
      <c r="K167">
        <f>IFERROR(__xludf.DUMMYFUNCTION("""COMPUTED_VALUE"""),0.26)</f>
        <v>0.26</v>
      </c>
      <c r="L167">
        <f>IFERROR(__xludf.DUMMYFUNCTION("""COMPUTED_VALUE"""),0.0)</f>
        <v>0</v>
      </c>
      <c r="M167">
        <f>IFERROR(__xludf.DUMMYFUNCTION("""COMPUTED_VALUE"""),3.16)</f>
        <v>3.16</v>
      </c>
      <c r="N167">
        <f>IFERROR(__xludf.DUMMYFUNCTION("""COMPUTED_VALUE"""),1.89)</f>
        <v>1.89</v>
      </c>
      <c r="O167">
        <f>IFERROR(__xludf.DUMMYFUNCTION("""COMPUTED_VALUE"""),0.21)</f>
        <v>0.21</v>
      </c>
    </row>
    <row r="168">
      <c r="A168" t="str">
        <f>IFERROR(__xludf.DUMMYFUNCTION("""COMPUTED_VALUE"""),"Delaporte")</f>
        <v>Delaporte</v>
      </c>
      <c r="B168" t="str">
        <f>IFERROR(__xludf.DUMMYFUNCTION("""COMPUTED_VALUE"""),"Arthur Delaporte")</f>
        <v>Arthur Delaporte</v>
      </c>
      <c r="C168">
        <f>IFERROR(__xludf.DUMMYFUNCTION("""COMPUTED_VALUE"""),3.89)</f>
        <v>3.89</v>
      </c>
      <c r="D168">
        <f>IFERROR(__xludf.DUMMYFUNCTION("""COMPUTED_VALUE"""),7.53)</f>
        <v>7.53</v>
      </c>
      <c r="E168">
        <f>IFERROR(__xludf.DUMMYFUNCTION("""COMPUTED_VALUE"""),40.79)</f>
        <v>40.79</v>
      </c>
      <c r="F168">
        <f>IFERROR(__xludf.DUMMYFUNCTION("""COMPUTED_VALUE"""),56.42)</f>
        <v>56.42</v>
      </c>
      <c r="G168">
        <f>IFERROR(__xludf.DUMMYFUNCTION("""COMPUTED_VALUE"""),37.74)</f>
        <v>37.74</v>
      </c>
      <c r="H168">
        <f>IFERROR(__xludf.DUMMYFUNCTION("""COMPUTED_VALUE"""),84.53)</f>
        <v>84.53</v>
      </c>
      <c r="I168">
        <f>IFERROR(__xludf.DUMMYFUNCTION("""COMPUTED_VALUE"""),505.21)</f>
        <v>505.21</v>
      </c>
      <c r="J168">
        <f>IFERROR(__xludf.DUMMYFUNCTION("""COMPUTED_VALUE"""),27.05)</f>
        <v>27.05</v>
      </c>
      <c r="K168">
        <f>IFERROR(__xludf.DUMMYFUNCTION("""COMPUTED_VALUE"""),0.21)</f>
        <v>0.21</v>
      </c>
      <c r="L168">
        <f>IFERROR(__xludf.DUMMYFUNCTION("""COMPUTED_VALUE"""),0.37)</f>
        <v>0.37</v>
      </c>
      <c r="M168">
        <f>IFERROR(__xludf.DUMMYFUNCTION("""COMPUTED_VALUE"""),4.89)</f>
        <v>4.89</v>
      </c>
      <c r="N168">
        <f>IFERROR(__xludf.DUMMYFUNCTION("""COMPUTED_VALUE"""),2.74)</f>
        <v>2.74</v>
      </c>
      <c r="O168">
        <f>IFERROR(__xludf.DUMMYFUNCTION("""COMPUTED_VALUE"""),0.42)</f>
        <v>0.42</v>
      </c>
    </row>
    <row r="169">
      <c r="A169" t="str">
        <f>IFERROR(__xludf.DUMMYFUNCTION("""COMPUTED_VALUE"""),"Delautrette")</f>
        <v>Delautrette</v>
      </c>
      <c r="B169" t="str">
        <f>IFERROR(__xludf.DUMMYFUNCTION("""COMPUTED_VALUE"""),"Stéphane Delautrette")</f>
        <v>Stéphane Delautrette</v>
      </c>
      <c r="C169">
        <f>IFERROR(__xludf.DUMMYFUNCTION("""COMPUTED_VALUE"""),3.95)</f>
        <v>3.95</v>
      </c>
      <c r="D169">
        <f>IFERROR(__xludf.DUMMYFUNCTION("""COMPUTED_VALUE"""),8.58)</f>
        <v>8.58</v>
      </c>
      <c r="E169">
        <f>IFERROR(__xludf.DUMMYFUNCTION("""COMPUTED_VALUE"""),18.05)</f>
        <v>18.05</v>
      </c>
      <c r="F169">
        <f>IFERROR(__xludf.DUMMYFUNCTION("""COMPUTED_VALUE"""),13.84)</f>
        <v>13.84</v>
      </c>
      <c r="G169">
        <f>IFERROR(__xludf.DUMMYFUNCTION("""COMPUTED_VALUE"""),2.32)</f>
        <v>2.32</v>
      </c>
      <c r="H169">
        <f>IFERROR(__xludf.DUMMYFUNCTION("""COMPUTED_VALUE"""),32.26)</f>
        <v>32.26</v>
      </c>
      <c r="I169">
        <f>IFERROR(__xludf.DUMMYFUNCTION("""COMPUTED_VALUE"""),500.16)</f>
        <v>500.16</v>
      </c>
      <c r="J169">
        <f>IFERROR(__xludf.DUMMYFUNCTION("""COMPUTED_VALUE"""),28.26)</f>
        <v>28.26</v>
      </c>
      <c r="K169">
        <f>IFERROR(__xludf.DUMMYFUNCTION("""COMPUTED_VALUE"""),0.21)</f>
        <v>0.21</v>
      </c>
      <c r="L169">
        <f>IFERROR(__xludf.DUMMYFUNCTION("""COMPUTED_VALUE"""),0.32)</f>
        <v>0.32</v>
      </c>
      <c r="M169">
        <f>IFERROR(__xludf.DUMMYFUNCTION("""COMPUTED_VALUE"""),4.21)</f>
        <v>4.21</v>
      </c>
      <c r="N169">
        <f>IFERROR(__xludf.DUMMYFUNCTION("""COMPUTED_VALUE"""),0.84)</f>
        <v>0.84</v>
      </c>
      <c r="O169">
        <f>IFERROR(__xludf.DUMMYFUNCTION("""COMPUTED_VALUE"""),0.32)</f>
        <v>0.32</v>
      </c>
    </row>
    <row r="170">
      <c r="A170" t="str">
        <f>IFERROR(__xludf.DUMMYFUNCTION("""COMPUTED_VALUE"""),"Delogu")</f>
        <v>Delogu</v>
      </c>
      <c r="B170" t="str">
        <f>IFERROR(__xludf.DUMMYFUNCTION("""COMPUTED_VALUE"""),"Sébastien Delogu")</f>
        <v>Sébastien Delogu</v>
      </c>
      <c r="C170">
        <f>IFERROR(__xludf.DUMMYFUNCTION("""COMPUTED_VALUE"""),3.16)</f>
        <v>3.16</v>
      </c>
      <c r="D170">
        <f>IFERROR(__xludf.DUMMYFUNCTION("""COMPUTED_VALUE"""),3.42)</f>
        <v>3.42</v>
      </c>
      <c r="E170">
        <f>IFERROR(__xludf.DUMMYFUNCTION("""COMPUTED_VALUE"""),2.05)</f>
        <v>2.05</v>
      </c>
      <c r="F170">
        <f>IFERROR(__xludf.DUMMYFUNCTION("""COMPUTED_VALUE"""),7.89)</f>
        <v>7.89</v>
      </c>
      <c r="G170">
        <f>IFERROR(__xludf.DUMMYFUNCTION("""COMPUTED_VALUE"""),15.37)</f>
        <v>15.37</v>
      </c>
      <c r="H170">
        <f>IFERROR(__xludf.DUMMYFUNCTION("""COMPUTED_VALUE"""),5.37)</f>
        <v>5.37</v>
      </c>
      <c r="I170">
        <f>IFERROR(__xludf.DUMMYFUNCTION("""COMPUTED_VALUE"""),889.95)</f>
        <v>889.95</v>
      </c>
      <c r="J170">
        <f>IFERROR(__xludf.DUMMYFUNCTION("""COMPUTED_VALUE"""),28.79)</f>
        <v>28.79</v>
      </c>
      <c r="K170">
        <f>IFERROR(__xludf.DUMMYFUNCTION("""COMPUTED_VALUE"""),0.0)</f>
        <v>0</v>
      </c>
      <c r="L170">
        <f>IFERROR(__xludf.DUMMYFUNCTION("""COMPUTED_VALUE"""),0.16)</f>
        <v>0.16</v>
      </c>
      <c r="M170">
        <f>IFERROR(__xludf.DUMMYFUNCTION("""COMPUTED_VALUE"""),7.16)</f>
        <v>7.16</v>
      </c>
      <c r="N170">
        <f>IFERROR(__xludf.DUMMYFUNCTION("""COMPUTED_VALUE"""),0.95)</f>
        <v>0.95</v>
      </c>
      <c r="O170">
        <f>IFERROR(__xludf.DUMMYFUNCTION("""COMPUTED_VALUE"""),0.32)</f>
        <v>0.32</v>
      </c>
    </row>
    <row r="171">
      <c r="A171" t="str">
        <f>IFERROR(__xludf.DUMMYFUNCTION("""COMPUTED_VALUE"""),"Delpech")</f>
        <v>Delpech</v>
      </c>
      <c r="B171" t="str">
        <f>IFERROR(__xludf.DUMMYFUNCTION("""COMPUTED_VALUE"""),"Julie Delpech")</f>
        <v>Julie Delpech</v>
      </c>
      <c r="C171">
        <f>IFERROR(__xludf.DUMMYFUNCTION("""COMPUTED_VALUE"""),3.05)</f>
        <v>3.05</v>
      </c>
      <c r="D171">
        <f>IFERROR(__xludf.DUMMYFUNCTION("""COMPUTED_VALUE"""),5.42)</f>
        <v>5.42</v>
      </c>
      <c r="E171">
        <f>IFERROR(__xludf.DUMMYFUNCTION("""COMPUTED_VALUE"""),1.37)</f>
        <v>1.37</v>
      </c>
      <c r="F171">
        <f>IFERROR(__xludf.DUMMYFUNCTION("""COMPUTED_VALUE"""),0.74)</f>
        <v>0.74</v>
      </c>
      <c r="G171">
        <f>IFERROR(__xludf.DUMMYFUNCTION("""COMPUTED_VALUE"""),0.11)</f>
        <v>0.11</v>
      </c>
      <c r="H171">
        <f>IFERROR(__xludf.DUMMYFUNCTION("""COMPUTED_VALUE"""),2.53)</f>
        <v>2.53</v>
      </c>
      <c r="I171">
        <f>IFERROR(__xludf.DUMMYFUNCTION("""COMPUTED_VALUE"""),93.0)</f>
        <v>93</v>
      </c>
      <c r="J171">
        <f>IFERROR(__xludf.DUMMYFUNCTION("""COMPUTED_VALUE"""),16.74)</f>
        <v>16.74</v>
      </c>
      <c r="K171">
        <f>IFERROR(__xludf.DUMMYFUNCTION("""COMPUTED_VALUE"""),0.11)</f>
        <v>0.11</v>
      </c>
      <c r="L171">
        <f>IFERROR(__xludf.DUMMYFUNCTION("""COMPUTED_VALUE"""),0.0)</f>
        <v>0</v>
      </c>
      <c r="M171">
        <f>IFERROR(__xludf.DUMMYFUNCTION("""COMPUTED_VALUE"""),2.53)</f>
        <v>2.53</v>
      </c>
      <c r="N171">
        <f>IFERROR(__xludf.DUMMYFUNCTION("""COMPUTED_VALUE"""),0.68)</f>
        <v>0.68</v>
      </c>
      <c r="O171">
        <f>IFERROR(__xludf.DUMMYFUNCTION("""COMPUTED_VALUE"""),0.26)</f>
        <v>0.26</v>
      </c>
    </row>
    <row r="172">
      <c r="A172" t="str">
        <f>IFERROR(__xludf.DUMMYFUNCTION("""COMPUTED_VALUE"""),"Descamps")</f>
        <v>Descamps</v>
      </c>
      <c r="B172" t="str">
        <f>IFERROR(__xludf.DUMMYFUNCTION("""COMPUTED_VALUE"""),"Béatrice Descamps")</f>
        <v>Béatrice Descamps</v>
      </c>
      <c r="C172">
        <f>IFERROR(__xludf.DUMMYFUNCTION("""COMPUTED_VALUE"""),3.58)</f>
        <v>3.58</v>
      </c>
      <c r="D172">
        <f>IFERROR(__xludf.DUMMYFUNCTION("""COMPUTED_VALUE"""),5.11)</f>
        <v>5.11</v>
      </c>
      <c r="E172">
        <f>IFERROR(__xludf.DUMMYFUNCTION("""COMPUTED_VALUE"""),8.11)</f>
        <v>8.11</v>
      </c>
      <c r="F172">
        <f>IFERROR(__xludf.DUMMYFUNCTION("""COMPUTED_VALUE"""),8.26)</f>
        <v>8.26</v>
      </c>
      <c r="G172">
        <f>IFERROR(__xludf.DUMMYFUNCTION("""COMPUTED_VALUE"""),1.11)</f>
        <v>1.11</v>
      </c>
      <c r="H172">
        <f>IFERROR(__xludf.DUMMYFUNCTION("""COMPUTED_VALUE"""),26.53)</f>
        <v>26.53</v>
      </c>
      <c r="I172">
        <f>IFERROR(__xludf.DUMMYFUNCTION("""COMPUTED_VALUE"""),222.37)</f>
        <v>222.37</v>
      </c>
      <c r="J172">
        <f>IFERROR(__xludf.DUMMYFUNCTION("""COMPUTED_VALUE"""),16.26)</f>
        <v>16.26</v>
      </c>
      <c r="K172">
        <f>IFERROR(__xludf.DUMMYFUNCTION("""COMPUTED_VALUE"""),0.16)</f>
        <v>0.16</v>
      </c>
      <c r="L172">
        <f>IFERROR(__xludf.DUMMYFUNCTION("""COMPUTED_VALUE"""),0.47)</f>
        <v>0.47</v>
      </c>
      <c r="M172">
        <f>IFERROR(__xludf.DUMMYFUNCTION("""COMPUTED_VALUE"""),3.11)</f>
        <v>3.11</v>
      </c>
      <c r="N172">
        <f>IFERROR(__xludf.DUMMYFUNCTION("""COMPUTED_VALUE"""),3.05)</f>
        <v>3.05</v>
      </c>
      <c r="O172">
        <f>IFERROR(__xludf.DUMMYFUNCTION("""COMPUTED_VALUE"""),0.53)</f>
        <v>0.53</v>
      </c>
    </row>
    <row r="173">
      <c r="A173" t="str">
        <f>IFERROR(__xludf.DUMMYFUNCTION("""COMPUTED_VALUE"""),"Descoeur")</f>
        <v>Descoeur</v>
      </c>
      <c r="B173" t="str">
        <f>IFERROR(__xludf.DUMMYFUNCTION("""COMPUTED_VALUE"""),"Vincent Descoeur")</f>
        <v>Vincent Descoeur</v>
      </c>
      <c r="C173">
        <f>IFERROR(__xludf.DUMMYFUNCTION("""COMPUTED_VALUE"""),3.79)</f>
        <v>3.79</v>
      </c>
      <c r="D173">
        <f>IFERROR(__xludf.DUMMYFUNCTION("""COMPUTED_VALUE"""),7.42)</f>
        <v>7.42</v>
      </c>
      <c r="E173">
        <f>IFERROR(__xludf.DUMMYFUNCTION("""COMPUTED_VALUE"""),9.05)</f>
        <v>9.05</v>
      </c>
      <c r="F173">
        <f>IFERROR(__xludf.DUMMYFUNCTION("""COMPUTED_VALUE"""),9.16)</f>
        <v>9.16</v>
      </c>
      <c r="G173">
        <f>IFERROR(__xludf.DUMMYFUNCTION("""COMPUTED_VALUE"""),29.58)</f>
        <v>29.58</v>
      </c>
      <c r="H173">
        <f>IFERROR(__xludf.DUMMYFUNCTION("""COMPUTED_VALUE"""),69.0)</f>
        <v>69</v>
      </c>
      <c r="I173">
        <f>IFERROR(__xludf.DUMMYFUNCTION("""COMPUTED_VALUE"""),423.16)</f>
        <v>423.16</v>
      </c>
      <c r="J173">
        <f>IFERROR(__xludf.DUMMYFUNCTION("""COMPUTED_VALUE"""),16.11)</f>
        <v>16.11</v>
      </c>
      <c r="K173">
        <f>IFERROR(__xludf.DUMMYFUNCTION("""COMPUTED_VALUE"""),0.11)</f>
        <v>0.11</v>
      </c>
      <c r="L173">
        <f>IFERROR(__xludf.DUMMYFUNCTION("""COMPUTED_VALUE"""),0.37)</f>
        <v>0.37</v>
      </c>
      <c r="M173">
        <f>IFERROR(__xludf.DUMMYFUNCTION("""COMPUTED_VALUE"""),6.26)</f>
        <v>6.26</v>
      </c>
      <c r="N173">
        <f>IFERROR(__xludf.DUMMYFUNCTION("""COMPUTED_VALUE"""),3.11)</f>
        <v>3.11</v>
      </c>
      <c r="O173">
        <f>IFERROR(__xludf.DUMMYFUNCTION("""COMPUTED_VALUE"""),0.26)</f>
        <v>0.26</v>
      </c>
    </row>
    <row r="174">
      <c r="A174" t="str">
        <f>IFERROR(__xludf.DUMMYFUNCTION("""COMPUTED_VALUE"""),"Descrozaille")</f>
        <v>Descrozaille</v>
      </c>
      <c r="B174" t="str">
        <f>IFERROR(__xludf.DUMMYFUNCTION("""COMPUTED_VALUE"""),"Frédéric Descrozaille")</f>
        <v>Frédéric Descrozaille</v>
      </c>
      <c r="C174">
        <f>IFERROR(__xludf.DUMMYFUNCTION("""COMPUTED_VALUE"""),3.89)</f>
        <v>3.89</v>
      </c>
      <c r="D174">
        <f>IFERROR(__xludf.DUMMYFUNCTION("""COMPUTED_VALUE"""),6.32)</f>
        <v>6.32</v>
      </c>
      <c r="E174">
        <f>IFERROR(__xludf.DUMMYFUNCTION("""COMPUTED_VALUE"""),14.37)</f>
        <v>14.37</v>
      </c>
      <c r="F174">
        <f>IFERROR(__xludf.DUMMYFUNCTION("""COMPUTED_VALUE"""),8.0)</f>
        <v>8</v>
      </c>
      <c r="G174">
        <f>IFERROR(__xludf.DUMMYFUNCTION("""COMPUTED_VALUE"""),2.42)</f>
        <v>2.42</v>
      </c>
      <c r="H174">
        <f>IFERROR(__xludf.DUMMYFUNCTION("""COMPUTED_VALUE"""),2.05)</f>
        <v>2.05</v>
      </c>
      <c r="I174">
        <f>IFERROR(__xludf.DUMMYFUNCTION("""COMPUTED_VALUE"""),55.32)</f>
        <v>55.32</v>
      </c>
      <c r="J174">
        <f>IFERROR(__xludf.DUMMYFUNCTION("""COMPUTED_VALUE"""),19.16)</f>
        <v>19.16</v>
      </c>
      <c r="K174">
        <f>IFERROR(__xludf.DUMMYFUNCTION("""COMPUTED_VALUE"""),0.26)</f>
        <v>0.26</v>
      </c>
      <c r="L174">
        <f>IFERROR(__xludf.DUMMYFUNCTION("""COMPUTED_VALUE"""),0.05)</f>
        <v>0.05</v>
      </c>
      <c r="M174">
        <f>IFERROR(__xludf.DUMMYFUNCTION("""COMPUTED_VALUE"""),2.16)</f>
        <v>2.16</v>
      </c>
      <c r="N174">
        <f>IFERROR(__xludf.DUMMYFUNCTION("""COMPUTED_VALUE"""),0.05)</f>
        <v>0.05</v>
      </c>
      <c r="O174">
        <f>IFERROR(__xludf.DUMMYFUNCTION("""COMPUTED_VALUE"""),0.05)</f>
        <v>0.05</v>
      </c>
    </row>
    <row r="175">
      <c r="A175" t="str">
        <f>IFERROR(__xludf.DUMMYFUNCTION("""COMPUTED_VALUE"""),"Desjonquères")</f>
        <v>Desjonquères</v>
      </c>
      <c r="B175" t="str">
        <f>IFERROR(__xludf.DUMMYFUNCTION("""COMPUTED_VALUE"""),"Mathilde Desjonquères")</f>
        <v>Mathilde Desjonquères</v>
      </c>
      <c r="C175">
        <f>IFERROR(__xludf.DUMMYFUNCTION("""COMPUTED_VALUE"""),3.94)</f>
        <v>3.94</v>
      </c>
      <c r="D175">
        <f>IFERROR(__xludf.DUMMYFUNCTION("""COMPUTED_VALUE"""),4.06)</f>
        <v>4.06</v>
      </c>
      <c r="E175">
        <f>IFERROR(__xludf.DUMMYFUNCTION("""COMPUTED_VALUE"""),2.78)</f>
        <v>2.78</v>
      </c>
      <c r="F175">
        <f>IFERROR(__xludf.DUMMYFUNCTION("""COMPUTED_VALUE"""),4.44)</f>
        <v>4.44</v>
      </c>
      <c r="G175">
        <f>IFERROR(__xludf.DUMMYFUNCTION("""COMPUTED_VALUE"""),0.44)</f>
        <v>0.44</v>
      </c>
      <c r="H175">
        <f>IFERROR(__xludf.DUMMYFUNCTION("""COMPUTED_VALUE"""),2.56)</f>
        <v>2.56</v>
      </c>
      <c r="I175">
        <f>IFERROR(__xludf.DUMMYFUNCTION("""COMPUTED_VALUE"""),79.67)</f>
        <v>79.67</v>
      </c>
      <c r="J175">
        <f>IFERROR(__xludf.DUMMYFUNCTION("""COMPUTED_VALUE"""),18.5)</f>
        <v>18.5</v>
      </c>
      <c r="K175">
        <f>IFERROR(__xludf.DUMMYFUNCTION("""COMPUTED_VALUE"""),0.06)</f>
        <v>0.06</v>
      </c>
      <c r="L175">
        <f>IFERROR(__xludf.DUMMYFUNCTION("""COMPUTED_VALUE"""),0.0)</f>
        <v>0</v>
      </c>
      <c r="M175">
        <f>IFERROR(__xludf.DUMMYFUNCTION("""COMPUTED_VALUE"""),1.11)</f>
        <v>1.11</v>
      </c>
      <c r="N175">
        <f>IFERROR(__xludf.DUMMYFUNCTION("""COMPUTED_VALUE"""),0.44)</f>
        <v>0.44</v>
      </c>
      <c r="O175">
        <f>IFERROR(__xludf.DUMMYFUNCTION("""COMPUTED_VALUE"""),0.28)</f>
        <v>0.28</v>
      </c>
    </row>
    <row r="176">
      <c r="A176" t="str">
        <f>IFERROR(__xludf.DUMMYFUNCTION("""COMPUTED_VALUE"""),"Dessigny")</f>
        <v>Dessigny</v>
      </c>
      <c r="B176" t="str">
        <f>IFERROR(__xludf.DUMMYFUNCTION("""COMPUTED_VALUE"""),"Jocelyn Dessigny")</f>
        <v>Jocelyn Dessigny</v>
      </c>
      <c r="C176">
        <f>IFERROR(__xludf.DUMMYFUNCTION("""COMPUTED_VALUE"""),4.26)</f>
        <v>4.26</v>
      </c>
      <c r="D176">
        <f>IFERROR(__xludf.DUMMYFUNCTION("""COMPUTED_VALUE"""),10.32)</f>
        <v>10.32</v>
      </c>
      <c r="E176">
        <f>IFERROR(__xludf.DUMMYFUNCTION("""COMPUTED_VALUE"""),8.74)</f>
        <v>8.74</v>
      </c>
      <c r="F176">
        <f>IFERROR(__xludf.DUMMYFUNCTION("""COMPUTED_VALUE"""),21.63)</f>
        <v>21.63</v>
      </c>
      <c r="G176">
        <f>IFERROR(__xludf.DUMMYFUNCTION("""COMPUTED_VALUE"""),128.37)</f>
        <v>128.37</v>
      </c>
      <c r="H176">
        <f>IFERROR(__xludf.DUMMYFUNCTION("""COMPUTED_VALUE"""),14.32)</f>
        <v>14.32</v>
      </c>
      <c r="I176">
        <f>IFERROR(__xludf.DUMMYFUNCTION("""COMPUTED_VALUE"""),473.84)</f>
        <v>473.84</v>
      </c>
      <c r="J176">
        <f>IFERROR(__xludf.DUMMYFUNCTION("""COMPUTED_VALUE"""),5.58)</f>
        <v>5.58</v>
      </c>
      <c r="K176">
        <f>IFERROR(__xludf.DUMMYFUNCTION("""COMPUTED_VALUE"""),0.0)</f>
        <v>0</v>
      </c>
      <c r="L176">
        <f>IFERROR(__xludf.DUMMYFUNCTION("""COMPUTED_VALUE"""),0.05)</f>
        <v>0.05</v>
      </c>
      <c r="M176">
        <f>IFERROR(__xludf.DUMMYFUNCTION("""COMPUTED_VALUE"""),5.53)</f>
        <v>5.53</v>
      </c>
      <c r="N176">
        <f>IFERROR(__xludf.DUMMYFUNCTION("""COMPUTED_VALUE"""),1.74)</f>
        <v>1.74</v>
      </c>
      <c r="O176">
        <f>IFERROR(__xludf.DUMMYFUNCTION("""COMPUTED_VALUE"""),0.26)</f>
        <v>0.26</v>
      </c>
    </row>
    <row r="177">
      <c r="A177" t="str">
        <f>IFERROR(__xludf.DUMMYFUNCTION("""COMPUTED_VALUE"""),"Dharréville")</f>
        <v>Dharréville</v>
      </c>
      <c r="B177" t="str">
        <f>IFERROR(__xludf.DUMMYFUNCTION("""COMPUTED_VALUE"""),"Pierre Dharréville")</f>
        <v>Pierre Dharréville</v>
      </c>
      <c r="C177">
        <f>IFERROR(__xludf.DUMMYFUNCTION("""COMPUTED_VALUE"""),4.11)</f>
        <v>4.11</v>
      </c>
      <c r="D177">
        <f>IFERROR(__xludf.DUMMYFUNCTION("""COMPUTED_VALUE"""),9.79)</f>
        <v>9.79</v>
      </c>
      <c r="E177">
        <f>IFERROR(__xludf.DUMMYFUNCTION("""COMPUTED_VALUE"""),35.89)</f>
        <v>35.89</v>
      </c>
      <c r="F177">
        <f>IFERROR(__xludf.DUMMYFUNCTION("""COMPUTED_VALUE"""),42.32)</f>
        <v>42.32</v>
      </c>
      <c r="G177">
        <f>IFERROR(__xludf.DUMMYFUNCTION("""COMPUTED_VALUE"""),47.0)</f>
        <v>47</v>
      </c>
      <c r="H177">
        <f>IFERROR(__xludf.DUMMYFUNCTION("""COMPUTED_VALUE"""),50.84)</f>
        <v>50.84</v>
      </c>
      <c r="I177">
        <f>IFERROR(__xludf.DUMMYFUNCTION("""COMPUTED_VALUE"""),254.68)</f>
        <v>254.68</v>
      </c>
      <c r="J177">
        <f>IFERROR(__xludf.DUMMYFUNCTION("""COMPUTED_VALUE"""),14.63)</f>
        <v>14.63</v>
      </c>
      <c r="K177">
        <f>IFERROR(__xludf.DUMMYFUNCTION("""COMPUTED_VALUE"""),0.16)</f>
        <v>0.16</v>
      </c>
      <c r="L177">
        <f>IFERROR(__xludf.DUMMYFUNCTION("""COMPUTED_VALUE"""),1.05)</f>
        <v>1.05</v>
      </c>
      <c r="M177">
        <f>IFERROR(__xludf.DUMMYFUNCTION("""COMPUTED_VALUE"""),4.42)</f>
        <v>4.42</v>
      </c>
      <c r="N177">
        <f>IFERROR(__xludf.DUMMYFUNCTION("""COMPUTED_VALUE"""),3.68)</f>
        <v>3.68</v>
      </c>
      <c r="O177">
        <f>IFERROR(__xludf.DUMMYFUNCTION("""COMPUTED_VALUE"""),0.47)</f>
        <v>0.47</v>
      </c>
    </row>
    <row r="178">
      <c r="A178" t="str">
        <f>IFERROR(__xludf.DUMMYFUNCTION("""COMPUTED_VALUE"""),"Di Filippo")</f>
        <v>Di Filippo</v>
      </c>
      <c r="B178" t="str">
        <f>IFERROR(__xludf.DUMMYFUNCTION("""COMPUTED_VALUE"""),"Fabien Di Filippo")</f>
        <v>Fabien Di Filippo</v>
      </c>
      <c r="C178">
        <f>IFERROR(__xludf.DUMMYFUNCTION("""COMPUTED_VALUE"""),4.05)</f>
        <v>4.05</v>
      </c>
      <c r="D178">
        <f>IFERROR(__xludf.DUMMYFUNCTION("""COMPUTED_VALUE"""),14.26)</f>
        <v>14.26</v>
      </c>
      <c r="E178">
        <f>IFERROR(__xludf.DUMMYFUNCTION("""COMPUTED_VALUE"""),19.89)</f>
        <v>19.89</v>
      </c>
      <c r="F178">
        <f>IFERROR(__xludf.DUMMYFUNCTION("""COMPUTED_VALUE"""),14.32)</f>
        <v>14.32</v>
      </c>
      <c r="G178">
        <f>IFERROR(__xludf.DUMMYFUNCTION("""COMPUTED_VALUE"""),74.53)</f>
        <v>74.53</v>
      </c>
      <c r="H178">
        <f>IFERROR(__xludf.DUMMYFUNCTION("""COMPUTED_VALUE"""),46.11)</f>
        <v>46.11</v>
      </c>
      <c r="I178">
        <f>IFERROR(__xludf.DUMMYFUNCTION("""COMPUTED_VALUE"""),196.53)</f>
        <v>196.53</v>
      </c>
      <c r="J178">
        <f>IFERROR(__xludf.DUMMYFUNCTION("""COMPUTED_VALUE"""),7.05)</f>
        <v>7.05</v>
      </c>
      <c r="K178">
        <f>IFERROR(__xludf.DUMMYFUNCTION("""COMPUTED_VALUE"""),0.05)</f>
        <v>0.05</v>
      </c>
      <c r="L178">
        <f>IFERROR(__xludf.DUMMYFUNCTION("""COMPUTED_VALUE"""),0.68)</f>
        <v>0.68</v>
      </c>
      <c r="M178">
        <f>IFERROR(__xludf.DUMMYFUNCTION("""COMPUTED_VALUE"""),6.0)</f>
        <v>6</v>
      </c>
      <c r="N178">
        <f>IFERROR(__xludf.DUMMYFUNCTION("""COMPUTED_VALUE"""),4.37)</f>
        <v>4.37</v>
      </c>
      <c r="O178">
        <f>IFERROR(__xludf.DUMMYFUNCTION("""COMPUTED_VALUE"""),0.11)</f>
        <v>0.11</v>
      </c>
    </row>
    <row r="179">
      <c r="A179" t="str">
        <f>IFERROR(__xludf.DUMMYFUNCTION("""COMPUTED_VALUE"""),"Diaz")</f>
        <v>Diaz</v>
      </c>
      <c r="B179" t="str">
        <f>IFERROR(__xludf.DUMMYFUNCTION("""COMPUTED_VALUE"""),"Edwige Diaz")</f>
        <v>Edwige Diaz</v>
      </c>
      <c r="C179">
        <f>IFERROR(__xludf.DUMMYFUNCTION("""COMPUTED_VALUE"""),3.84)</f>
        <v>3.84</v>
      </c>
      <c r="D179">
        <f>IFERROR(__xludf.DUMMYFUNCTION("""COMPUTED_VALUE"""),5.58)</f>
        <v>5.58</v>
      </c>
      <c r="E179">
        <f>IFERROR(__xludf.DUMMYFUNCTION("""COMPUTED_VALUE"""),7.47)</f>
        <v>7.47</v>
      </c>
      <c r="F179">
        <f>IFERROR(__xludf.DUMMYFUNCTION("""COMPUTED_VALUE"""),14.37)</f>
        <v>14.37</v>
      </c>
      <c r="G179">
        <f>IFERROR(__xludf.DUMMYFUNCTION("""COMPUTED_VALUE"""),4.84)</f>
        <v>4.84</v>
      </c>
      <c r="H179">
        <f>IFERROR(__xludf.DUMMYFUNCTION("""COMPUTED_VALUE"""),9.11)</f>
        <v>9.11</v>
      </c>
      <c r="I179">
        <f>IFERROR(__xludf.DUMMYFUNCTION("""COMPUTED_VALUE"""),442.58)</f>
        <v>442.58</v>
      </c>
      <c r="J179">
        <f>IFERROR(__xludf.DUMMYFUNCTION("""COMPUTED_VALUE"""),5.47)</f>
        <v>5.47</v>
      </c>
      <c r="K179">
        <f>IFERROR(__xludf.DUMMYFUNCTION("""COMPUTED_VALUE"""),0.0)</f>
        <v>0</v>
      </c>
      <c r="L179">
        <f>IFERROR(__xludf.DUMMYFUNCTION("""COMPUTED_VALUE"""),0.11)</f>
        <v>0.11</v>
      </c>
      <c r="M179">
        <f>IFERROR(__xludf.DUMMYFUNCTION("""COMPUTED_VALUE"""),6.95)</f>
        <v>6.95</v>
      </c>
      <c r="N179">
        <f>IFERROR(__xludf.DUMMYFUNCTION("""COMPUTED_VALUE"""),4.63)</f>
        <v>4.63</v>
      </c>
      <c r="O179">
        <f>IFERROR(__xludf.DUMMYFUNCTION("""COMPUTED_VALUE"""),0.26)</f>
        <v>0.26</v>
      </c>
    </row>
    <row r="180">
      <c r="A180" t="str">
        <f>IFERROR(__xludf.DUMMYFUNCTION("""COMPUTED_VALUE"""),"Dirx")</f>
        <v>Dirx</v>
      </c>
      <c r="B180" t="str">
        <f>IFERROR(__xludf.DUMMYFUNCTION("""COMPUTED_VALUE"""),"Benjamin Dirx")</f>
        <v>Benjamin Dirx</v>
      </c>
      <c r="C180">
        <f>IFERROR(__xludf.DUMMYFUNCTION("""COMPUTED_VALUE"""),3.79)</f>
        <v>3.79</v>
      </c>
      <c r="D180">
        <f>IFERROR(__xludf.DUMMYFUNCTION("""COMPUTED_VALUE"""),5.42)</f>
        <v>5.42</v>
      </c>
      <c r="E180">
        <f>IFERROR(__xludf.DUMMYFUNCTION("""COMPUTED_VALUE"""),2.53)</f>
        <v>2.53</v>
      </c>
      <c r="F180">
        <f>IFERROR(__xludf.DUMMYFUNCTION("""COMPUTED_VALUE"""),2.05)</f>
        <v>2.05</v>
      </c>
      <c r="G180">
        <f>IFERROR(__xludf.DUMMYFUNCTION("""COMPUTED_VALUE"""),0.79)</f>
        <v>0.79</v>
      </c>
      <c r="H180">
        <f>IFERROR(__xludf.DUMMYFUNCTION("""COMPUTED_VALUE"""),5.84)</f>
        <v>5.84</v>
      </c>
      <c r="I180">
        <f>IFERROR(__xludf.DUMMYFUNCTION("""COMPUTED_VALUE"""),54.53)</f>
        <v>54.53</v>
      </c>
      <c r="J180">
        <f>IFERROR(__xludf.DUMMYFUNCTION("""COMPUTED_VALUE"""),16.53)</f>
        <v>16.53</v>
      </c>
      <c r="K180">
        <f>IFERROR(__xludf.DUMMYFUNCTION("""COMPUTED_VALUE"""),0.16)</f>
        <v>0.16</v>
      </c>
      <c r="L180">
        <f>IFERROR(__xludf.DUMMYFUNCTION("""COMPUTED_VALUE"""),0.0)</f>
        <v>0</v>
      </c>
      <c r="M180">
        <f>IFERROR(__xludf.DUMMYFUNCTION("""COMPUTED_VALUE"""),1.95)</f>
        <v>1.95</v>
      </c>
      <c r="N180">
        <f>IFERROR(__xludf.DUMMYFUNCTION("""COMPUTED_VALUE"""),1.16)</f>
        <v>1.16</v>
      </c>
      <c r="O180">
        <f>IFERROR(__xludf.DUMMYFUNCTION("""COMPUTED_VALUE"""),0.05)</f>
        <v>0.05</v>
      </c>
    </row>
    <row r="181">
      <c r="A181" t="str">
        <f>IFERROR(__xludf.DUMMYFUNCTION("""COMPUTED_VALUE"""),"Dive")</f>
        <v>Dive</v>
      </c>
      <c r="B181" t="str">
        <f>IFERROR(__xludf.DUMMYFUNCTION("""COMPUTED_VALUE"""),"Julien Dive")</f>
        <v>Julien Dive</v>
      </c>
      <c r="C181">
        <f>IFERROR(__xludf.DUMMYFUNCTION("""COMPUTED_VALUE"""),3.84)</f>
        <v>3.84</v>
      </c>
      <c r="D181">
        <f>IFERROR(__xludf.DUMMYFUNCTION("""COMPUTED_VALUE"""),5.42)</f>
        <v>5.42</v>
      </c>
      <c r="E181">
        <f>IFERROR(__xludf.DUMMYFUNCTION("""COMPUTED_VALUE"""),8.05)</f>
        <v>8.05</v>
      </c>
      <c r="F181">
        <f>IFERROR(__xludf.DUMMYFUNCTION("""COMPUTED_VALUE"""),11.84)</f>
        <v>11.84</v>
      </c>
      <c r="G181">
        <f>IFERROR(__xludf.DUMMYFUNCTION("""COMPUTED_VALUE"""),9.89)</f>
        <v>9.89</v>
      </c>
      <c r="H181">
        <f>IFERROR(__xludf.DUMMYFUNCTION("""COMPUTED_VALUE"""),32.58)</f>
        <v>32.58</v>
      </c>
      <c r="I181">
        <f>IFERROR(__xludf.DUMMYFUNCTION("""COMPUTED_VALUE"""),207.58)</f>
        <v>207.58</v>
      </c>
      <c r="J181">
        <f>IFERROR(__xludf.DUMMYFUNCTION("""COMPUTED_VALUE"""),11.11)</f>
        <v>11.11</v>
      </c>
      <c r="K181">
        <f>IFERROR(__xludf.DUMMYFUNCTION("""COMPUTED_VALUE"""),0.11)</f>
        <v>0.11</v>
      </c>
      <c r="L181">
        <f>IFERROR(__xludf.DUMMYFUNCTION("""COMPUTED_VALUE"""),0.53)</f>
        <v>0.53</v>
      </c>
      <c r="M181">
        <f>IFERROR(__xludf.DUMMYFUNCTION("""COMPUTED_VALUE"""),6.42)</f>
        <v>6.42</v>
      </c>
      <c r="N181">
        <f>IFERROR(__xludf.DUMMYFUNCTION("""COMPUTED_VALUE"""),3.26)</f>
        <v>3.26</v>
      </c>
      <c r="O181">
        <f>IFERROR(__xludf.DUMMYFUNCTION("""COMPUTED_VALUE"""),0.32)</f>
        <v>0.32</v>
      </c>
    </row>
    <row r="182">
      <c r="A182" t="str">
        <f>IFERROR(__xludf.DUMMYFUNCTION("""COMPUTED_VALUE"""),"Dogor-Such")</f>
        <v>Dogor-Such</v>
      </c>
      <c r="B182" t="str">
        <f>IFERROR(__xludf.DUMMYFUNCTION("""COMPUTED_VALUE"""),"Sandrine Dogor-Such")</f>
        <v>Sandrine Dogor-Such</v>
      </c>
      <c r="C182">
        <f>IFERROR(__xludf.DUMMYFUNCTION("""COMPUTED_VALUE"""),3.84)</f>
        <v>3.84</v>
      </c>
      <c r="D182">
        <f>IFERROR(__xludf.DUMMYFUNCTION("""COMPUTED_VALUE"""),8.0)</f>
        <v>8</v>
      </c>
      <c r="E182">
        <f>IFERROR(__xludf.DUMMYFUNCTION("""COMPUTED_VALUE"""),7.37)</f>
        <v>7.37</v>
      </c>
      <c r="F182">
        <f>IFERROR(__xludf.DUMMYFUNCTION("""COMPUTED_VALUE"""),6.42)</f>
        <v>6.42</v>
      </c>
      <c r="G182">
        <f>IFERROR(__xludf.DUMMYFUNCTION("""COMPUTED_VALUE"""),0.63)</f>
        <v>0.63</v>
      </c>
      <c r="H182">
        <f>IFERROR(__xludf.DUMMYFUNCTION("""COMPUTED_VALUE"""),8.37)</f>
        <v>8.37</v>
      </c>
      <c r="I182">
        <f>IFERROR(__xludf.DUMMYFUNCTION("""COMPUTED_VALUE"""),487.63)</f>
        <v>487.63</v>
      </c>
      <c r="J182">
        <f>IFERROR(__xludf.DUMMYFUNCTION("""COMPUTED_VALUE"""),5.89)</f>
        <v>5.89</v>
      </c>
      <c r="K182">
        <f>IFERROR(__xludf.DUMMYFUNCTION("""COMPUTED_VALUE"""),0.0)</f>
        <v>0</v>
      </c>
      <c r="L182">
        <f>IFERROR(__xludf.DUMMYFUNCTION("""COMPUTED_VALUE"""),0.0)</f>
        <v>0</v>
      </c>
      <c r="M182">
        <f>IFERROR(__xludf.DUMMYFUNCTION("""COMPUTED_VALUE"""),5.42)</f>
        <v>5.42</v>
      </c>
      <c r="N182">
        <f>IFERROR(__xludf.DUMMYFUNCTION("""COMPUTED_VALUE"""),1.11)</f>
        <v>1.11</v>
      </c>
      <c r="O182">
        <f>IFERROR(__xludf.DUMMYFUNCTION("""COMPUTED_VALUE"""),0.16)</f>
        <v>0.16</v>
      </c>
    </row>
    <row r="183">
      <c r="A183" t="str">
        <f>IFERROR(__xludf.DUMMYFUNCTION("""COMPUTED_VALUE"""),"Dordain")</f>
        <v>Dordain</v>
      </c>
      <c r="B183" t="str">
        <f>IFERROR(__xludf.DUMMYFUNCTION("""COMPUTED_VALUE"""),"Ingrid Dordain")</f>
        <v>Ingrid Dordain</v>
      </c>
      <c r="C183">
        <f>IFERROR(__xludf.DUMMYFUNCTION("""COMPUTED_VALUE"""),3.63)</f>
        <v>3.63</v>
      </c>
      <c r="D183">
        <f>IFERROR(__xludf.DUMMYFUNCTION("""COMPUTED_VALUE"""),5.75)</f>
        <v>5.75</v>
      </c>
      <c r="E183">
        <f>IFERROR(__xludf.DUMMYFUNCTION("""COMPUTED_VALUE"""),1.75)</f>
        <v>1.75</v>
      </c>
      <c r="F183">
        <f>IFERROR(__xludf.DUMMYFUNCTION("""COMPUTED_VALUE"""),1.13)</f>
        <v>1.13</v>
      </c>
      <c r="G183">
        <f>IFERROR(__xludf.DUMMYFUNCTION("""COMPUTED_VALUE"""),0.38)</f>
        <v>0.38</v>
      </c>
      <c r="H183">
        <f>IFERROR(__xludf.DUMMYFUNCTION("""COMPUTED_VALUE"""),0.13)</f>
        <v>0.13</v>
      </c>
      <c r="I183">
        <f>IFERROR(__xludf.DUMMYFUNCTION("""COMPUTED_VALUE"""),114.88)</f>
        <v>114.88</v>
      </c>
      <c r="J183">
        <f>IFERROR(__xludf.DUMMYFUNCTION("""COMPUTED_VALUE"""),17.38)</f>
        <v>17.38</v>
      </c>
      <c r="K183">
        <f>IFERROR(__xludf.DUMMYFUNCTION("""COMPUTED_VALUE"""),0.0)</f>
        <v>0</v>
      </c>
      <c r="L183">
        <f>IFERROR(__xludf.DUMMYFUNCTION("""COMPUTED_VALUE"""),0.0)</f>
        <v>0</v>
      </c>
      <c r="M183">
        <f>IFERROR(__xludf.DUMMYFUNCTION("""COMPUTED_VALUE"""),1.75)</f>
        <v>1.75</v>
      </c>
      <c r="N183">
        <f>IFERROR(__xludf.DUMMYFUNCTION("""COMPUTED_VALUE"""),0.25)</f>
        <v>0.25</v>
      </c>
      <c r="O183">
        <f>IFERROR(__xludf.DUMMYFUNCTION("""COMPUTED_VALUE"""),0.25)</f>
        <v>0.25</v>
      </c>
    </row>
    <row r="184">
      <c r="A184" t="str">
        <f>IFERROR(__xludf.DUMMYFUNCTION("""COMPUTED_VALUE"""),"Dragon")</f>
        <v>Dragon</v>
      </c>
      <c r="B184" t="str">
        <f>IFERROR(__xludf.DUMMYFUNCTION("""COMPUTED_VALUE"""),"Nicolas Dragon")</f>
        <v>Nicolas Dragon</v>
      </c>
      <c r="C184">
        <f>IFERROR(__xludf.DUMMYFUNCTION("""COMPUTED_VALUE"""),3.84)</f>
        <v>3.84</v>
      </c>
      <c r="D184">
        <f>IFERROR(__xludf.DUMMYFUNCTION("""COMPUTED_VALUE"""),4.42)</f>
        <v>4.42</v>
      </c>
      <c r="E184">
        <f>IFERROR(__xludf.DUMMYFUNCTION("""COMPUTED_VALUE"""),3.42)</f>
        <v>3.42</v>
      </c>
      <c r="F184">
        <f>IFERROR(__xludf.DUMMYFUNCTION("""COMPUTED_VALUE"""),7.89)</f>
        <v>7.89</v>
      </c>
      <c r="G184">
        <f>IFERROR(__xludf.DUMMYFUNCTION("""COMPUTED_VALUE"""),2.37)</f>
        <v>2.37</v>
      </c>
      <c r="H184">
        <f>IFERROR(__xludf.DUMMYFUNCTION("""COMPUTED_VALUE"""),7.21)</f>
        <v>7.21</v>
      </c>
      <c r="I184">
        <f>IFERROR(__xludf.DUMMYFUNCTION("""COMPUTED_VALUE"""),476.63)</f>
        <v>476.63</v>
      </c>
      <c r="J184">
        <f>IFERROR(__xludf.DUMMYFUNCTION("""COMPUTED_VALUE"""),6.63)</f>
        <v>6.63</v>
      </c>
      <c r="K184">
        <f>IFERROR(__xludf.DUMMYFUNCTION("""COMPUTED_VALUE"""),0.0)</f>
        <v>0</v>
      </c>
      <c r="L184">
        <f>IFERROR(__xludf.DUMMYFUNCTION("""COMPUTED_VALUE"""),0.0)</f>
        <v>0</v>
      </c>
      <c r="M184">
        <f>IFERROR(__xludf.DUMMYFUNCTION("""COMPUTED_VALUE"""),5.63)</f>
        <v>5.63</v>
      </c>
      <c r="N184">
        <f>IFERROR(__xludf.DUMMYFUNCTION("""COMPUTED_VALUE"""),2.05)</f>
        <v>2.05</v>
      </c>
      <c r="O184">
        <f>IFERROR(__xludf.DUMMYFUNCTION("""COMPUTED_VALUE"""),0.21)</f>
        <v>0.21</v>
      </c>
    </row>
    <row r="185">
      <c r="A185" t="str">
        <f>IFERROR(__xludf.DUMMYFUNCTION("""COMPUTED_VALUE"""),"Dubois")</f>
        <v>Dubois</v>
      </c>
      <c r="B185" t="str">
        <f>IFERROR(__xludf.DUMMYFUNCTION("""COMPUTED_VALUE"""),"Francis Dubois")</f>
        <v>Francis Dubois</v>
      </c>
      <c r="C185">
        <f>IFERROR(__xludf.DUMMYFUNCTION("""COMPUTED_VALUE"""),3.89)</f>
        <v>3.89</v>
      </c>
      <c r="D185">
        <f>IFERROR(__xludf.DUMMYFUNCTION("""COMPUTED_VALUE"""),7.42)</f>
        <v>7.42</v>
      </c>
      <c r="E185">
        <f>IFERROR(__xludf.DUMMYFUNCTION("""COMPUTED_VALUE"""),8.26)</f>
        <v>8.26</v>
      </c>
      <c r="F185">
        <f>IFERROR(__xludf.DUMMYFUNCTION("""COMPUTED_VALUE"""),8.16)</f>
        <v>8.16</v>
      </c>
      <c r="G185">
        <f>IFERROR(__xludf.DUMMYFUNCTION("""COMPUTED_VALUE"""),10.95)</f>
        <v>10.95</v>
      </c>
      <c r="H185">
        <f>IFERROR(__xludf.DUMMYFUNCTION("""COMPUTED_VALUE"""),22.47)</f>
        <v>22.47</v>
      </c>
      <c r="I185">
        <f>IFERROR(__xludf.DUMMYFUNCTION("""COMPUTED_VALUE"""),435.21)</f>
        <v>435.21</v>
      </c>
      <c r="J185">
        <f>IFERROR(__xludf.DUMMYFUNCTION("""COMPUTED_VALUE"""),15.74)</f>
        <v>15.74</v>
      </c>
      <c r="K185">
        <f>IFERROR(__xludf.DUMMYFUNCTION("""COMPUTED_VALUE"""),0.0)</f>
        <v>0</v>
      </c>
      <c r="L185">
        <f>IFERROR(__xludf.DUMMYFUNCTION("""COMPUTED_VALUE"""),0.16)</f>
        <v>0.16</v>
      </c>
      <c r="M185">
        <f>IFERROR(__xludf.DUMMYFUNCTION("""COMPUTED_VALUE"""),11.74)</f>
        <v>11.74</v>
      </c>
      <c r="N185">
        <f>IFERROR(__xludf.DUMMYFUNCTION("""COMPUTED_VALUE"""),3.11)</f>
        <v>3.11</v>
      </c>
      <c r="O185">
        <f>IFERROR(__xludf.DUMMYFUNCTION("""COMPUTED_VALUE"""),0.37)</f>
        <v>0.37</v>
      </c>
    </row>
    <row r="186">
      <c r="A186" t="str">
        <f>IFERROR(__xludf.DUMMYFUNCTION("""COMPUTED_VALUE"""),"Dubré-Chirat")</f>
        <v>Dubré-Chirat</v>
      </c>
      <c r="B186" t="str">
        <f>IFERROR(__xludf.DUMMYFUNCTION("""COMPUTED_VALUE"""),"Nicole Dubré-Chirat")</f>
        <v>Nicole Dubré-Chirat</v>
      </c>
      <c r="C186">
        <f>IFERROR(__xludf.DUMMYFUNCTION("""COMPUTED_VALUE"""),3.89)</f>
        <v>3.89</v>
      </c>
      <c r="D186">
        <f>IFERROR(__xludf.DUMMYFUNCTION("""COMPUTED_VALUE"""),9.79)</f>
        <v>9.79</v>
      </c>
      <c r="E186">
        <f>IFERROR(__xludf.DUMMYFUNCTION("""COMPUTED_VALUE"""),5.84)</f>
        <v>5.84</v>
      </c>
      <c r="F186">
        <f>IFERROR(__xludf.DUMMYFUNCTION("""COMPUTED_VALUE"""),2.42)</f>
        <v>2.42</v>
      </c>
      <c r="G186">
        <f>IFERROR(__xludf.DUMMYFUNCTION("""COMPUTED_VALUE"""),2.42)</f>
        <v>2.42</v>
      </c>
      <c r="H186">
        <f>IFERROR(__xludf.DUMMYFUNCTION("""COMPUTED_VALUE"""),4.16)</f>
        <v>4.16</v>
      </c>
      <c r="I186">
        <f>IFERROR(__xludf.DUMMYFUNCTION("""COMPUTED_VALUE"""),69.63)</f>
        <v>69.63</v>
      </c>
      <c r="J186">
        <f>IFERROR(__xludf.DUMMYFUNCTION("""COMPUTED_VALUE"""),18.11)</f>
        <v>18.11</v>
      </c>
      <c r="K186">
        <f>IFERROR(__xludf.DUMMYFUNCTION("""COMPUTED_VALUE"""),0.05)</f>
        <v>0.05</v>
      </c>
      <c r="L186">
        <f>IFERROR(__xludf.DUMMYFUNCTION("""COMPUTED_VALUE"""),0.0)</f>
        <v>0</v>
      </c>
      <c r="M186">
        <f>IFERROR(__xludf.DUMMYFUNCTION("""COMPUTED_VALUE"""),2.37)</f>
        <v>2.37</v>
      </c>
      <c r="N186">
        <f>IFERROR(__xludf.DUMMYFUNCTION("""COMPUTED_VALUE"""),0.74)</f>
        <v>0.74</v>
      </c>
      <c r="O186">
        <f>IFERROR(__xludf.DUMMYFUNCTION("""COMPUTED_VALUE"""),0.21)</f>
        <v>0.21</v>
      </c>
    </row>
    <row r="187">
      <c r="A187" t="str">
        <f>IFERROR(__xludf.DUMMYFUNCTION("""COMPUTED_VALUE"""),"Duby-Muller")</f>
        <v>Duby-Muller</v>
      </c>
      <c r="B187" t="str">
        <f>IFERROR(__xludf.DUMMYFUNCTION("""COMPUTED_VALUE"""),"Virginie Duby-Muller")</f>
        <v>Virginie Duby-Muller</v>
      </c>
      <c r="C187">
        <f>IFERROR(__xludf.DUMMYFUNCTION("""COMPUTED_VALUE"""),3.79)</f>
        <v>3.79</v>
      </c>
      <c r="D187">
        <f>IFERROR(__xludf.DUMMYFUNCTION("""COMPUTED_VALUE"""),6.89)</f>
        <v>6.89</v>
      </c>
      <c r="E187">
        <f>IFERROR(__xludf.DUMMYFUNCTION("""COMPUTED_VALUE"""),4.05)</f>
        <v>4.05</v>
      </c>
      <c r="F187">
        <f>IFERROR(__xludf.DUMMYFUNCTION("""COMPUTED_VALUE"""),4.68)</f>
        <v>4.68</v>
      </c>
      <c r="G187">
        <f>IFERROR(__xludf.DUMMYFUNCTION("""COMPUTED_VALUE"""),2.58)</f>
        <v>2.58</v>
      </c>
      <c r="H187">
        <f>IFERROR(__xludf.DUMMYFUNCTION("""COMPUTED_VALUE"""),10.11)</f>
        <v>10.11</v>
      </c>
      <c r="I187">
        <f>IFERROR(__xludf.DUMMYFUNCTION("""COMPUTED_VALUE"""),260.16)</f>
        <v>260.16</v>
      </c>
      <c r="J187">
        <f>IFERROR(__xludf.DUMMYFUNCTION("""COMPUTED_VALUE"""),10.89)</f>
        <v>10.89</v>
      </c>
      <c r="K187">
        <f>IFERROR(__xludf.DUMMYFUNCTION("""COMPUTED_VALUE"""),0.11)</f>
        <v>0.11</v>
      </c>
      <c r="L187">
        <f>IFERROR(__xludf.DUMMYFUNCTION("""COMPUTED_VALUE"""),0.32)</f>
        <v>0.32</v>
      </c>
      <c r="M187">
        <f>IFERROR(__xludf.DUMMYFUNCTION("""COMPUTED_VALUE"""),7.79)</f>
        <v>7.79</v>
      </c>
      <c r="N187">
        <f>IFERROR(__xludf.DUMMYFUNCTION("""COMPUTED_VALUE"""),3.58)</f>
        <v>3.58</v>
      </c>
      <c r="O187">
        <f>IFERROR(__xludf.DUMMYFUNCTION("""COMPUTED_VALUE"""),0.32)</f>
        <v>0.32</v>
      </c>
    </row>
    <row r="188">
      <c r="A188" t="str">
        <f>IFERROR(__xludf.DUMMYFUNCTION("""COMPUTED_VALUE"""),"Dufour")</f>
        <v>Dufour</v>
      </c>
      <c r="B188" t="str">
        <f>IFERROR(__xludf.DUMMYFUNCTION("""COMPUTED_VALUE"""),"Alma Dufour")</f>
        <v>Alma Dufour</v>
      </c>
      <c r="C188">
        <f>IFERROR(__xludf.DUMMYFUNCTION("""COMPUTED_VALUE"""),3.63)</f>
        <v>3.63</v>
      </c>
      <c r="D188">
        <f>IFERROR(__xludf.DUMMYFUNCTION("""COMPUTED_VALUE"""),6.21)</f>
        <v>6.21</v>
      </c>
      <c r="E188">
        <f>IFERROR(__xludf.DUMMYFUNCTION("""COMPUTED_VALUE"""),10.58)</f>
        <v>10.58</v>
      </c>
      <c r="F188">
        <f>IFERROR(__xludf.DUMMYFUNCTION("""COMPUTED_VALUE"""),14.47)</f>
        <v>14.47</v>
      </c>
      <c r="G188">
        <f>IFERROR(__xludf.DUMMYFUNCTION("""COMPUTED_VALUE"""),10.53)</f>
        <v>10.53</v>
      </c>
      <c r="H188">
        <f>IFERROR(__xludf.DUMMYFUNCTION("""COMPUTED_VALUE"""),26.68)</f>
        <v>26.68</v>
      </c>
      <c r="I188">
        <f>IFERROR(__xludf.DUMMYFUNCTION("""COMPUTED_VALUE"""),890.58)</f>
        <v>890.58</v>
      </c>
      <c r="J188">
        <f>IFERROR(__xludf.DUMMYFUNCTION("""COMPUTED_VALUE"""),29.16)</f>
        <v>29.16</v>
      </c>
      <c r="K188">
        <f>IFERROR(__xludf.DUMMYFUNCTION("""COMPUTED_VALUE"""),0.26)</f>
        <v>0.26</v>
      </c>
      <c r="L188">
        <f>IFERROR(__xludf.DUMMYFUNCTION("""COMPUTED_VALUE"""),0.16)</f>
        <v>0.16</v>
      </c>
      <c r="M188">
        <f>IFERROR(__xludf.DUMMYFUNCTION("""COMPUTED_VALUE"""),7.37)</f>
        <v>7.37</v>
      </c>
      <c r="N188">
        <f>IFERROR(__xludf.DUMMYFUNCTION("""COMPUTED_VALUE"""),0.42)</f>
        <v>0.42</v>
      </c>
      <c r="O188">
        <f>IFERROR(__xludf.DUMMYFUNCTION("""COMPUTED_VALUE"""),0.26)</f>
        <v>0.26</v>
      </c>
    </row>
    <row r="189">
      <c r="A189" t="str">
        <f>IFERROR(__xludf.DUMMYFUNCTION("""COMPUTED_VALUE"""),"Dumont")</f>
        <v>Dumont</v>
      </c>
      <c r="B189" t="str">
        <f>IFERROR(__xludf.DUMMYFUNCTION("""COMPUTED_VALUE"""),"Pierre-Henri Dumont")</f>
        <v>Pierre-Henri Dumont</v>
      </c>
      <c r="C189">
        <f>IFERROR(__xludf.DUMMYFUNCTION("""COMPUTED_VALUE"""),3.58)</f>
        <v>3.58</v>
      </c>
      <c r="D189">
        <f>IFERROR(__xludf.DUMMYFUNCTION("""COMPUTED_VALUE"""),8.47)</f>
        <v>8.47</v>
      </c>
      <c r="E189">
        <f>IFERROR(__xludf.DUMMYFUNCTION("""COMPUTED_VALUE"""),9.74)</f>
        <v>9.74</v>
      </c>
      <c r="F189">
        <f>IFERROR(__xludf.DUMMYFUNCTION("""COMPUTED_VALUE"""),8.37)</f>
        <v>8.37</v>
      </c>
      <c r="G189">
        <f>IFERROR(__xludf.DUMMYFUNCTION("""COMPUTED_VALUE"""),7.42)</f>
        <v>7.42</v>
      </c>
      <c r="H189">
        <f>IFERROR(__xludf.DUMMYFUNCTION("""COMPUTED_VALUE"""),7.95)</f>
        <v>7.95</v>
      </c>
      <c r="I189">
        <f>IFERROR(__xludf.DUMMYFUNCTION("""COMPUTED_VALUE"""),156.47)</f>
        <v>156.47</v>
      </c>
      <c r="J189">
        <f>IFERROR(__xludf.DUMMYFUNCTION("""COMPUTED_VALUE"""),5.74)</f>
        <v>5.74</v>
      </c>
      <c r="K189">
        <f>IFERROR(__xludf.DUMMYFUNCTION("""COMPUTED_VALUE"""),0.32)</f>
        <v>0.32</v>
      </c>
      <c r="L189">
        <f>IFERROR(__xludf.DUMMYFUNCTION("""COMPUTED_VALUE"""),0.42)</f>
        <v>0.42</v>
      </c>
      <c r="M189">
        <f>IFERROR(__xludf.DUMMYFUNCTION("""COMPUTED_VALUE"""),3.37)</f>
        <v>3.37</v>
      </c>
      <c r="N189">
        <f>IFERROR(__xludf.DUMMYFUNCTION("""COMPUTED_VALUE"""),1.37)</f>
        <v>1.37</v>
      </c>
      <c r="O189">
        <f>IFERROR(__xludf.DUMMYFUNCTION("""COMPUTED_VALUE"""),0.37)</f>
        <v>0.37</v>
      </c>
    </row>
    <row r="190">
      <c r="A190" t="str">
        <f>IFERROR(__xludf.DUMMYFUNCTION("""COMPUTED_VALUE"""),"Dunoyer")</f>
        <v>Dunoyer</v>
      </c>
      <c r="B190" t="str">
        <f>IFERROR(__xludf.DUMMYFUNCTION("""COMPUTED_VALUE"""),"Philippe Dunoyer")</f>
        <v>Philippe Dunoyer</v>
      </c>
      <c r="C190">
        <f>IFERROR(__xludf.DUMMYFUNCTION("""COMPUTED_VALUE"""),2.16)</f>
        <v>2.16</v>
      </c>
      <c r="D190">
        <f>IFERROR(__xludf.DUMMYFUNCTION("""COMPUTED_VALUE"""),3.05)</f>
        <v>3.05</v>
      </c>
      <c r="E190">
        <f>IFERROR(__xludf.DUMMYFUNCTION("""COMPUTED_VALUE"""),1.32)</f>
        <v>1.32</v>
      </c>
      <c r="F190">
        <f>IFERROR(__xludf.DUMMYFUNCTION("""COMPUTED_VALUE"""),2.68)</f>
        <v>2.68</v>
      </c>
      <c r="G190">
        <f>IFERROR(__xludf.DUMMYFUNCTION("""COMPUTED_VALUE"""),0.47)</f>
        <v>0.47</v>
      </c>
      <c r="H190">
        <f>IFERROR(__xludf.DUMMYFUNCTION("""COMPUTED_VALUE"""),2.58)</f>
        <v>2.58</v>
      </c>
      <c r="I190">
        <f>IFERROR(__xludf.DUMMYFUNCTION("""COMPUTED_VALUE"""),59.74)</f>
        <v>59.74</v>
      </c>
      <c r="J190">
        <f>IFERROR(__xludf.DUMMYFUNCTION("""COMPUTED_VALUE"""),18.74)</f>
        <v>18.74</v>
      </c>
      <c r="K190">
        <f>IFERROR(__xludf.DUMMYFUNCTION("""COMPUTED_VALUE"""),0.16)</f>
        <v>0.16</v>
      </c>
      <c r="L190">
        <f>IFERROR(__xludf.DUMMYFUNCTION("""COMPUTED_VALUE"""),0.0)</f>
        <v>0</v>
      </c>
      <c r="M190">
        <f>IFERROR(__xludf.DUMMYFUNCTION("""COMPUTED_VALUE"""),2.32)</f>
        <v>2.32</v>
      </c>
      <c r="N190">
        <f>IFERROR(__xludf.DUMMYFUNCTION("""COMPUTED_VALUE"""),0.47)</f>
        <v>0.47</v>
      </c>
      <c r="O190">
        <f>IFERROR(__xludf.DUMMYFUNCTION("""COMPUTED_VALUE"""),0.21)</f>
        <v>0.21</v>
      </c>
    </row>
    <row r="191">
      <c r="A191" t="str">
        <f>IFERROR(__xludf.DUMMYFUNCTION("""COMPUTED_VALUE"""),"Dupont")</f>
        <v>Dupont</v>
      </c>
      <c r="B191" t="str">
        <f>IFERROR(__xludf.DUMMYFUNCTION("""COMPUTED_VALUE"""),"Stella Dupont")</f>
        <v>Stella Dupont</v>
      </c>
      <c r="C191">
        <f>IFERROR(__xludf.DUMMYFUNCTION("""COMPUTED_VALUE"""),3.89)</f>
        <v>3.89</v>
      </c>
      <c r="D191">
        <f>IFERROR(__xludf.DUMMYFUNCTION("""COMPUTED_VALUE"""),9.95)</f>
        <v>9.95</v>
      </c>
      <c r="E191">
        <f>IFERROR(__xludf.DUMMYFUNCTION("""COMPUTED_VALUE"""),8.79)</f>
        <v>8.79</v>
      </c>
      <c r="F191">
        <f>IFERROR(__xludf.DUMMYFUNCTION("""COMPUTED_VALUE"""),2.11)</f>
        <v>2.11</v>
      </c>
      <c r="G191">
        <f>IFERROR(__xludf.DUMMYFUNCTION("""COMPUTED_VALUE"""),5.11)</f>
        <v>5.11</v>
      </c>
      <c r="H191">
        <f>IFERROR(__xludf.DUMMYFUNCTION("""COMPUTED_VALUE"""),11.42)</f>
        <v>11.42</v>
      </c>
      <c r="I191">
        <f>IFERROR(__xludf.DUMMYFUNCTION("""COMPUTED_VALUE"""),107.58)</f>
        <v>107.58</v>
      </c>
      <c r="J191">
        <f>IFERROR(__xludf.DUMMYFUNCTION("""COMPUTED_VALUE"""),21.0)</f>
        <v>21</v>
      </c>
      <c r="K191">
        <f>IFERROR(__xludf.DUMMYFUNCTION("""COMPUTED_VALUE"""),0.16)</f>
        <v>0.16</v>
      </c>
      <c r="L191">
        <f>IFERROR(__xludf.DUMMYFUNCTION("""COMPUTED_VALUE"""),0.0)</f>
        <v>0</v>
      </c>
      <c r="M191">
        <f>IFERROR(__xludf.DUMMYFUNCTION("""COMPUTED_VALUE"""),2.47)</f>
        <v>2.47</v>
      </c>
      <c r="N191">
        <f>IFERROR(__xludf.DUMMYFUNCTION("""COMPUTED_VALUE"""),0.74)</f>
        <v>0.74</v>
      </c>
      <c r="O191">
        <f>IFERROR(__xludf.DUMMYFUNCTION("""COMPUTED_VALUE"""),0.32)</f>
        <v>0.32</v>
      </c>
    </row>
    <row r="192">
      <c r="A192" t="str">
        <f>IFERROR(__xludf.DUMMYFUNCTION("""COMPUTED_VALUE"""),"Dupont-Aignan")</f>
        <v>Dupont-Aignan</v>
      </c>
      <c r="B192" t="str">
        <f>IFERROR(__xludf.DUMMYFUNCTION("""COMPUTED_VALUE"""),"Nicolas Dupont-Aignan")</f>
        <v>Nicolas Dupont-Aignan</v>
      </c>
      <c r="C192">
        <f>IFERROR(__xludf.DUMMYFUNCTION("""COMPUTED_VALUE"""),3.63)</f>
        <v>3.63</v>
      </c>
      <c r="D192">
        <f>IFERROR(__xludf.DUMMYFUNCTION("""COMPUTED_VALUE"""),5.47)</f>
        <v>5.47</v>
      </c>
      <c r="E192">
        <f>IFERROR(__xludf.DUMMYFUNCTION("""COMPUTED_VALUE"""),3.37)</f>
        <v>3.37</v>
      </c>
      <c r="F192">
        <f>IFERROR(__xludf.DUMMYFUNCTION("""COMPUTED_VALUE"""),22.37)</f>
        <v>22.37</v>
      </c>
      <c r="G192">
        <f>IFERROR(__xludf.DUMMYFUNCTION("""COMPUTED_VALUE"""),7.32)</f>
        <v>7.32</v>
      </c>
      <c r="H192">
        <f>IFERROR(__xludf.DUMMYFUNCTION("""COMPUTED_VALUE"""),8.63)</f>
        <v>8.63</v>
      </c>
      <c r="I192">
        <f>IFERROR(__xludf.DUMMYFUNCTION("""COMPUTED_VALUE"""),12.26)</f>
        <v>12.26</v>
      </c>
      <c r="J192">
        <f>IFERROR(__xludf.DUMMYFUNCTION("""COMPUTED_VALUE"""),0.11)</f>
        <v>0.11</v>
      </c>
      <c r="K192">
        <f>IFERROR(__xludf.DUMMYFUNCTION("""COMPUTED_VALUE"""),0.0)</f>
        <v>0</v>
      </c>
      <c r="L192">
        <f>IFERROR(__xludf.DUMMYFUNCTION("""COMPUTED_VALUE"""),0.16)</f>
        <v>0.16</v>
      </c>
      <c r="M192">
        <f>IFERROR(__xludf.DUMMYFUNCTION("""COMPUTED_VALUE"""),1.42)</f>
        <v>1.42</v>
      </c>
      <c r="N192">
        <f>IFERROR(__xludf.DUMMYFUNCTION("""COMPUTED_VALUE"""),1.79)</f>
        <v>1.79</v>
      </c>
      <c r="O192">
        <f>IFERROR(__xludf.DUMMYFUNCTION("""COMPUTED_VALUE"""),0.21)</f>
        <v>0.21</v>
      </c>
    </row>
    <row r="193">
      <c r="A193" t="str">
        <f>IFERROR(__xludf.DUMMYFUNCTION("""COMPUTED_VALUE"""),"Echaniz")</f>
        <v>Echaniz</v>
      </c>
      <c r="B193" t="str">
        <f>IFERROR(__xludf.DUMMYFUNCTION("""COMPUTED_VALUE"""),"Inaki Echaniz")</f>
        <v>Inaki Echaniz</v>
      </c>
      <c r="C193">
        <f>IFERROR(__xludf.DUMMYFUNCTION("""COMPUTED_VALUE"""),4.0)</f>
        <v>4</v>
      </c>
      <c r="D193">
        <f>IFERROR(__xludf.DUMMYFUNCTION("""COMPUTED_VALUE"""),7.95)</f>
        <v>7.95</v>
      </c>
      <c r="E193">
        <f>IFERROR(__xludf.DUMMYFUNCTION("""COMPUTED_VALUE"""),20.11)</f>
        <v>20.11</v>
      </c>
      <c r="F193">
        <f>IFERROR(__xludf.DUMMYFUNCTION("""COMPUTED_VALUE"""),19.11)</f>
        <v>19.11</v>
      </c>
      <c r="G193">
        <f>IFERROR(__xludf.DUMMYFUNCTION("""COMPUTED_VALUE"""),29.21)</f>
        <v>29.21</v>
      </c>
      <c r="H193">
        <f>IFERROR(__xludf.DUMMYFUNCTION("""COMPUTED_VALUE"""),30.68)</f>
        <v>30.68</v>
      </c>
      <c r="I193">
        <f>IFERROR(__xludf.DUMMYFUNCTION("""COMPUTED_VALUE"""),462.05)</f>
        <v>462.05</v>
      </c>
      <c r="J193">
        <f>IFERROR(__xludf.DUMMYFUNCTION("""COMPUTED_VALUE"""),23.26)</f>
        <v>23.26</v>
      </c>
      <c r="K193">
        <f>IFERROR(__xludf.DUMMYFUNCTION("""COMPUTED_VALUE"""),0.11)</f>
        <v>0.11</v>
      </c>
      <c r="L193">
        <f>IFERROR(__xludf.DUMMYFUNCTION("""COMPUTED_VALUE"""),0.32)</f>
        <v>0.32</v>
      </c>
      <c r="M193">
        <f>IFERROR(__xludf.DUMMYFUNCTION("""COMPUTED_VALUE"""),4.32)</f>
        <v>4.32</v>
      </c>
      <c r="N193">
        <f>IFERROR(__xludf.DUMMYFUNCTION("""COMPUTED_VALUE"""),1.42)</f>
        <v>1.42</v>
      </c>
      <c r="O193">
        <f>IFERROR(__xludf.DUMMYFUNCTION("""COMPUTED_VALUE"""),0.32)</f>
        <v>0.32</v>
      </c>
    </row>
    <row r="194">
      <c r="A194" t="str">
        <f>IFERROR(__xludf.DUMMYFUNCTION("""COMPUTED_VALUE"""),"Emmanuel")</f>
        <v>Emmanuel</v>
      </c>
      <c r="B194" t="str">
        <f>IFERROR(__xludf.DUMMYFUNCTION("""COMPUTED_VALUE"""),"Philippe Emmanuel")</f>
        <v>Philippe Emmanuel</v>
      </c>
      <c r="C194">
        <f>IFERROR(__xludf.DUMMYFUNCTION("""COMPUTED_VALUE"""),3.67)</f>
        <v>3.67</v>
      </c>
      <c r="D194">
        <f>IFERROR(__xludf.DUMMYFUNCTION("""COMPUTED_VALUE"""),6.67)</f>
        <v>6.67</v>
      </c>
      <c r="E194">
        <f>IFERROR(__xludf.DUMMYFUNCTION("""COMPUTED_VALUE"""),2.89)</f>
        <v>2.89</v>
      </c>
      <c r="F194">
        <f>IFERROR(__xludf.DUMMYFUNCTION("""COMPUTED_VALUE"""),1.22)</f>
        <v>1.22</v>
      </c>
      <c r="G194">
        <f>IFERROR(__xludf.DUMMYFUNCTION("""COMPUTED_VALUE"""),0.22)</f>
        <v>0.22</v>
      </c>
      <c r="H194">
        <f>IFERROR(__xludf.DUMMYFUNCTION("""COMPUTED_VALUE"""),0.33)</f>
        <v>0.33</v>
      </c>
      <c r="I194">
        <f>IFERROR(__xludf.DUMMYFUNCTION("""COMPUTED_VALUE"""),57.44)</f>
        <v>57.44</v>
      </c>
      <c r="J194">
        <f>IFERROR(__xludf.DUMMYFUNCTION("""COMPUTED_VALUE"""),12.0)</f>
        <v>12</v>
      </c>
      <c r="K194">
        <f>IFERROR(__xludf.DUMMYFUNCTION("""COMPUTED_VALUE"""),0.0)</f>
        <v>0</v>
      </c>
      <c r="L194">
        <f>IFERROR(__xludf.DUMMYFUNCTION("""COMPUTED_VALUE"""),0.0)</f>
        <v>0</v>
      </c>
      <c r="M194">
        <f>IFERROR(__xludf.DUMMYFUNCTION("""COMPUTED_VALUE"""),1.44)</f>
        <v>1.44</v>
      </c>
      <c r="N194">
        <f>IFERROR(__xludf.DUMMYFUNCTION("""COMPUTED_VALUE"""),0.0)</f>
        <v>0</v>
      </c>
      <c r="O194">
        <f>IFERROR(__xludf.DUMMYFUNCTION("""COMPUTED_VALUE"""),0.11)</f>
        <v>0.11</v>
      </c>
    </row>
    <row r="195">
      <c r="A195" t="str">
        <f>IFERROR(__xludf.DUMMYFUNCTION("""COMPUTED_VALUE"""),"Engrand")</f>
        <v>Engrand</v>
      </c>
      <c r="B195" t="str">
        <f>IFERROR(__xludf.DUMMYFUNCTION("""COMPUTED_VALUE"""),"Christine Engrand")</f>
        <v>Christine Engrand</v>
      </c>
      <c r="C195">
        <f>IFERROR(__xludf.DUMMYFUNCTION("""COMPUTED_VALUE"""),3.47)</f>
        <v>3.47</v>
      </c>
      <c r="D195">
        <f>IFERROR(__xludf.DUMMYFUNCTION("""COMPUTED_VALUE"""),5.89)</f>
        <v>5.89</v>
      </c>
      <c r="E195">
        <f>IFERROR(__xludf.DUMMYFUNCTION("""COMPUTED_VALUE"""),3.58)</f>
        <v>3.58</v>
      </c>
      <c r="F195">
        <f>IFERROR(__xludf.DUMMYFUNCTION("""COMPUTED_VALUE"""),3.16)</f>
        <v>3.16</v>
      </c>
      <c r="G195">
        <f>IFERROR(__xludf.DUMMYFUNCTION("""COMPUTED_VALUE"""),0.11)</f>
        <v>0.11</v>
      </c>
      <c r="H195">
        <f>IFERROR(__xludf.DUMMYFUNCTION("""COMPUTED_VALUE"""),13.42)</f>
        <v>13.42</v>
      </c>
      <c r="I195">
        <f>IFERROR(__xludf.DUMMYFUNCTION("""COMPUTED_VALUE"""),452.84)</f>
        <v>452.84</v>
      </c>
      <c r="J195">
        <f>IFERROR(__xludf.DUMMYFUNCTION("""COMPUTED_VALUE"""),5.79)</f>
        <v>5.79</v>
      </c>
      <c r="K195">
        <f>IFERROR(__xludf.DUMMYFUNCTION("""COMPUTED_VALUE"""),0.0)</f>
        <v>0</v>
      </c>
      <c r="L195">
        <f>IFERROR(__xludf.DUMMYFUNCTION("""COMPUTED_VALUE"""),0.21)</f>
        <v>0.21</v>
      </c>
      <c r="M195">
        <f>IFERROR(__xludf.DUMMYFUNCTION("""COMPUTED_VALUE"""),4.42)</f>
        <v>4.42</v>
      </c>
      <c r="N195">
        <f>IFERROR(__xludf.DUMMYFUNCTION("""COMPUTED_VALUE"""),2.42)</f>
        <v>2.42</v>
      </c>
      <c r="O195">
        <f>IFERROR(__xludf.DUMMYFUNCTION("""COMPUTED_VALUE"""),0.26)</f>
        <v>0.26</v>
      </c>
    </row>
    <row r="196">
      <c r="A196" t="str">
        <f>IFERROR(__xludf.DUMMYFUNCTION("""COMPUTED_VALUE"""),"Erodi")</f>
        <v>Erodi</v>
      </c>
      <c r="B196" t="str">
        <f>IFERROR(__xludf.DUMMYFUNCTION("""COMPUTED_VALUE"""),"Karen Erodi")</f>
        <v>Karen Erodi</v>
      </c>
      <c r="C196">
        <f>IFERROR(__xludf.DUMMYFUNCTION("""COMPUTED_VALUE"""),3.79)</f>
        <v>3.79</v>
      </c>
      <c r="D196">
        <f>IFERROR(__xludf.DUMMYFUNCTION("""COMPUTED_VALUE"""),7.37)</f>
        <v>7.37</v>
      </c>
      <c r="E196">
        <f>IFERROR(__xludf.DUMMYFUNCTION("""COMPUTED_VALUE"""),11.0)</f>
        <v>11</v>
      </c>
      <c r="F196">
        <f>IFERROR(__xludf.DUMMYFUNCTION("""COMPUTED_VALUE"""),3.84)</f>
        <v>3.84</v>
      </c>
      <c r="G196">
        <f>IFERROR(__xludf.DUMMYFUNCTION("""COMPUTED_VALUE"""),4.89)</f>
        <v>4.89</v>
      </c>
      <c r="H196">
        <f>IFERROR(__xludf.DUMMYFUNCTION("""COMPUTED_VALUE"""),15.68)</f>
        <v>15.68</v>
      </c>
      <c r="I196">
        <f>IFERROR(__xludf.DUMMYFUNCTION("""COMPUTED_VALUE"""),894.95)</f>
        <v>894.95</v>
      </c>
      <c r="J196">
        <f>IFERROR(__xludf.DUMMYFUNCTION("""COMPUTED_VALUE"""),28.95)</f>
        <v>28.95</v>
      </c>
      <c r="K196">
        <f>IFERROR(__xludf.DUMMYFUNCTION("""COMPUTED_VALUE"""),0.0)</f>
        <v>0</v>
      </c>
      <c r="L196">
        <f>IFERROR(__xludf.DUMMYFUNCTION("""COMPUTED_VALUE"""),0.21)</f>
        <v>0.21</v>
      </c>
      <c r="M196">
        <f>IFERROR(__xludf.DUMMYFUNCTION("""COMPUTED_VALUE"""),7.79)</f>
        <v>7.79</v>
      </c>
      <c r="N196">
        <f>IFERROR(__xludf.DUMMYFUNCTION("""COMPUTED_VALUE"""),2.26)</f>
        <v>2.26</v>
      </c>
      <c r="O196">
        <f>IFERROR(__xludf.DUMMYFUNCTION("""COMPUTED_VALUE"""),0.21)</f>
        <v>0.21</v>
      </c>
    </row>
    <row r="197">
      <c r="A197" t="str">
        <f>IFERROR(__xludf.DUMMYFUNCTION("""COMPUTED_VALUE"""),"Errante")</f>
        <v>Errante</v>
      </c>
      <c r="B197" t="str">
        <f>IFERROR(__xludf.DUMMYFUNCTION("""COMPUTED_VALUE"""),"Sophie Errante")</f>
        <v>Sophie Errante</v>
      </c>
      <c r="C197">
        <f>IFERROR(__xludf.DUMMYFUNCTION("""COMPUTED_VALUE"""),2.95)</f>
        <v>2.95</v>
      </c>
      <c r="D197">
        <f>IFERROR(__xludf.DUMMYFUNCTION("""COMPUTED_VALUE"""),6.0)</f>
        <v>6</v>
      </c>
      <c r="E197">
        <f>IFERROR(__xludf.DUMMYFUNCTION("""COMPUTED_VALUE"""),1.42)</f>
        <v>1.42</v>
      </c>
      <c r="F197">
        <f>IFERROR(__xludf.DUMMYFUNCTION("""COMPUTED_VALUE"""),0.89)</f>
        <v>0.89</v>
      </c>
      <c r="G197">
        <f>IFERROR(__xludf.DUMMYFUNCTION("""COMPUTED_VALUE"""),1.95)</f>
        <v>1.95</v>
      </c>
      <c r="H197">
        <f>IFERROR(__xludf.DUMMYFUNCTION("""COMPUTED_VALUE"""),0.42)</f>
        <v>0.42</v>
      </c>
      <c r="I197">
        <f>IFERROR(__xludf.DUMMYFUNCTION("""COMPUTED_VALUE"""),38.53)</f>
        <v>38.53</v>
      </c>
      <c r="J197">
        <f>IFERROR(__xludf.DUMMYFUNCTION("""COMPUTED_VALUE"""),9.79)</f>
        <v>9.79</v>
      </c>
      <c r="K197">
        <f>IFERROR(__xludf.DUMMYFUNCTION("""COMPUTED_VALUE"""),0.16)</f>
        <v>0.16</v>
      </c>
      <c r="L197">
        <f>IFERROR(__xludf.DUMMYFUNCTION("""COMPUTED_VALUE"""),0.0)</f>
        <v>0</v>
      </c>
      <c r="M197">
        <f>IFERROR(__xludf.DUMMYFUNCTION("""COMPUTED_VALUE"""),1.63)</f>
        <v>1.63</v>
      </c>
      <c r="N197">
        <f>IFERROR(__xludf.DUMMYFUNCTION("""COMPUTED_VALUE"""),0.11)</f>
        <v>0.11</v>
      </c>
      <c r="O197">
        <f>IFERROR(__xludf.DUMMYFUNCTION("""COMPUTED_VALUE"""),0.11)</f>
        <v>0.11</v>
      </c>
    </row>
    <row r="198">
      <c r="A198" t="str">
        <f>IFERROR(__xludf.DUMMYFUNCTION("""COMPUTED_VALUE"""),"Esquenet-Goxes")</f>
        <v>Esquenet-Goxes</v>
      </c>
      <c r="B198" t="str">
        <f>IFERROR(__xludf.DUMMYFUNCTION("""COMPUTED_VALUE"""),"Laurent Esquenet-Goxes")</f>
        <v>Laurent Esquenet-Goxes</v>
      </c>
      <c r="C198">
        <f>IFERROR(__xludf.DUMMYFUNCTION("""COMPUTED_VALUE"""),3.89)</f>
        <v>3.89</v>
      </c>
      <c r="D198">
        <f>IFERROR(__xludf.DUMMYFUNCTION("""COMPUTED_VALUE"""),9.89)</f>
        <v>9.89</v>
      </c>
      <c r="E198">
        <f>IFERROR(__xludf.DUMMYFUNCTION("""COMPUTED_VALUE"""),14.56)</f>
        <v>14.56</v>
      </c>
      <c r="F198">
        <f>IFERROR(__xludf.DUMMYFUNCTION("""COMPUTED_VALUE"""),4.06)</f>
        <v>4.06</v>
      </c>
      <c r="G198">
        <f>IFERROR(__xludf.DUMMYFUNCTION("""COMPUTED_VALUE"""),2.11)</f>
        <v>2.11</v>
      </c>
      <c r="H198">
        <f>IFERROR(__xludf.DUMMYFUNCTION("""COMPUTED_VALUE"""),9.44)</f>
        <v>9.44</v>
      </c>
      <c r="I198">
        <f>IFERROR(__xludf.DUMMYFUNCTION("""COMPUTED_VALUE"""),73.0)</f>
        <v>73</v>
      </c>
      <c r="J198">
        <f>IFERROR(__xludf.DUMMYFUNCTION("""COMPUTED_VALUE"""),14.94)</f>
        <v>14.94</v>
      </c>
      <c r="K198">
        <f>IFERROR(__xludf.DUMMYFUNCTION("""COMPUTED_VALUE"""),0.0)</f>
        <v>0</v>
      </c>
      <c r="L198">
        <f>IFERROR(__xludf.DUMMYFUNCTION("""COMPUTED_VALUE"""),0.06)</f>
        <v>0.06</v>
      </c>
      <c r="M198">
        <f>IFERROR(__xludf.DUMMYFUNCTION("""COMPUTED_VALUE"""),1.0)</f>
        <v>1</v>
      </c>
      <c r="N198">
        <f>IFERROR(__xludf.DUMMYFUNCTION("""COMPUTED_VALUE"""),1.06)</f>
        <v>1.06</v>
      </c>
      <c r="O198">
        <f>IFERROR(__xludf.DUMMYFUNCTION("""COMPUTED_VALUE"""),0.22)</f>
        <v>0.22</v>
      </c>
    </row>
    <row r="199">
      <c r="A199" t="str">
        <f>IFERROR(__xludf.DUMMYFUNCTION("""COMPUTED_VALUE"""),"Etienne")</f>
        <v>Etienne</v>
      </c>
      <c r="B199" t="str">
        <f>IFERROR(__xludf.DUMMYFUNCTION("""COMPUTED_VALUE"""),"Martine Etienne")</f>
        <v>Martine Etienne</v>
      </c>
      <c r="C199">
        <f>IFERROR(__xludf.DUMMYFUNCTION("""COMPUTED_VALUE"""),3.26)</f>
        <v>3.26</v>
      </c>
      <c r="D199">
        <f>IFERROR(__xludf.DUMMYFUNCTION("""COMPUTED_VALUE"""),4.74)</f>
        <v>4.74</v>
      </c>
      <c r="E199">
        <f>IFERROR(__xludf.DUMMYFUNCTION("""COMPUTED_VALUE"""),4.53)</f>
        <v>4.53</v>
      </c>
      <c r="F199">
        <f>IFERROR(__xludf.DUMMYFUNCTION("""COMPUTED_VALUE"""),9.58)</f>
        <v>9.58</v>
      </c>
      <c r="G199">
        <f>IFERROR(__xludf.DUMMYFUNCTION("""COMPUTED_VALUE"""),2.21)</f>
        <v>2.21</v>
      </c>
      <c r="H199">
        <f>IFERROR(__xludf.DUMMYFUNCTION("""COMPUTED_VALUE"""),27.11)</f>
        <v>27.11</v>
      </c>
      <c r="I199">
        <f>IFERROR(__xludf.DUMMYFUNCTION("""COMPUTED_VALUE"""),891.0)</f>
        <v>891</v>
      </c>
      <c r="J199">
        <f>IFERROR(__xludf.DUMMYFUNCTION("""COMPUTED_VALUE"""),28.89)</f>
        <v>28.89</v>
      </c>
      <c r="K199">
        <f>IFERROR(__xludf.DUMMYFUNCTION("""COMPUTED_VALUE"""),0.05)</f>
        <v>0.05</v>
      </c>
      <c r="L199">
        <f>IFERROR(__xludf.DUMMYFUNCTION("""COMPUTED_VALUE"""),0.21)</f>
        <v>0.21</v>
      </c>
      <c r="M199">
        <f>IFERROR(__xludf.DUMMYFUNCTION("""COMPUTED_VALUE"""),7.58)</f>
        <v>7.58</v>
      </c>
      <c r="N199">
        <f>IFERROR(__xludf.DUMMYFUNCTION("""COMPUTED_VALUE"""),4.0)</f>
        <v>4</v>
      </c>
      <c r="O199">
        <f>IFERROR(__xludf.DUMMYFUNCTION("""COMPUTED_VALUE"""),0.16)</f>
        <v>0.16</v>
      </c>
    </row>
    <row r="200">
      <c r="A200" t="str">
        <f>IFERROR(__xludf.DUMMYFUNCTION("""COMPUTED_VALUE"""),"Fait")</f>
        <v>Fait</v>
      </c>
      <c r="B200" t="str">
        <f>IFERROR(__xludf.DUMMYFUNCTION("""COMPUTED_VALUE"""),"Philippe Fait")</f>
        <v>Philippe Fait</v>
      </c>
      <c r="C200">
        <f>IFERROR(__xludf.DUMMYFUNCTION("""COMPUTED_VALUE"""),3.58)</f>
        <v>3.58</v>
      </c>
      <c r="D200">
        <f>IFERROR(__xludf.DUMMYFUNCTION("""COMPUTED_VALUE"""),6.84)</f>
        <v>6.84</v>
      </c>
      <c r="E200">
        <f>IFERROR(__xludf.DUMMYFUNCTION("""COMPUTED_VALUE"""),5.79)</f>
        <v>5.79</v>
      </c>
      <c r="F200">
        <f>IFERROR(__xludf.DUMMYFUNCTION("""COMPUTED_VALUE"""),1.58)</f>
        <v>1.58</v>
      </c>
      <c r="G200">
        <f>IFERROR(__xludf.DUMMYFUNCTION("""COMPUTED_VALUE"""),0.16)</f>
        <v>0.16</v>
      </c>
      <c r="H200">
        <f>IFERROR(__xludf.DUMMYFUNCTION("""COMPUTED_VALUE"""),2.95)</f>
        <v>2.95</v>
      </c>
      <c r="I200">
        <f>IFERROR(__xludf.DUMMYFUNCTION("""COMPUTED_VALUE"""),140.0)</f>
        <v>140</v>
      </c>
      <c r="J200">
        <f>IFERROR(__xludf.DUMMYFUNCTION("""COMPUTED_VALUE"""),21.11)</f>
        <v>21.11</v>
      </c>
      <c r="K200">
        <f>IFERROR(__xludf.DUMMYFUNCTION("""COMPUTED_VALUE"""),0.11)</f>
        <v>0.11</v>
      </c>
      <c r="L200">
        <f>IFERROR(__xludf.DUMMYFUNCTION("""COMPUTED_VALUE"""),0.0)</f>
        <v>0</v>
      </c>
      <c r="M200">
        <f>IFERROR(__xludf.DUMMYFUNCTION("""COMPUTED_VALUE"""),3.89)</f>
        <v>3.89</v>
      </c>
      <c r="N200">
        <f>IFERROR(__xludf.DUMMYFUNCTION("""COMPUTED_VALUE"""),3.05)</f>
        <v>3.05</v>
      </c>
      <c r="O200">
        <f>IFERROR(__xludf.DUMMYFUNCTION("""COMPUTED_VALUE"""),0.26)</f>
        <v>0.26</v>
      </c>
    </row>
    <row r="201">
      <c r="A201" t="str">
        <f>IFERROR(__xludf.DUMMYFUNCTION("""COMPUTED_VALUE"""),"Falcon")</f>
        <v>Falcon</v>
      </c>
      <c r="B201" t="str">
        <f>IFERROR(__xludf.DUMMYFUNCTION("""COMPUTED_VALUE"""),"Frédéric Falcon")</f>
        <v>Frédéric Falcon</v>
      </c>
      <c r="C201">
        <f>IFERROR(__xludf.DUMMYFUNCTION("""COMPUTED_VALUE"""),3.84)</f>
        <v>3.84</v>
      </c>
      <c r="D201">
        <f>IFERROR(__xludf.DUMMYFUNCTION("""COMPUTED_VALUE"""),6.74)</f>
        <v>6.74</v>
      </c>
      <c r="E201">
        <f>IFERROR(__xludf.DUMMYFUNCTION("""COMPUTED_VALUE"""),5.37)</f>
        <v>5.37</v>
      </c>
      <c r="F201">
        <f>IFERROR(__xludf.DUMMYFUNCTION("""COMPUTED_VALUE"""),8.84)</f>
        <v>8.84</v>
      </c>
      <c r="G201">
        <f>IFERROR(__xludf.DUMMYFUNCTION("""COMPUTED_VALUE"""),1.53)</f>
        <v>1.53</v>
      </c>
      <c r="H201">
        <f>IFERROR(__xludf.DUMMYFUNCTION("""COMPUTED_VALUE"""),7.37)</f>
        <v>7.37</v>
      </c>
      <c r="I201">
        <f>IFERROR(__xludf.DUMMYFUNCTION("""COMPUTED_VALUE"""),439.47)</f>
        <v>439.47</v>
      </c>
      <c r="J201">
        <f>IFERROR(__xludf.DUMMYFUNCTION("""COMPUTED_VALUE"""),5.53)</f>
        <v>5.53</v>
      </c>
      <c r="K201">
        <f>IFERROR(__xludf.DUMMYFUNCTION("""COMPUTED_VALUE"""),0.11)</f>
        <v>0.11</v>
      </c>
      <c r="L201">
        <f>IFERROR(__xludf.DUMMYFUNCTION("""COMPUTED_VALUE"""),0.16)</f>
        <v>0.16</v>
      </c>
      <c r="M201">
        <f>IFERROR(__xludf.DUMMYFUNCTION("""COMPUTED_VALUE"""),7.58)</f>
        <v>7.58</v>
      </c>
      <c r="N201">
        <f>IFERROR(__xludf.DUMMYFUNCTION("""COMPUTED_VALUE"""),2.21)</f>
        <v>2.21</v>
      </c>
      <c r="O201">
        <f>IFERROR(__xludf.DUMMYFUNCTION("""COMPUTED_VALUE"""),0.26)</f>
        <v>0.26</v>
      </c>
    </row>
    <row r="202">
      <c r="A202" t="str">
        <f>IFERROR(__xludf.DUMMYFUNCTION("""COMPUTED_VALUE"""),"Falorni")</f>
        <v>Falorni</v>
      </c>
      <c r="B202" t="str">
        <f>IFERROR(__xludf.DUMMYFUNCTION("""COMPUTED_VALUE"""),"Olivier Falorni")</f>
        <v>Olivier Falorni</v>
      </c>
      <c r="C202">
        <f>IFERROR(__xludf.DUMMYFUNCTION("""COMPUTED_VALUE"""),3.89)</f>
        <v>3.89</v>
      </c>
      <c r="D202">
        <f>IFERROR(__xludf.DUMMYFUNCTION("""COMPUTED_VALUE"""),6.0)</f>
        <v>6</v>
      </c>
      <c r="E202">
        <f>IFERROR(__xludf.DUMMYFUNCTION("""COMPUTED_VALUE"""),3.0)</f>
        <v>3</v>
      </c>
      <c r="F202">
        <f>IFERROR(__xludf.DUMMYFUNCTION("""COMPUTED_VALUE"""),5.37)</f>
        <v>5.37</v>
      </c>
      <c r="G202">
        <f>IFERROR(__xludf.DUMMYFUNCTION("""COMPUTED_VALUE"""),11.37)</f>
        <v>11.37</v>
      </c>
      <c r="H202">
        <f>IFERROR(__xludf.DUMMYFUNCTION("""COMPUTED_VALUE"""),5.53)</f>
        <v>5.53</v>
      </c>
      <c r="I202">
        <f>IFERROR(__xludf.DUMMYFUNCTION("""COMPUTED_VALUE"""),92.05)</f>
        <v>92.05</v>
      </c>
      <c r="J202">
        <f>IFERROR(__xludf.DUMMYFUNCTION("""COMPUTED_VALUE"""),15.0)</f>
        <v>15</v>
      </c>
      <c r="K202">
        <f>IFERROR(__xludf.DUMMYFUNCTION("""COMPUTED_VALUE"""),0.21)</f>
        <v>0.21</v>
      </c>
      <c r="L202">
        <f>IFERROR(__xludf.DUMMYFUNCTION("""COMPUTED_VALUE"""),0.11)</f>
        <v>0.11</v>
      </c>
      <c r="M202">
        <f>IFERROR(__xludf.DUMMYFUNCTION("""COMPUTED_VALUE"""),2.32)</f>
        <v>2.32</v>
      </c>
      <c r="N202">
        <f>IFERROR(__xludf.DUMMYFUNCTION("""COMPUTED_VALUE"""),4.89)</f>
        <v>4.89</v>
      </c>
      <c r="O202">
        <f>IFERROR(__xludf.DUMMYFUNCTION("""COMPUTED_VALUE"""),0.32)</f>
        <v>0.32</v>
      </c>
    </row>
    <row r="203">
      <c r="A203" t="str">
        <f>IFERROR(__xludf.DUMMYFUNCTION("""COMPUTED_VALUE"""),"Faucillon")</f>
        <v>Faucillon</v>
      </c>
      <c r="B203" t="str">
        <f>IFERROR(__xludf.DUMMYFUNCTION("""COMPUTED_VALUE"""),"Elsa Faucillon")</f>
        <v>Elsa Faucillon</v>
      </c>
      <c r="C203">
        <f>IFERROR(__xludf.DUMMYFUNCTION("""COMPUTED_VALUE"""),4.0)</f>
        <v>4</v>
      </c>
      <c r="D203">
        <f>IFERROR(__xludf.DUMMYFUNCTION("""COMPUTED_VALUE"""),5.74)</f>
        <v>5.74</v>
      </c>
      <c r="E203">
        <f>IFERROR(__xludf.DUMMYFUNCTION("""COMPUTED_VALUE"""),11.63)</f>
        <v>11.63</v>
      </c>
      <c r="F203">
        <f>IFERROR(__xludf.DUMMYFUNCTION("""COMPUTED_VALUE"""),20.47)</f>
        <v>20.47</v>
      </c>
      <c r="G203">
        <f>IFERROR(__xludf.DUMMYFUNCTION("""COMPUTED_VALUE"""),11.63)</f>
        <v>11.63</v>
      </c>
      <c r="H203">
        <f>IFERROR(__xludf.DUMMYFUNCTION("""COMPUTED_VALUE"""),21.79)</f>
        <v>21.79</v>
      </c>
      <c r="I203">
        <f>IFERROR(__xludf.DUMMYFUNCTION("""COMPUTED_VALUE"""),214.79)</f>
        <v>214.79</v>
      </c>
      <c r="J203">
        <f>IFERROR(__xludf.DUMMYFUNCTION("""COMPUTED_VALUE"""),12.89)</f>
        <v>12.89</v>
      </c>
      <c r="K203">
        <f>IFERROR(__xludf.DUMMYFUNCTION("""COMPUTED_VALUE"""),0.05)</f>
        <v>0.05</v>
      </c>
      <c r="L203">
        <f>IFERROR(__xludf.DUMMYFUNCTION("""COMPUTED_VALUE"""),0.42)</f>
        <v>0.42</v>
      </c>
      <c r="M203">
        <f>IFERROR(__xludf.DUMMYFUNCTION("""COMPUTED_VALUE"""),4.95)</f>
        <v>4.95</v>
      </c>
      <c r="N203">
        <f>IFERROR(__xludf.DUMMYFUNCTION("""COMPUTED_VALUE"""),0.32)</f>
        <v>0.32</v>
      </c>
      <c r="O203">
        <f>IFERROR(__xludf.DUMMYFUNCTION("""COMPUTED_VALUE"""),0.42)</f>
        <v>0.42</v>
      </c>
    </row>
    <row r="204">
      <c r="A204" t="str">
        <f>IFERROR(__xludf.DUMMYFUNCTION("""COMPUTED_VALUE"""),"Faure")</f>
        <v>Faure</v>
      </c>
      <c r="B204" t="str">
        <f>IFERROR(__xludf.DUMMYFUNCTION("""COMPUTED_VALUE"""),"Olivier Faure")</f>
        <v>Olivier Faure</v>
      </c>
      <c r="C204">
        <f>IFERROR(__xludf.DUMMYFUNCTION("""COMPUTED_VALUE"""),3.26)</f>
        <v>3.26</v>
      </c>
      <c r="D204">
        <f>IFERROR(__xludf.DUMMYFUNCTION("""COMPUTED_VALUE"""),3.05)</f>
        <v>3.05</v>
      </c>
      <c r="E204">
        <f>IFERROR(__xludf.DUMMYFUNCTION("""COMPUTED_VALUE"""),1.68)</f>
        <v>1.68</v>
      </c>
      <c r="F204">
        <f>IFERROR(__xludf.DUMMYFUNCTION("""COMPUTED_VALUE"""),7.74)</f>
        <v>7.74</v>
      </c>
      <c r="G204">
        <f>IFERROR(__xludf.DUMMYFUNCTION("""COMPUTED_VALUE"""),10.16)</f>
        <v>10.16</v>
      </c>
      <c r="H204">
        <f>IFERROR(__xludf.DUMMYFUNCTION("""COMPUTED_VALUE"""),4.05)</f>
        <v>4.05</v>
      </c>
      <c r="I204">
        <f>IFERROR(__xludf.DUMMYFUNCTION("""COMPUTED_VALUE"""),423.68)</f>
        <v>423.68</v>
      </c>
      <c r="J204">
        <f>IFERROR(__xludf.DUMMYFUNCTION("""COMPUTED_VALUE"""),19.58)</f>
        <v>19.58</v>
      </c>
      <c r="K204">
        <f>IFERROR(__xludf.DUMMYFUNCTION("""COMPUTED_VALUE"""),0.05)</f>
        <v>0.05</v>
      </c>
      <c r="L204">
        <f>IFERROR(__xludf.DUMMYFUNCTION("""COMPUTED_VALUE"""),0.32)</f>
        <v>0.32</v>
      </c>
      <c r="M204">
        <f>IFERROR(__xludf.DUMMYFUNCTION("""COMPUTED_VALUE"""),3.84)</f>
        <v>3.84</v>
      </c>
      <c r="N204">
        <f>IFERROR(__xludf.DUMMYFUNCTION("""COMPUTED_VALUE"""),1.16)</f>
        <v>1.16</v>
      </c>
      <c r="O204">
        <f>IFERROR(__xludf.DUMMYFUNCTION("""COMPUTED_VALUE"""),0.26)</f>
        <v>0.26</v>
      </c>
    </row>
    <row r="205">
      <c r="A205" t="str">
        <f>IFERROR(__xludf.DUMMYFUNCTION("""COMPUTED_VALUE"""),"Favennec-Bécot")</f>
        <v>Favennec-Bécot</v>
      </c>
      <c r="B205" t="str">
        <f>IFERROR(__xludf.DUMMYFUNCTION("""COMPUTED_VALUE"""),"Yannick Favennec-Bécot")</f>
        <v>Yannick Favennec-Bécot</v>
      </c>
      <c r="C205">
        <f>IFERROR(__xludf.DUMMYFUNCTION("""COMPUTED_VALUE"""),3.0)</f>
        <v>3</v>
      </c>
      <c r="D205">
        <f>IFERROR(__xludf.DUMMYFUNCTION("""COMPUTED_VALUE"""),4.32)</f>
        <v>4.32</v>
      </c>
      <c r="E205">
        <f>IFERROR(__xludf.DUMMYFUNCTION("""COMPUTED_VALUE"""),2.11)</f>
        <v>2.11</v>
      </c>
      <c r="F205">
        <f>IFERROR(__xludf.DUMMYFUNCTION("""COMPUTED_VALUE"""),0.84)</f>
        <v>0.84</v>
      </c>
      <c r="G205">
        <f>IFERROR(__xludf.DUMMYFUNCTION("""COMPUTED_VALUE"""),0.21)</f>
        <v>0.21</v>
      </c>
      <c r="H205">
        <f>IFERROR(__xludf.DUMMYFUNCTION("""COMPUTED_VALUE"""),1.37)</f>
        <v>1.37</v>
      </c>
      <c r="I205">
        <f>IFERROR(__xludf.DUMMYFUNCTION("""COMPUTED_VALUE"""),83.32)</f>
        <v>83.32</v>
      </c>
      <c r="J205">
        <f>IFERROR(__xludf.DUMMYFUNCTION("""COMPUTED_VALUE"""),14.16)</f>
        <v>14.16</v>
      </c>
      <c r="K205">
        <f>IFERROR(__xludf.DUMMYFUNCTION("""COMPUTED_VALUE"""),0.0)</f>
        <v>0</v>
      </c>
      <c r="L205">
        <f>IFERROR(__xludf.DUMMYFUNCTION("""COMPUTED_VALUE"""),0.42)</f>
        <v>0.42</v>
      </c>
      <c r="M205">
        <f>IFERROR(__xludf.DUMMYFUNCTION("""COMPUTED_VALUE"""),2.42)</f>
        <v>2.42</v>
      </c>
      <c r="N205">
        <f>IFERROR(__xludf.DUMMYFUNCTION("""COMPUTED_VALUE"""),2.37)</f>
        <v>2.37</v>
      </c>
      <c r="O205">
        <f>IFERROR(__xludf.DUMMYFUNCTION("""COMPUTED_VALUE"""),0.26)</f>
        <v>0.26</v>
      </c>
    </row>
    <row r="206">
      <c r="A206" t="str">
        <f>IFERROR(__xludf.DUMMYFUNCTION("""COMPUTED_VALUE"""),"Fernandes")</f>
        <v>Fernandes</v>
      </c>
      <c r="B206" t="str">
        <f>IFERROR(__xludf.DUMMYFUNCTION("""COMPUTED_VALUE"""),"Emmanuel Fernandes")</f>
        <v>Emmanuel Fernandes</v>
      </c>
      <c r="C206">
        <f>IFERROR(__xludf.DUMMYFUNCTION("""COMPUTED_VALUE"""),3.79)</f>
        <v>3.79</v>
      </c>
      <c r="D206">
        <f>IFERROR(__xludf.DUMMYFUNCTION("""COMPUTED_VALUE"""),5.05)</f>
        <v>5.05</v>
      </c>
      <c r="E206">
        <f>IFERROR(__xludf.DUMMYFUNCTION("""COMPUTED_VALUE"""),3.53)</f>
        <v>3.53</v>
      </c>
      <c r="F206">
        <f>IFERROR(__xludf.DUMMYFUNCTION("""COMPUTED_VALUE"""),6.05)</f>
        <v>6.05</v>
      </c>
      <c r="G206">
        <f>IFERROR(__xludf.DUMMYFUNCTION("""COMPUTED_VALUE"""),1.79)</f>
        <v>1.79</v>
      </c>
      <c r="H206">
        <f>IFERROR(__xludf.DUMMYFUNCTION("""COMPUTED_VALUE"""),12.89)</f>
        <v>12.89</v>
      </c>
      <c r="I206">
        <f>IFERROR(__xludf.DUMMYFUNCTION("""COMPUTED_VALUE"""),891.42)</f>
        <v>891.42</v>
      </c>
      <c r="J206">
        <f>IFERROR(__xludf.DUMMYFUNCTION("""COMPUTED_VALUE"""),28.79)</f>
        <v>28.79</v>
      </c>
      <c r="K206">
        <f>IFERROR(__xludf.DUMMYFUNCTION("""COMPUTED_VALUE"""),0.0)</f>
        <v>0</v>
      </c>
      <c r="L206">
        <f>IFERROR(__xludf.DUMMYFUNCTION("""COMPUTED_VALUE"""),0.26)</f>
        <v>0.26</v>
      </c>
      <c r="M206">
        <f>IFERROR(__xludf.DUMMYFUNCTION("""COMPUTED_VALUE"""),8.26)</f>
        <v>8.26</v>
      </c>
      <c r="N206">
        <f>IFERROR(__xludf.DUMMYFUNCTION("""COMPUTED_VALUE"""),1.63)</f>
        <v>1.63</v>
      </c>
      <c r="O206">
        <f>IFERROR(__xludf.DUMMYFUNCTION("""COMPUTED_VALUE"""),0.26)</f>
        <v>0.26</v>
      </c>
    </row>
    <row r="207">
      <c r="A207" t="str">
        <f>IFERROR(__xludf.DUMMYFUNCTION("""COMPUTED_VALUE"""),"Ferracci")</f>
        <v>Ferracci</v>
      </c>
      <c r="B207" t="str">
        <f>IFERROR(__xludf.DUMMYFUNCTION("""COMPUTED_VALUE"""),"Marc Ferracci")</f>
        <v>Marc Ferracci</v>
      </c>
      <c r="C207">
        <f>IFERROR(__xludf.DUMMYFUNCTION("""COMPUTED_VALUE"""),3.84)</f>
        <v>3.84</v>
      </c>
      <c r="D207">
        <f>IFERROR(__xludf.DUMMYFUNCTION("""COMPUTED_VALUE"""),7.58)</f>
        <v>7.58</v>
      </c>
      <c r="E207">
        <f>IFERROR(__xludf.DUMMYFUNCTION("""COMPUTED_VALUE"""),19.42)</f>
        <v>19.42</v>
      </c>
      <c r="F207">
        <f>IFERROR(__xludf.DUMMYFUNCTION("""COMPUTED_VALUE"""),11.47)</f>
        <v>11.47</v>
      </c>
      <c r="G207">
        <f>IFERROR(__xludf.DUMMYFUNCTION("""COMPUTED_VALUE"""),2.68)</f>
        <v>2.68</v>
      </c>
      <c r="H207">
        <f>IFERROR(__xludf.DUMMYFUNCTION("""COMPUTED_VALUE"""),4.74)</f>
        <v>4.74</v>
      </c>
      <c r="I207">
        <f>IFERROR(__xludf.DUMMYFUNCTION("""COMPUTED_VALUE"""),56.79)</f>
        <v>56.79</v>
      </c>
      <c r="J207">
        <f>IFERROR(__xludf.DUMMYFUNCTION("""COMPUTED_VALUE"""),17.68)</f>
        <v>17.68</v>
      </c>
      <c r="K207">
        <f>IFERROR(__xludf.DUMMYFUNCTION("""COMPUTED_VALUE"""),0.26)</f>
        <v>0.26</v>
      </c>
      <c r="L207">
        <f>IFERROR(__xludf.DUMMYFUNCTION("""COMPUTED_VALUE"""),0.05)</f>
        <v>0.05</v>
      </c>
      <c r="M207">
        <f>IFERROR(__xludf.DUMMYFUNCTION("""COMPUTED_VALUE"""),2.05)</f>
        <v>2.05</v>
      </c>
      <c r="N207">
        <f>IFERROR(__xludf.DUMMYFUNCTION("""COMPUTED_VALUE"""),0.21)</f>
        <v>0.21</v>
      </c>
      <c r="O207">
        <f>IFERROR(__xludf.DUMMYFUNCTION("""COMPUTED_VALUE"""),0.16)</f>
        <v>0.16</v>
      </c>
    </row>
    <row r="208">
      <c r="A208" t="str">
        <f>IFERROR(__xludf.DUMMYFUNCTION("""COMPUTED_VALUE"""),"Ferrari")</f>
        <v>Ferrari</v>
      </c>
      <c r="B208" t="str">
        <f>IFERROR(__xludf.DUMMYFUNCTION("""COMPUTED_VALUE"""),"Marina Ferrari")</f>
        <v>Marina Ferrari</v>
      </c>
      <c r="C208">
        <f>IFERROR(__xludf.DUMMYFUNCTION("""COMPUTED_VALUE"""),3.81)</f>
        <v>3.81</v>
      </c>
      <c r="D208">
        <f>IFERROR(__xludf.DUMMYFUNCTION("""COMPUTED_VALUE"""),9.13)</f>
        <v>9.13</v>
      </c>
      <c r="E208">
        <f>IFERROR(__xludf.DUMMYFUNCTION("""COMPUTED_VALUE"""),19.69)</f>
        <v>19.69</v>
      </c>
      <c r="F208">
        <f>IFERROR(__xludf.DUMMYFUNCTION("""COMPUTED_VALUE"""),6.0)</f>
        <v>6</v>
      </c>
      <c r="G208">
        <f>IFERROR(__xludf.DUMMYFUNCTION("""COMPUTED_VALUE"""),4.38)</f>
        <v>4.38</v>
      </c>
      <c r="H208">
        <f>IFERROR(__xludf.DUMMYFUNCTION("""COMPUTED_VALUE"""),6.56)</f>
        <v>6.56</v>
      </c>
      <c r="I208">
        <f>IFERROR(__xludf.DUMMYFUNCTION("""COMPUTED_VALUE"""),76.88)</f>
        <v>76.88</v>
      </c>
      <c r="J208">
        <f>IFERROR(__xludf.DUMMYFUNCTION("""COMPUTED_VALUE"""),17.13)</f>
        <v>17.13</v>
      </c>
      <c r="K208">
        <f>IFERROR(__xludf.DUMMYFUNCTION("""COMPUTED_VALUE"""),0.31)</f>
        <v>0.31</v>
      </c>
      <c r="L208">
        <f>IFERROR(__xludf.DUMMYFUNCTION("""COMPUTED_VALUE"""),0.0)</f>
        <v>0</v>
      </c>
      <c r="M208">
        <f>IFERROR(__xludf.DUMMYFUNCTION("""COMPUTED_VALUE"""),0.94)</f>
        <v>0.94</v>
      </c>
      <c r="N208">
        <f>IFERROR(__xludf.DUMMYFUNCTION("""COMPUTED_VALUE"""),0.75)</f>
        <v>0.75</v>
      </c>
      <c r="O208">
        <f>IFERROR(__xludf.DUMMYFUNCTION("""COMPUTED_VALUE"""),0.38)</f>
        <v>0.38</v>
      </c>
    </row>
    <row r="209">
      <c r="A209" t="str">
        <f>IFERROR(__xludf.DUMMYFUNCTION("""COMPUTED_VALUE"""),"Ferrer")</f>
        <v>Ferrer</v>
      </c>
      <c r="B209" t="str">
        <f>IFERROR(__xludf.DUMMYFUNCTION("""COMPUTED_VALUE"""),"Sylvie Ferrer")</f>
        <v>Sylvie Ferrer</v>
      </c>
      <c r="C209">
        <f>IFERROR(__xludf.DUMMYFUNCTION("""COMPUTED_VALUE"""),3.58)</f>
        <v>3.58</v>
      </c>
      <c r="D209">
        <f>IFERROR(__xludf.DUMMYFUNCTION("""COMPUTED_VALUE"""),6.63)</f>
        <v>6.63</v>
      </c>
      <c r="E209">
        <f>IFERROR(__xludf.DUMMYFUNCTION("""COMPUTED_VALUE"""),4.05)</f>
        <v>4.05</v>
      </c>
      <c r="F209">
        <f>IFERROR(__xludf.DUMMYFUNCTION("""COMPUTED_VALUE"""),1.89)</f>
        <v>1.89</v>
      </c>
      <c r="G209">
        <f>IFERROR(__xludf.DUMMYFUNCTION("""COMPUTED_VALUE"""),0.58)</f>
        <v>0.58</v>
      </c>
      <c r="H209">
        <f>IFERROR(__xludf.DUMMYFUNCTION("""COMPUTED_VALUE"""),13.79)</f>
        <v>13.79</v>
      </c>
      <c r="I209">
        <f>IFERROR(__xludf.DUMMYFUNCTION("""COMPUTED_VALUE"""),898.05)</f>
        <v>898.05</v>
      </c>
      <c r="J209">
        <f>IFERROR(__xludf.DUMMYFUNCTION("""COMPUTED_VALUE"""),28.79)</f>
        <v>28.79</v>
      </c>
      <c r="K209">
        <f>IFERROR(__xludf.DUMMYFUNCTION("""COMPUTED_VALUE"""),0.11)</f>
        <v>0.11</v>
      </c>
      <c r="L209">
        <f>IFERROR(__xludf.DUMMYFUNCTION("""COMPUTED_VALUE"""),0.16)</f>
        <v>0.16</v>
      </c>
      <c r="M209">
        <f>IFERROR(__xludf.DUMMYFUNCTION("""COMPUTED_VALUE"""),7.74)</f>
        <v>7.74</v>
      </c>
      <c r="N209">
        <f>IFERROR(__xludf.DUMMYFUNCTION("""COMPUTED_VALUE"""),5.05)</f>
        <v>5.05</v>
      </c>
      <c r="O209">
        <f>IFERROR(__xludf.DUMMYFUNCTION("""COMPUTED_VALUE"""),0.26)</f>
        <v>0.26</v>
      </c>
    </row>
    <row r="210">
      <c r="A210" t="str">
        <f>IFERROR(__xludf.DUMMYFUNCTION("""COMPUTED_VALUE"""),"Fiat")</f>
        <v>Fiat</v>
      </c>
      <c r="B210" t="str">
        <f>IFERROR(__xludf.DUMMYFUNCTION("""COMPUTED_VALUE"""),"Caroline Fiat")</f>
        <v>Caroline Fiat</v>
      </c>
      <c r="C210">
        <f>IFERROR(__xludf.DUMMYFUNCTION("""COMPUTED_VALUE"""),4.0)</f>
        <v>4</v>
      </c>
      <c r="D210">
        <f>IFERROR(__xludf.DUMMYFUNCTION("""COMPUTED_VALUE"""),7.89)</f>
        <v>7.89</v>
      </c>
      <c r="E210">
        <f>IFERROR(__xludf.DUMMYFUNCTION("""COMPUTED_VALUE"""),15.0)</f>
        <v>15</v>
      </c>
      <c r="F210">
        <f>IFERROR(__xludf.DUMMYFUNCTION("""COMPUTED_VALUE"""),192.05)</f>
        <v>192.05</v>
      </c>
      <c r="G210">
        <f>IFERROR(__xludf.DUMMYFUNCTION("""COMPUTED_VALUE"""),682.11)</f>
        <v>682.11</v>
      </c>
      <c r="H210">
        <f>IFERROR(__xludf.DUMMYFUNCTION("""COMPUTED_VALUE"""),36.95)</f>
        <v>36.95</v>
      </c>
      <c r="I210">
        <f>IFERROR(__xludf.DUMMYFUNCTION("""COMPUTED_VALUE"""),891.11)</f>
        <v>891.11</v>
      </c>
      <c r="J210">
        <f>IFERROR(__xludf.DUMMYFUNCTION("""COMPUTED_VALUE"""),28.84)</f>
        <v>28.84</v>
      </c>
      <c r="K210">
        <f>IFERROR(__xludf.DUMMYFUNCTION("""COMPUTED_VALUE"""),0.32)</f>
        <v>0.32</v>
      </c>
      <c r="L210">
        <f>IFERROR(__xludf.DUMMYFUNCTION("""COMPUTED_VALUE"""),0.37)</f>
        <v>0.37</v>
      </c>
      <c r="M210">
        <f>IFERROR(__xludf.DUMMYFUNCTION("""COMPUTED_VALUE"""),7.37)</f>
        <v>7.37</v>
      </c>
      <c r="N210">
        <f>IFERROR(__xludf.DUMMYFUNCTION("""COMPUTED_VALUE"""),3.0)</f>
        <v>3</v>
      </c>
      <c r="O210">
        <f>IFERROR(__xludf.DUMMYFUNCTION("""COMPUTED_VALUE"""),0.21)</f>
        <v>0.21</v>
      </c>
    </row>
    <row r="211">
      <c r="A211" t="str">
        <f>IFERROR(__xludf.DUMMYFUNCTION("""COMPUTED_VALUE"""),"Fiévet")</f>
        <v>Fiévet</v>
      </c>
      <c r="B211" t="str">
        <f>IFERROR(__xludf.DUMMYFUNCTION("""COMPUTED_VALUE"""),"Jean-Marie Fiévet")</f>
        <v>Jean-Marie Fiévet</v>
      </c>
      <c r="C211">
        <f>IFERROR(__xludf.DUMMYFUNCTION("""COMPUTED_VALUE"""),3.16)</f>
        <v>3.16</v>
      </c>
      <c r="D211">
        <f>IFERROR(__xludf.DUMMYFUNCTION("""COMPUTED_VALUE"""),6.21)</f>
        <v>6.21</v>
      </c>
      <c r="E211">
        <f>IFERROR(__xludf.DUMMYFUNCTION("""COMPUTED_VALUE"""),4.58)</f>
        <v>4.58</v>
      </c>
      <c r="F211">
        <f>IFERROR(__xludf.DUMMYFUNCTION("""COMPUTED_VALUE"""),0.63)</f>
        <v>0.63</v>
      </c>
      <c r="G211">
        <f>IFERROR(__xludf.DUMMYFUNCTION("""COMPUTED_VALUE"""),0.0)</f>
        <v>0</v>
      </c>
      <c r="H211">
        <f>IFERROR(__xludf.DUMMYFUNCTION("""COMPUTED_VALUE"""),1.95)</f>
        <v>1.95</v>
      </c>
      <c r="I211">
        <f>IFERROR(__xludf.DUMMYFUNCTION("""COMPUTED_VALUE"""),67.84)</f>
        <v>67.84</v>
      </c>
      <c r="J211">
        <f>IFERROR(__xludf.DUMMYFUNCTION("""COMPUTED_VALUE"""),16.05)</f>
        <v>16.05</v>
      </c>
      <c r="K211">
        <f>IFERROR(__xludf.DUMMYFUNCTION("""COMPUTED_VALUE"""),0.0)</f>
        <v>0</v>
      </c>
      <c r="L211">
        <f>IFERROR(__xludf.DUMMYFUNCTION("""COMPUTED_VALUE"""),0.0)</f>
        <v>0</v>
      </c>
      <c r="M211">
        <f>IFERROR(__xludf.DUMMYFUNCTION("""COMPUTED_VALUE"""),2.32)</f>
        <v>2.32</v>
      </c>
      <c r="N211">
        <f>IFERROR(__xludf.DUMMYFUNCTION("""COMPUTED_VALUE"""),1.63)</f>
        <v>1.63</v>
      </c>
      <c r="O211">
        <f>IFERROR(__xludf.DUMMYFUNCTION("""COMPUTED_VALUE"""),0.11)</f>
        <v>0.11</v>
      </c>
    </row>
    <row r="212">
      <c r="A212" t="str">
        <f>IFERROR(__xludf.DUMMYFUNCTION("""COMPUTED_VALUE"""),"Folest")</f>
        <v>Folest</v>
      </c>
      <c r="B212" t="str">
        <f>IFERROR(__xludf.DUMMYFUNCTION("""COMPUTED_VALUE"""),"Estelle Folest")</f>
        <v>Estelle Folest</v>
      </c>
      <c r="C212">
        <f>IFERROR(__xludf.DUMMYFUNCTION("""COMPUTED_VALUE"""),3.95)</f>
        <v>3.95</v>
      </c>
      <c r="D212">
        <f>IFERROR(__xludf.DUMMYFUNCTION("""COMPUTED_VALUE"""),5.47)</f>
        <v>5.47</v>
      </c>
      <c r="E212">
        <f>IFERROR(__xludf.DUMMYFUNCTION("""COMPUTED_VALUE"""),2.42)</f>
        <v>2.42</v>
      </c>
      <c r="F212">
        <f>IFERROR(__xludf.DUMMYFUNCTION("""COMPUTED_VALUE"""),1.16)</f>
        <v>1.16</v>
      </c>
      <c r="G212">
        <f>IFERROR(__xludf.DUMMYFUNCTION("""COMPUTED_VALUE"""),7.21)</f>
        <v>7.21</v>
      </c>
      <c r="H212">
        <f>IFERROR(__xludf.DUMMYFUNCTION("""COMPUTED_VALUE"""),3.0)</f>
        <v>3</v>
      </c>
      <c r="I212">
        <f>IFERROR(__xludf.DUMMYFUNCTION("""COMPUTED_VALUE"""),67.42)</f>
        <v>67.42</v>
      </c>
      <c r="J212">
        <f>IFERROR(__xludf.DUMMYFUNCTION("""COMPUTED_VALUE"""),14.26)</f>
        <v>14.26</v>
      </c>
      <c r="K212">
        <f>IFERROR(__xludf.DUMMYFUNCTION("""COMPUTED_VALUE"""),0.05)</f>
        <v>0.05</v>
      </c>
      <c r="L212">
        <f>IFERROR(__xludf.DUMMYFUNCTION("""COMPUTED_VALUE"""),0.05)</f>
        <v>0.05</v>
      </c>
      <c r="M212">
        <f>IFERROR(__xludf.DUMMYFUNCTION("""COMPUTED_VALUE"""),0.84)</f>
        <v>0.84</v>
      </c>
      <c r="N212">
        <f>IFERROR(__xludf.DUMMYFUNCTION("""COMPUTED_VALUE"""),0.53)</f>
        <v>0.53</v>
      </c>
      <c r="O212">
        <f>IFERROR(__xludf.DUMMYFUNCTION("""COMPUTED_VALUE"""),0.16)</f>
        <v>0.16</v>
      </c>
    </row>
    <row r="213">
      <c r="A213" t="str">
        <f>IFERROR(__xludf.DUMMYFUNCTION("""COMPUTED_VALUE"""),"Forissier")</f>
        <v>Forissier</v>
      </c>
      <c r="B213" t="str">
        <f>IFERROR(__xludf.DUMMYFUNCTION("""COMPUTED_VALUE"""),"Nicolas Forissier")</f>
        <v>Nicolas Forissier</v>
      </c>
      <c r="C213">
        <f>IFERROR(__xludf.DUMMYFUNCTION("""COMPUTED_VALUE"""),3.42)</f>
        <v>3.42</v>
      </c>
      <c r="D213">
        <f>IFERROR(__xludf.DUMMYFUNCTION("""COMPUTED_VALUE"""),5.32)</f>
        <v>5.32</v>
      </c>
      <c r="E213">
        <f>IFERROR(__xludf.DUMMYFUNCTION("""COMPUTED_VALUE"""),1.05)</f>
        <v>1.05</v>
      </c>
      <c r="F213">
        <f>IFERROR(__xludf.DUMMYFUNCTION("""COMPUTED_VALUE"""),1.74)</f>
        <v>1.74</v>
      </c>
      <c r="G213">
        <f>IFERROR(__xludf.DUMMYFUNCTION("""COMPUTED_VALUE"""),4.63)</f>
        <v>4.63</v>
      </c>
      <c r="H213">
        <f>IFERROR(__xludf.DUMMYFUNCTION("""COMPUTED_VALUE"""),11.16)</f>
        <v>11.16</v>
      </c>
      <c r="I213">
        <f>IFERROR(__xludf.DUMMYFUNCTION("""COMPUTED_VALUE"""),287.74)</f>
        <v>287.74</v>
      </c>
      <c r="J213">
        <f>IFERROR(__xludf.DUMMYFUNCTION("""COMPUTED_VALUE"""),10.89)</f>
        <v>10.89</v>
      </c>
      <c r="K213">
        <f>IFERROR(__xludf.DUMMYFUNCTION("""COMPUTED_VALUE"""),0.05)</f>
        <v>0.05</v>
      </c>
      <c r="L213">
        <f>IFERROR(__xludf.DUMMYFUNCTION("""COMPUTED_VALUE"""),0.84)</f>
        <v>0.84</v>
      </c>
      <c r="M213">
        <f>IFERROR(__xludf.DUMMYFUNCTION("""COMPUTED_VALUE"""),11.63)</f>
        <v>11.63</v>
      </c>
      <c r="N213">
        <f>IFERROR(__xludf.DUMMYFUNCTION("""COMPUTED_VALUE"""),4.47)</f>
        <v>4.47</v>
      </c>
      <c r="O213">
        <f>IFERROR(__xludf.DUMMYFUNCTION("""COMPUTED_VALUE"""),0.05)</f>
        <v>0.05</v>
      </c>
    </row>
    <row r="214">
      <c r="A214" t="str">
        <f>IFERROR(__xludf.DUMMYFUNCTION("""COMPUTED_VALUE"""),"Fournas")</f>
        <v>Fournas</v>
      </c>
      <c r="B214" t="str">
        <f>IFERROR(__xludf.DUMMYFUNCTION("""COMPUTED_VALUE"""),"Grégoire de Fournas")</f>
        <v>Grégoire de Fournas</v>
      </c>
      <c r="C214">
        <f>IFERROR(__xludf.DUMMYFUNCTION("""COMPUTED_VALUE"""),3.84)</f>
        <v>3.84</v>
      </c>
      <c r="D214">
        <f>IFERROR(__xludf.DUMMYFUNCTION("""COMPUTED_VALUE"""),8.11)</f>
        <v>8.11</v>
      </c>
      <c r="E214">
        <f>IFERROR(__xludf.DUMMYFUNCTION("""COMPUTED_VALUE"""),44.26)</f>
        <v>44.26</v>
      </c>
      <c r="F214">
        <f>IFERROR(__xludf.DUMMYFUNCTION("""COMPUTED_VALUE"""),24.32)</f>
        <v>24.32</v>
      </c>
      <c r="G214">
        <f>IFERROR(__xludf.DUMMYFUNCTION("""COMPUTED_VALUE"""),30.63)</f>
        <v>30.63</v>
      </c>
      <c r="H214">
        <f>IFERROR(__xludf.DUMMYFUNCTION("""COMPUTED_VALUE"""),22.21)</f>
        <v>22.21</v>
      </c>
      <c r="I214">
        <f>IFERROR(__xludf.DUMMYFUNCTION("""COMPUTED_VALUE"""),462.63)</f>
        <v>462.63</v>
      </c>
      <c r="J214">
        <f>IFERROR(__xludf.DUMMYFUNCTION("""COMPUTED_VALUE"""),5.74)</f>
        <v>5.74</v>
      </c>
      <c r="K214">
        <f>IFERROR(__xludf.DUMMYFUNCTION("""COMPUTED_VALUE"""),0.05)</f>
        <v>0.05</v>
      </c>
      <c r="L214">
        <f>IFERROR(__xludf.DUMMYFUNCTION("""COMPUTED_VALUE"""),0.26)</f>
        <v>0.26</v>
      </c>
      <c r="M214">
        <f>IFERROR(__xludf.DUMMYFUNCTION("""COMPUTED_VALUE"""),5.58)</f>
        <v>5.58</v>
      </c>
      <c r="N214">
        <f>IFERROR(__xludf.DUMMYFUNCTION("""COMPUTED_VALUE"""),1.79)</f>
        <v>1.79</v>
      </c>
      <c r="O214">
        <f>IFERROR(__xludf.DUMMYFUNCTION("""COMPUTED_VALUE"""),0.32)</f>
        <v>0.32</v>
      </c>
    </row>
    <row r="215">
      <c r="A215" t="str">
        <f>IFERROR(__xludf.DUMMYFUNCTION("""COMPUTED_VALUE"""),"Fournier")</f>
        <v>Fournier</v>
      </c>
      <c r="B215" t="str">
        <f>IFERROR(__xludf.DUMMYFUNCTION("""COMPUTED_VALUE"""),"Charles Fournier")</f>
        <v>Charles Fournier</v>
      </c>
      <c r="C215">
        <f>IFERROR(__xludf.DUMMYFUNCTION("""COMPUTED_VALUE"""),3.74)</f>
        <v>3.74</v>
      </c>
      <c r="D215">
        <f>IFERROR(__xludf.DUMMYFUNCTION("""COMPUTED_VALUE"""),5.37)</f>
        <v>5.37</v>
      </c>
      <c r="E215">
        <f>IFERROR(__xludf.DUMMYFUNCTION("""COMPUTED_VALUE"""),13.95)</f>
        <v>13.95</v>
      </c>
      <c r="F215">
        <f>IFERROR(__xludf.DUMMYFUNCTION("""COMPUTED_VALUE"""),18.53)</f>
        <v>18.53</v>
      </c>
      <c r="G215">
        <f>IFERROR(__xludf.DUMMYFUNCTION("""COMPUTED_VALUE"""),19.63)</f>
        <v>19.63</v>
      </c>
      <c r="H215">
        <f>IFERROR(__xludf.DUMMYFUNCTION("""COMPUTED_VALUE"""),23.42)</f>
        <v>23.42</v>
      </c>
      <c r="I215">
        <f>IFERROR(__xludf.DUMMYFUNCTION("""COMPUTED_VALUE"""),533.42)</f>
        <v>533.42</v>
      </c>
      <c r="J215">
        <f>IFERROR(__xludf.DUMMYFUNCTION("""COMPUTED_VALUE"""),19.63)</f>
        <v>19.63</v>
      </c>
      <c r="K215">
        <f>IFERROR(__xludf.DUMMYFUNCTION("""COMPUTED_VALUE"""),0.32)</f>
        <v>0.32</v>
      </c>
      <c r="L215">
        <f>IFERROR(__xludf.DUMMYFUNCTION("""COMPUTED_VALUE"""),0.21)</f>
        <v>0.21</v>
      </c>
      <c r="M215">
        <f>IFERROR(__xludf.DUMMYFUNCTION("""COMPUTED_VALUE"""),3.11)</f>
        <v>3.11</v>
      </c>
      <c r="N215">
        <f>IFERROR(__xludf.DUMMYFUNCTION("""COMPUTED_VALUE"""),0.63)</f>
        <v>0.63</v>
      </c>
      <c r="O215">
        <f>IFERROR(__xludf.DUMMYFUNCTION("""COMPUTED_VALUE"""),0.37)</f>
        <v>0.37</v>
      </c>
    </row>
    <row r="216">
      <c r="A216" t="str">
        <f>IFERROR(__xludf.DUMMYFUNCTION("""COMPUTED_VALUE"""),"François")</f>
        <v>François</v>
      </c>
      <c r="B216" t="str">
        <f>IFERROR(__xludf.DUMMYFUNCTION("""COMPUTED_VALUE"""),"Thibaut François")</f>
        <v>Thibaut François</v>
      </c>
      <c r="C216">
        <f>IFERROR(__xludf.DUMMYFUNCTION("""COMPUTED_VALUE"""),3.47)</f>
        <v>3.47</v>
      </c>
      <c r="D216">
        <f>IFERROR(__xludf.DUMMYFUNCTION("""COMPUTED_VALUE"""),6.74)</f>
        <v>6.74</v>
      </c>
      <c r="E216">
        <f>IFERROR(__xludf.DUMMYFUNCTION("""COMPUTED_VALUE"""),5.47)</f>
        <v>5.47</v>
      </c>
      <c r="F216">
        <f>IFERROR(__xludf.DUMMYFUNCTION("""COMPUTED_VALUE"""),4.21)</f>
        <v>4.21</v>
      </c>
      <c r="G216">
        <f>IFERROR(__xludf.DUMMYFUNCTION("""COMPUTED_VALUE"""),4.11)</f>
        <v>4.11</v>
      </c>
      <c r="H216">
        <f>IFERROR(__xludf.DUMMYFUNCTION("""COMPUTED_VALUE"""),4.47)</f>
        <v>4.47</v>
      </c>
      <c r="I216">
        <f>IFERROR(__xludf.DUMMYFUNCTION("""COMPUTED_VALUE"""),425.47)</f>
        <v>425.47</v>
      </c>
      <c r="J216">
        <f>IFERROR(__xludf.DUMMYFUNCTION("""COMPUTED_VALUE"""),5.21)</f>
        <v>5.21</v>
      </c>
      <c r="K216">
        <f>IFERROR(__xludf.DUMMYFUNCTION("""COMPUTED_VALUE"""),0.16)</f>
        <v>0.16</v>
      </c>
      <c r="L216">
        <f>IFERROR(__xludf.DUMMYFUNCTION("""COMPUTED_VALUE"""),0.21)</f>
        <v>0.21</v>
      </c>
      <c r="M216">
        <f>IFERROR(__xludf.DUMMYFUNCTION("""COMPUTED_VALUE"""),6.53)</f>
        <v>6.53</v>
      </c>
      <c r="N216">
        <f>IFERROR(__xludf.DUMMYFUNCTION("""COMPUTED_VALUE"""),4.68)</f>
        <v>4.68</v>
      </c>
      <c r="O216">
        <f>IFERROR(__xludf.DUMMYFUNCTION("""COMPUTED_VALUE"""),0.21)</f>
        <v>0.21</v>
      </c>
    </row>
    <row r="217">
      <c r="A217" t="str">
        <f>IFERROR(__xludf.DUMMYFUNCTION("""COMPUTED_VALUE"""),"Frappé")</f>
        <v>Frappé</v>
      </c>
      <c r="B217" t="str">
        <f>IFERROR(__xludf.DUMMYFUNCTION("""COMPUTED_VALUE"""),"Thierry Frappé")</f>
        <v>Thierry Frappé</v>
      </c>
      <c r="C217">
        <f>IFERROR(__xludf.DUMMYFUNCTION("""COMPUTED_VALUE"""),4.0)</f>
        <v>4</v>
      </c>
      <c r="D217">
        <f>IFERROR(__xludf.DUMMYFUNCTION("""COMPUTED_VALUE"""),7.95)</f>
        <v>7.95</v>
      </c>
      <c r="E217">
        <f>IFERROR(__xludf.DUMMYFUNCTION("""COMPUTED_VALUE"""),6.42)</f>
        <v>6.42</v>
      </c>
      <c r="F217">
        <f>IFERROR(__xludf.DUMMYFUNCTION("""COMPUTED_VALUE"""),4.63)</f>
        <v>4.63</v>
      </c>
      <c r="G217">
        <f>IFERROR(__xludf.DUMMYFUNCTION("""COMPUTED_VALUE"""),0.11)</f>
        <v>0.11</v>
      </c>
      <c r="H217">
        <f>IFERROR(__xludf.DUMMYFUNCTION("""COMPUTED_VALUE"""),14.74)</f>
        <v>14.74</v>
      </c>
      <c r="I217">
        <f>IFERROR(__xludf.DUMMYFUNCTION("""COMPUTED_VALUE"""),504.89)</f>
        <v>504.89</v>
      </c>
      <c r="J217">
        <f>IFERROR(__xludf.DUMMYFUNCTION("""COMPUTED_VALUE"""),6.0)</f>
        <v>6</v>
      </c>
      <c r="K217">
        <f>IFERROR(__xludf.DUMMYFUNCTION("""COMPUTED_VALUE"""),0.05)</f>
        <v>0.05</v>
      </c>
      <c r="L217">
        <f>IFERROR(__xludf.DUMMYFUNCTION("""COMPUTED_VALUE"""),0.0)</f>
        <v>0</v>
      </c>
      <c r="M217">
        <f>IFERROR(__xludf.DUMMYFUNCTION("""COMPUTED_VALUE"""),6.63)</f>
        <v>6.63</v>
      </c>
      <c r="N217">
        <f>IFERROR(__xludf.DUMMYFUNCTION("""COMPUTED_VALUE"""),3.84)</f>
        <v>3.84</v>
      </c>
      <c r="O217">
        <f>IFERROR(__xludf.DUMMYFUNCTION("""COMPUTED_VALUE"""),0.21)</f>
        <v>0.21</v>
      </c>
    </row>
    <row r="218">
      <c r="A218" t="str">
        <f>IFERROR(__xludf.DUMMYFUNCTION("""COMPUTED_VALUE"""),"Frei")</f>
        <v>Frei</v>
      </c>
      <c r="B218" t="str">
        <f>IFERROR(__xludf.DUMMYFUNCTION("""COMPUTED_VALUE"""),"Philippe Frei")</f>
        <v>Philippe Frei</v>
      </c>
      <c r="C218">
        <f>IFERROR(__xludf.DUMMYFUNCTION("""COMPUTED_VALUE"""),3.67)</f>
        <v>3.67</v>
      </c>
      <c r="D218">
        <f>IFERROR(__xludf.DUMMYFUNCTION("""COMPUTED_VALUE"""),9.22)</f>
        <v>9.22</v>
      </c>
      <c r="E218">
        <f>IFERROR(__xludf.DUMMYFUNCTION("""COMPUTED_VALUE"""),5.56)</f>
        <v>5.56</v>
      </c>
      <c r="F218">
        <f>IFERROR(__xludf.DUMMYFUNCTION("""COMPUTED_VALUE"""),1.11)</f>
        <v>1.11</v>
      </c>
      <c r="G218">
        <f>IFERROR(__xludf.DUMMYFUNCTION("""COMPUTED_VALUE"""),0.22)</f>
        <v>0.22</v>
      </c>
      <c r="H218">
        <f>IFERROR(__xludf.DUMMYFUNCTION("""COMPUTED_VALUE"""),0.89)</f>
        <v>0.89</v>
      </c>
      <c r="I218">
        <f>IFERROR(__xludf.DUMMYFUNCTION("""COMPUTED_VALUE"""),74.67)</f>
        <v>74.67</v>
      </c>
      <c r="J218">
        <f>IFERROR(__xludf.DUMMYFUNCTION("""COMPUTED_VALUE"""),15.11)</f>
        <v>15.11</v>
      </c>
      <c r="K218">
        <f>IFERROR(__xludf.DUMMYFUNCTION("""COMPUTED_VALUE"""),0.0)</f>
        <v>0</v>
      </c>
      <c r="L218">
        <f>IFERROR(__xludf.DUMMYFUNCTION("""COMPUTED_VALUE"""),0.11)</f>
        <v>0.11</v>
      </c>
      <c r="M218">
        <f>IFERROR(__xludf.DUMMYFUNCTION("""COMPUTED_VALUE"""),1.78)</f>
        <v>1.78</v>
      </c>
      <c r="N218">
        <f>IFERROR(__xludf.DUMMYFUNCTION("""COMPUTED_VALUE"""),1.11)</f>
        <v>1.11</v>
      </c>
      <c r="O218">
        <f>IFERROR(__xludf.DUMMYFUNCTION("""COMPUTED_VALUE"""),0.33)</f>
        <v>0.33</v>
      </c>
    </row>
    <row r="219">
      <c r="A219" t="str">
        <f>IFERROR(__xludf.DUMMYFUNCTION("""COMPUTED_VALUE"""),"Froger")</f>
        <v>Froger</v>
      </c>
      <c r="B219" t="str">
        <f>IFERROR(__xludf.DUMMYFUNCTION("""COMPUTED_VALUE"""),"Martine Froger")</f>
        <v>Martine Froger</v>
      </c>
      <c r="C219">
        <f>IFERROR(__xludf.DUMMYFUNCTION("""COMPUTED_VALUE"""),2.92)</f>
        <v>2.92</v>
      </c>
      <c r="D219">
        <f>IFERROR(__xludf.DUMMYFUNCTION("""COMPUTED_VALUE"""),3.83)</f>
        <v>3.83</v>
      </c>
      <c r="E219">
        <f>IFERROR(__xludf.DUMMYFUNCTION("""COMPUTED_VALUE"""),4.25)</f>
        <v>4.25</v>
      </c>
      <c r="F219">
        <f>IFERROR(__xludf.DUMMYFUNCTION("""COMPUTED_VALUE"""),1.67)</f>
        <v>1.67</v>
      </c>
      <c r="G219">
        <f>IFERROR(__xludf.DUMMYFUNCTION("""COMPUTED_VALUE"""),0.25)</f>
        <v>0.25</v>
      </c>
      <c r="H219">
        <f>IFERROR(__xludf.DUMMYFUNCTION("""COMPUTED_VALUE"""),10.0)</f>
        <v>10</v>
      </c>
      <c r="I219">
        <f>IFERROR(__xludf.DUMMYFUNCTION("""COMPUTED_VALUE"""),206.0)</f>
        <v>206</v>
      </c>
      <c r="J219">
        <f>IFERROR(__xludf.DUMMYFUNCTION("""COMPUTED_VALUE"""),12.33)</f>
        <v>12.33</v>
      </c>
      <c r="K219">
        <f>IFERROR(__xludf.DUMMYFUNCTION("""COMPUTED_VALUE"""),0.0)</f>
        <v>0</v>
      </c>
      <c r="L219">
        <f>IFERROR(__xludf.DUMMYFUNCTION("""COMPUTED_VALUE"""),0.25)</f>
        <v>0.25</v>
      </c>
      <c r="M219">
        <f>IFERROR(__xludf.DUMMYFUNCTION("""COMPUTED_VALUE"""),1.42)</f>
        <v>1.42</v>
      </c>
      <c r="N219">
        <f>IFERROR(__xludf.DUMMYFUNCTION("""COMPUTED_VALUE"""),0.92)</f>
        <v>0.92</v>
      </c>
      <c r="O219">
        <f>IFERROR(__xludf.DUMMYFUNCTION("""COMPUTED_VALUE"""),0.5)</f>
        <v>0.5</v>
      </c>
    </row>
    <row r="220">
      <c r="A220" t="str">
        <f>IFERROR(__xludf.DUMMYFUNCTION("""COMPUTED_VALUE"""),"Fuchs")</f>
        <v>Fuchs</v>
      </c>
      <c r="B220" t="str">
        <f>IFERROR(__xludf.DUMMYFUNCTION("""COMPUTED_VALUE"""),"Bruno Fuchs")</f>
        <v>Bruno Fuchs</v>
      </c>
      <c r="C220">
        <f>IFERROR(__xludf.DUMMYFUNCTION("""COMPUTED_VALUE"""),3.32)</f>
        <v>3.32</v>
      </c>
      <c r="D220">
        <f>IFERROR(__xludf.DUMMYFUNCTION("""COMPUTED_VALUE"""),5.21)</f>
        <v>5.21</v>
      </c>
      <c r="E220">
        <f>IFERROR(__xludf.DUMMYFUNCTION("""COMPUTED_VALUE"""),4.26)</f>
        <v>4.26</v>
      </c>
      <c r="F220">
        <f>IFERROR(__xludf.DUMMYFUNCTION("""COMPUTED_VALUE"""),2.63)</f>
        <v>2.63</v>
      </c>
      <c r="G220">
        <f>IFERROR(__xludf.DUMMYFUNCTION("""COMPUTED_VALUE"""),0.53)</f>
        <v>0.53</v>
      </c>
      <c r="H220">
        <f>IFERROR(__xludf.DUMMYFUNCTION("""COMPUTED_VALUE"""),2.53)</f>
        <v>2.53</v>
      </c>
      <c r="I220">
        <f>IFERROR(__xludf.DUMMYFUNCTION("""COMPUTED_VALUE"""),66.79)</f>
        <v>66.79</v>
      </c>
      <c r="J220">
        <f>IFERROR(__xludf.DUMMYFUNCTION("""COMPUTED_VALUE"""),14.63)</f>
        <v>14.63</v>
      </c>
      <c r="K220">
        <f>IFERROR(__xludf.DUMMYFUNCTION("""COMPUTED_VALUE"""),0.21)</f>
        <v>0.21</v>
      </c>
      <c r="L220">
        <f>IFERROR(__xludf.DUMMYFUNCTION("""COMPUTED_VALUE"""),0.16)</f>
        <v>0.16</v>
      </c>
      <c r="M220">
        <f>IFERROR(__xludf.DUMMYFUNCTION("""COMPUTED_VALUE"""),1.26)</f>
        <v>1.26</v>
      </c>
      <c r="N220">
        <f>IFERROR(__xludf.DUMMYFUNCTION("""COMPUTED_VALUE"""),0.84)</f>
        <v>0.84</v>
      </c>
      <c r="O220">
        <f>IFERROR(__xludf.DUMMYFUNCTION("""COMPUTED_VALUE"""),0.16)</f>
        <v>0.16</v>
      </c>
    </row>
    <row r="221">
      <c r="A221" t="str">
        <f>IFERROR(__xludf.DUMMYFUNCTION("""COMPUTED_VALUE"""),"Fugit")</f>
        <v>Fugit</v>
      </c>
      <c r="B221" t="str">
        <f>IFERROR(__xludf.DUMMYFUNCTION("""COMPUTED_VALUE"""),"Jean-Luc Fugit")</f>
        <v>Jean-Luc Fugit</v>
      </c>
      <c r="C221">
        <f>IFERROR(__xludf.DUMMYFUNCTION("""COMPUTED_VALUE"""),3.74)</f>
        <v>3.74</v>
      </c>
      <c r="D221">
        <f>IFERROR(__xludf.DUMMYFUNCTION("""COMPUTED_VALUE"""),8.58)</f>
        <v>8.58</v>
      </c>
      <c r="E221">
        <f>IFERROR(__xludf.DUMMYFUNCTION("""COMPUTED_VALUE"""),27.42)</f>
        <v>27.42</v>
      </c>
      <c r="F221">
        <f>IFERROR(__xludf.DUMMYFUNCTION("""COMPUTED_VALUE"""),9.21)</f>
        <v>9.21</v>
      </c>
      <c r="G221">
        <f>IFERROR(__xludf.DUMMYFUNCTION("""COMPUTED_VALUE"""),4.53)</f>
        <v>4.53</v>
      </c>
      <c r="H221">
        <f>IFERROR(__xludf.DUMMYFUNCTION("""COMPUTED_VALUE"""),9.16)</f>
        <v>9.16</v>
      </c>
      <c r="I221">
        <f>IFERROR(__xludf.DUMMYFUNCTION("""COMPUTED_VALUE"""),68.68)</f>
        <v>68.68</v>
      </c>
      <c r="J221">
        <f>IFERROR(__xludf.DUMMYFUNCTION("""COMPUTED_VALUE"""),21.26)</f>
        <v>21.26</v>
      </c>
      <c r="K221">
        <f>IFERROR(__xludf.DUMMYFUNCTION("""COMPUTED_VALUE"""),0.42)</f>
        <v>0.42</v>
      </c>
      <c r="L221">
        <f>IFERROR(__xludf.DUMMYFUNCTION("""COMPUTED_VALUE"""),0.11)</f>
        <v>0.11</v>
      </c>
      <c r="M221">
        <f>IFERROR(__xludf.DUMMYFUNCTION("""COMPUTED_VALUE"""),2.37)</f>
        <v>2.37</v>
      </c>
      <c r="N221">
        <f>IFERROR(__xludf.DUMMYFUNCTION("""COMPUTED_VALUE"""),0.21)</f>
        <v>0.21</v>
      </c>
      <c r="O221">
        <f>IFERROR(__xludf.DUMMYFUNCTION("""COMPUTED_VALUE"""),0.16)</f>
        <v>0.16</v>
      </c>
    </row>
    <row r="222">
      <c r="A222" t="str">
        <f>IFERROR(__xludf.DUMMYFUNCTION("""COMPUTED_VALUE"""),"Gaillard")</f>
        <v>Gaillard</v>
      </c>
      <c r="B222" t="str">
        <f>IFERROR(__xludf.DUMMYFUNCTION("""COMPUTED_VALUE"""),"Perceval Gaillard")</f>
        <v>Perceval Gaillard</v>
      </c>
      <c r="C222">
        <f>IFERROR(__xludf.DUMMYFUNCTION("""COMPUTED_VALUE"""),2.79)</f>
        <v>2.79</v>
      </c>
      <c r="D222">
        <f>IFERROR(__xludf.DUMMYFUNCTION("""COMPUTED_VALUE"""),1.89)</f>
        <v>1.89</v>
      </c>
      <c r="E222">
        <f>IFERROR(__xludf.DUMMYFUNCTION("""COMPUTED_VALUE"""),1.42)</f>
        <v>1.42</v>
      </c>
      <c r="F222">
        <f>IFERROR(__xludf.DUMMYFUNCTION("""COMPUTED_VALUE"""),5.63)</f>
        <v>5.63</v>
      </c>
      <c r="G222">
        <f>IFERROR(__xludf.DUMMYFUNCTION("""COMPUTED_VALUE"""),1.16)</f>
        <v>1.16</v>
      </c>
      <c r="H222">
        <f>IFERROR(__xludf.DUMMYFUNCTION("""COMPUTED_VALUE"""),14.63)</f>
        <v>14.63</v>
      </c>
      <c r="I222">
        <f>IFERROR(__xludf.DUMMYFUNCTION("""COMPUTED_VALUE"""),892.11)</f>
        <v>892.11</v>
      </c>
      <c r="J222">
        <f>IFERROR(__xludf.DUMMYFUNCTION("""COMPUTED_VALUE"""),28.84)</f>
        <v>28.84</v>
      </c>
      <c r="K222">
        <f>IFERROR(__xludf.DUMMYFUNCTION("""COMPUTED_VALUE"""),0.0)</f>
        <v>0</v>
      </c>
      <c r="L222">
        <f>IFERROR(__xludf.DUMMYFUNCTION("""COMPUTED_VALUE"""),0.11)</f>
        <v>0.11</v>
      </c>
      <c r="M222">
        <f>IFERROR(__xludf.DUMMYFUNCTION("""COMPUTED_VALUE"""),7.47)</f>
        <v>7.47</v>
      </c>
      <c r="N222">
        <f>IFERROR(__xludf.DUMMYFUNCTION("""COMPUTED_VALUE"""),0.68)</f>
        <v>0.68</v>
      </c>
      <c r="O222">
        <f>IFERROR(__xludf.DUMMYFUNCTION("""COMPUTED_VALUE"""),0.26)</f>
        <v>0.26</v>
      </c>
    </row>
    <row r="223">
      <c r="A223" t="str">
        <f>IFERROR(__xludf.DUMMYFUNCTION("""COMPUTED_VALUE"""),"Galzy")</f>
        <v>Galzy</v>
      </c>
      <c r="B223" t="str">
        <f>IFERROR(__xludf.DUMMYFUNCTION("""COMPUTED_VALUE"""),"Stéphanie Galzy")</f>
        <v>Stéphanie Galzy</v>
      </c>
      <c r="C223">
        <f>IFERROR(__xludf.DUMMYFUNCTION("""COMPUTED_VALUE"""),3.26)</f>
        <v>3.26</v>
      </c>
      <c r="D223">
        <f>IFERROR(__xludf.DUMMYFUNCTION("""COMPUTED_VALUE"""),6.05)</f>
        <v>6.05</v>
      </c>
      <c r="E223">
        <f>IFERROR(__xludf.DUMMYFUNCTION("""COMPUTED_VALUE"""),3.0)</f>
        <v>3</v>
      </c>
      <c r="F223">
        <f>IFERROR(__xludf.DUMMYFUNCTION("""COMPUTED_VALUE"""),4.79)</f>
        <v>4.79</v>
      </c>
      <c r="G223">
        <f>IFERROR(__xludf.DUMMYFUNCTION("""COMPUTED_VALUE"""),1.26)</f>
        <v>1.26</v>
      </c>
      <c r="H223">
        <f>IFERROR(__xludf.DUMMYFUNCTION("""COMPUTED_VALUE"""),6.68)</f>
        <v>6.68</v>
      </c>
      <c r="I223">
        <f>IFERROR(__xludf.DUMMYFUNCTION("""COMPUTED_VALUE"""),434.79)</f>
        <v>434.79</v>
      </c>
      <c r="J223">
        <f>IFERROR(__xludf.DUMMYFUNCTION("""COMPUTED_VALUE"""),5.42)</f>
        <v>5.42</v>
      </c>
      <c r="K223">
        <f>IFERROR(__xludf.DUMMYFUNCTION("""COMPUTED_VALUE"""),0.0)</f>
        <v>0</v>
      </c>
      <c r="L223">
        <f>IFERROR(__xludf.DUMMYFUNCTION("""COMPUTED_VALUE"""),0.11)</f>
        <v>0.11</v>
      </c>
      <c r="M223">
        <f>IFERROR(__xludf.DUMMYFUNCTION("""COMPUTED_VALUE"""),7.11)</f>
        <v>7.11</v>
      </c>
      <c r="N223">
        <f>IFERROR(__xludf.DUMMYFUNCTION("""COMPUTED_VALUE"""),2.21)</f>
        <v>2.21</v>
      </c>
      <c r="O223">
        <f>IFERROR(__xludf.DUMMYFUNCTION("""COMPUTED_VALUE"""),0.26)</f>
        <v>0.26</v>
      </c>
    </row>
    <row r="224">
      <c r="A224" t="str">
        <f>IFERROR(__xludf.DUMMYFUNCTION("""COMPUTED_VALUE"""),"Garin")</f>
        <v>Garin</v>
      </c>
      <c r="B224" t="str">
        <f>IFERROR(__xludf.DUMMYFUNCTION("""COMPUTED_VALUE"""),"Marie-Charlotte Garin")</f>
        <v>Marie-Charlotte Garin</v>
      </c>
      <c r="C224">
        <f>IFERROR(__xludf.DUMMYFUNCTION("""COMPUTED_VALUE"""),3.63)</f>
        <v>3.63</v>
      </c>
      <c r="D224">
        <f>IFERROR(__xludf.DUMMYFUNCTION("""COMPUTED_VALUE"""),7.26)</f>
        <v>7.26</v>
      </c>
      <c r="E224">
        <f>IFERROR(__xludf.DUMMYFUNCTION("""COMPUTED_VALUE"""),13.74)</f>
        <v>13.74</v>
      </c>
      <c r="F224">
        <f>IFERROR(__xludf.DUMMYFUNCTION("""COMPUTED_VALUE"""),15.21)</f>
        <v>15.21</v>
      </c>
      <c r="G224">
        <f>IFERROR(__xludf.DUMMYFUNCTION("""COMPUTED_VALUE"""),12.63)</f>
        <v>12.63</v>
      </c>
      <c r="H224">
        <f>IFERROR(__xludf.DUMMYFUNCTION("""COMPUTED_VALUE"""),76.47)</f>
        <v>76.47</v>
      </c>
      <c r="I224">
        <f>IFERROR(__xludf.DUMMYFUNCTION("""COMPUTED_VALUE"""),551.11)</f>
        <v>551.11</v>
      </c>
      <c r="J224">
        <f>IFERROR(__xludf.DUMMYFUNCTION("""COMPUTED_VALUE"""),20.84)</f>
        <v>20.84</v>
      </c>
      <c r="K224">
        <f>IFERROR(__xludf.DUMMYFUNCTION("""COMPUTED_VALUE"""),0.0)</f>
        <v>0</v>
      </c>
      <c r="L224">
        <f>IFERROR(__xludf.DUMMYFUNCTION("""COMPUTED_VALUE"""),0.11)</f>
        <v>0.11</v>
      </c>
      <c r="M224">
        <f>IFERROR(__xludf.DUMMYFUNCTION("""COMPUTED_VALUE"""),4.26)</f>
        <v>4.26</v>
      </c>
      <c r="N224">
        <f>IFERROR(__xludf.DUMMYFUNCTION("""COMPUTED_VALUE"""),0.95)</f>
        <v>0.95</v>
      </c>
      <c r="O224">
        <f>IFERROR(__xludf.DUMMYFUNCTION("""COMPUTED_VALUE"""),0.42)</f>
        <v>0.42</v>
      </c>
    </row>
    <row r="225">
      <c r="A225" t="str">
        <f>IFERROR(__xludf.DUMMYFUNCTION("""COMPUTED_VALUE"""),"Garot")</f>
        <v>Garot</v>
      </c>
      <c r="B225" t="str">
        <f>IFERROR(__xludf.DUMMYFUNCTION("""COMPUTED_VALUE"""),"Guillaume Garot")</f>
        <v>Guillaume Garot</v>
      </c>
      <c r="C225">
        <f>IFERROR(__xludf.DUMMYFUNCTION("""COMPUTED_VALUE"""),3.63)</f>
        <v>3.63</v>
      </c>
      <c r="D225">
        <f>IFERROR(__xludf.DUMMYFUNCTION("""COMPUTED_VALUE"""),5.58)</f>
        <v>5.58</v>
      </c>
      <c r="E225">
        <f>IFERROR(__xludf.DUMMYFUNCTION("""COMPUTED_VALUE"""),7.79)</f>
        <v>7.79</v>
      </c>
      <c r="F225">
        <f>IFERROR(__xludf.DUMMYFUNCTION("""COMPUTED_VALUE"""),4.42)</f>
        <v>4.42</v>
      </c>
      <c r="G225">
        <f>IFERROR(__xludf.DUMMYFUNCTION("""COMPUTED_VALUE"""),3.32)</f>
        <v>3.32</v>
      </c>
      <c r="H225">
        <f>IFERROR(__xludf.DUMMYFUNCTION("""COMPUTED_VALUE"""),13.58)</f>
        <v>13.58</v>
      </c>
      <c r="I225">
        <f>IFERROR(__xludf.DUMMYFUNCTION("""COMPUTED_VALUE"""),451.21)</f>
        <v>451.21</v>
      </c>
      <c r="J225">
        <f>IFERROR(__xludf.DUMMYFUNCTION("""COMPUTED_VALUE"""),23.21)</f>
        <v>23.21</v>
      </c>
      <c r="K225">
        <f>IFERROR(__xludf.DUMMYFUNCTION("""COMPUTED_VALUE"""),0.05)</f>
        <v>0.05</v>
      </c>
      <c r="L225">
        <f>IFERROR(__xludf.DUMMYFUNCTION("""COMPUTED_VALUE"""),0.26)</f>
        <v>0.26</v>
      </c>
      <c r="M225">
        <f>IFERROR(__xludf.DUMMYFUNCTION("""COMPUTED_VALUE"""),3.68)</f>
        <v>3.68</v>
      </c>
      <c r="N225">
        <f>IFERROR(__xludf.DUMMYFUNCTION("""COMPUTED_VALUE"""),1.68)</f>
        <v>1.68</v>
      </c>
      <c r="O225">
        <f>IFERROR(__xludf.DUMMYFUNCTION("""COMPUTED_VALUE"""),0.26)</f>
        <v>0.26</v>
      </c>
    </row>
    <row r="226">
      <c r="A226" t="str">
        <f>IFERROR(__xludf.DUMMYFUNCTION("""COMPUTED_VALUE"""),"Garrido")</f>
        <v>Garrido</v>
      </c>
      <c r="B226" t="str">
        <f>IFERROR(__xludf.DUMMYFUNCTION("""COMPUTED_VALUE"""),"Raquel Garrido")</f>
        <v>Raquel Garrido</v>
      </c>
      <c r="C226">
        <f>IFERROR(__xludf.DUMMYFUNCTION("""COMPUTED_VALUE"""),3.79)</f>
        <v>3.79</v>
      </c>
      <c r="D226">
        <f>IFERROR(__xludf.DUMMYFUNCTION("""COMPUTED_VALUE"""),3.58)</f>
        <v>3.58</v>
      </c>
      <c r="E226">
        <f>IFERROR(__xludf.DUMMYFUNCTION("""COMPUTED_VALUE"""),8.37)</f>
        <v>8.37</v>
      </c>
      <c r="F226">
        <f>IFERROR(__xludf.DUMMYFUNCTION("""COMPUTED_VALUE"""),17.68)</f>
        <v>17.68</v>
      </c>
      <c r="G226">
        <f>IFERROR(__xludf.DUMMYFUNCTION("""COMPUTED_VALUE"""),34.37)</f>
        <v>34.37</v>
      </c>
      <c r="H226">
        <f>IFERROR(__xludf.DUMMYFUNCTION("""COMPUTED_VALUE"""),16.63)</f>
        <v>16.63</v>
      </c>
      <c r="I226">
        <f>IFERROR(__xludf.DUMMYFUNCTION("""COMPUTED_VALUE"""),893.21)</f>
        <v>893.21</v>
      </c>
      <c r="J226">
        <f>IFERROR(__xludf.DUMMYFUNCTION("""COMPUTED_VALUE"""),28.58)</f>
        <v>28.58</v>
      </c>
      <c r="K226">
        <f>IFERROR(__xludf.DUMMYFUNCTION("""COMPUTED_VALUE"""),0.0)</f>
        <v>0</v>
      </c>
      <c r="L226">
        <f>IFERROR(__xludf.DUMMYFUNCTION("""COMPUTED_VALUE"""),0.11)</f>
        <v>0.11</v>
      </c>
      <c r="M226">
        <f>IFERROR(__xludf.DUMMYFUNCTION("""COMPUTED_VALUE"""),7.05)</f>
        <v>7.05</v>
      </c>
      <c r="N226">
        <f>IFERROR(__xludf.DUMMYFUNCTION("""COMPUTED_VALUE"""),1.74)</f>
        <v>1.74</v>
      </c>
      <c r="O226">
        <f>IFERROR(__xludf.DUMMYFUNCTION("""COMPUTED_VALUE"""),0.16)</f>
        <v>0.16</v>
      </c>
    </row>
    <row r="227">
      <c r="A227" t="str">
        <f>IFERROR(__xludf.DUMMYFUNCTION("""COMPUTED_VALUE"""),"Gassilloud")</f>
        <v>Gassilloud</v>
      </c>
      <c r="B227" t="str">
        <f>IFERROR(__xludf.DUMMYFUNCTION("""COMPUTED_VALUE"""),"Thomas Gassilloud")</f>
        <v>Thomas Gassilloud</v>
      </c>
      <c r="C227">
        <f>IFERROR(__xludf.DUMMYFUNCTION("""COMPUTED_VALUE"""),3.42)</f>
        <v>3.42</v>
      </c>
      <c r="D227">
        <f>IFERROR(__xludf.DUMMYFUNCTION("""COMPUTED_VALUE"""),9.58)</f>
        <v>9.58</v>
      </c>
      <c r="E227">
        <f>IFERROR(__xludf.DUMMYFUNCTION("""COMPUTED_VALUE"""),31.74)</f>
        <v>31.74</v>
      </c>
      <c r="F227">
        <f>IFERROR(__xludf.DUMMYFUNCTION("""COMPUTED_VALUE"""),3.05)</f>
        <v>3.05</v>
      </c>
      <c r="G227">
        <f>IFERROR(__xludf.DUMMYFUNCTION("""COMPUTED_VALUE"""),1.05)</f>
        <v>1.05</v>
      </c>
      <c r="H227">
        <f>IFERROR(__xludf.DUMMYFUNCTION("""COMPUTED_VALUE"""),0.74)</f>
        <v>0.74</v>
      </c>
      <c r="I227">
        <f>IFERROR(__xludf.DUMMYFUNCTION("""COMPUTED_VALUE"""),43.53)</f>
        <v>43.53</v>
      </c>
      <c r="J227">
        <f>IFERROR(__xludf.DUMMYFUNCTION("""COMPUTED_VALUE"""),13.79)</f>
        <v>13.79</v>
      </c>
      <c r="K227">
        <f>IFERROR(__xludf.DUMMYFUNCTION("""COMPUTED_VALUE"""),0.16)</f>
        <v>0.16</v>
      </c>
      <c r="L227">
        <f>IFERROR(__xludf.DUMMYFUNCTION("""COMPUTED_VALUE"""),0.0)</f>
        <v>0</v>
      </c>
      <c r="M227">
        <f>IFERROR(__xludf.DUMMYFUNCTION("""COMPUTED_VALUE"""),2.11)</f>
        <v>2.11</v>
      </c>
      <c r="N227">
        <f>IFERROR(__xludf.DUMMYFUNCTION("""COMPUTED_VALUE"""),0.16)</f>
        <v>0.16</v>
      </c>
      <c r="O227">
        <f>IFERROR(__xludf.DUMMYFUNCTION("""COMPUTED_VALUE"""),0.0)</f>
        <v>0</v>
      </c>
    </row>
    <row r="228">
      <c r="A228" t="str">
        <f>IFERROR(__xludf.DUMMYFUNCTION("""COMPUTED_VALUE"""),"Gatel")</f>
        <v>Gatel</v>
      </c>
      <c r="B228" t="str">
        <f>IFERROR(__xludf.DUMMYFUNCTION("""COMPUTED_VALUE"""),"Maud Gatel")</f>
        <v>Maud Gatel</v>
      </c>
      <c r="C228">
        <f>IFERROR(__xludf.DUMMYFUNCTION("""COMPUTED_VALUE"""),4.11)</f>
        <v>4.11</v>
      </c>
      <c r="D228">
        <f>IFERROR(__xludf.DUMMYFUNCTION("""COMPUTED_VALUE"""),7.42)</f>
        <v>7.42</v>
      </c>
      <c r="E228">
        <f>IFERROR(__xludf.DUMMYFUNCTION("""COMPUTED_VALUE"""),3.58)</f>
        <v>3.58</v>
      </c>
      <c r="F228">
        <f>IFERROR(__xludf.DUMMYFUNCTION("""COMPUTED_VALUE"""),3.32)</f>
        <v>3.32</v>
      </c>
      <c r="G228">
        <f>IFERROR(__xludf.DUMMYFUNCTION("""COMPUTED_VALUE"""),0.37)</f>
        <v>0.37</v>
      </c>
      <c r="H228">
        <f>IFERROR(__xludf.DUMMYFUNCTION("""COMPUTED_VALUE"""),2.95)</f>
        <v>2.95</v>
      </c>
      <c r="I228">
        <f>IFERROR(__xludf.DUMMYFUNCTION("""COMPUTED_VALUE"""),62.68)</f>
        <v>62.68</v>
      </c>
      <c r="J228">
        <f>IFERROR(__xludf.DUMMYFUNCTION("""COMPUTED_VALUE"""),13.74)</f>
        <v>13.74</v>
      </c>
      <c r="K228">
        <f>IFERROR(__xludf.DUMMYFUNCTION("""COMPUTED_VALUE"""),0.11)</f>
        <v>0.11</v>
      </c>
      <c r="L228">
        <f>IFERROR(__xludf.DUMMYFUNCTION("""COMPUTED_VALUE"""),0.05)</f>
        <v>0.05</v>
      </c>
      <c r="M228">
        <f>IFERROR(__xludf.DUMMYFUNCTION("""COMPUTED_VALUE"""),1.16)</f>
        <v>1.16</v>
      </c>
      <c r="N228">
        <f>IFERROR(__xludf.DUMMYFUNCTION("""COMPUTED_VALUE"""),0.63)</f>
        <v>0.63</v>
      </c>
      <c r="O228">
        <f>IFERROR(__xludf.DUMMYFUNCTION("""COMPUTED_VALUE"""),0.16)</f>
        <v>0.16</v>
      </c>
    </row>
    <row r="229">
      <c r="A229" t="str">
        <f>IFERROR(__xludf.DUMMYFUNCTION("""COMPUTED_VALUE"""),"Gaultier")</f>
        <v>Gaultier</v>
      </c>
      <c r="B229" t="str">
        <f>IFERROR(__xludf.DUMMYFUNCTION("""COMPUTED_VALUE"""),"Jean-Jacques Gaultier")</f>
        <v>Jean-Jacques Gaultier</v>
      </c>
      <c r="C229">
        <f>IFERROR(__xludf.DUMMYFUNCTION("""COMPUTED_VALUE"""),4.0)</f>
        <v>4</v>
      </c>
      <c r="D229">
        <f>IFERROR(__xludf.DUMMYFUNCTION("""COMPUTED_VALUE"""),7.42)</f>
        <v>7.42</v>
      </c>
      <c r="E229">
        <f>IFERROR(__xludf.DUMMYFUNCTION("""COMPUTED_VALUE"""),8.26)</f>
        <v>8.26</v>
      </c>
      <c r="F229">
        <f>IFERROR(__xludf.DUMMYFUNCTION("""COMPUTED_VALUE"""),1.21)</f>
        <v>1.21</v>
      </c>
      <c r="G229">
        <f>IFERROR(__xludf.DUMMYFUNCTION("""COMPUTED_VALUE"""),0.95)</f>
        <v>0.95</v>
      </c>
      <c r="H229">
        <f>IFERROR(__xludf.DUMMYFUNCTION("""COMPUTED_VALUE"""),3.53)</f>
        <v>3.53</v>
      </c>
      <c r="I229">
        <f>IFERROR(__xludf.DUMMYFUNCTION("""COMPUTED_VALUE"""),51.11)</f>
        <v>51.11</v>
      </c>
      <c r="J229">
        <f>IFERROR(__xludf.DUMMYFUNCTION("""COMPUTED_VALUE"""),5.79)</f>
        <v>5.79</v>
      </c>
      <c r="K229">
        <f>IFERROR(__xludf.DUMMYFUNCTION("""COMPUTED_VALUE"""),0.05)</f>
        <v>0.05</v>
      </c>
      <c r="L229">
        <f>IFERROR(__xludf.DUMMYFUNCTION("""COMPUTED_VALUE"""),0.16)</f>
        <v>0.16</v>
      </c>
      <c r="M229">
        <f>IFERROR(__xludf.DUMMYFUNCTION("""COMPUTED_VALUE"""),4.58)</f>
        <v>4.58</v>
      </c>
      <c r="N229">
        <f>IFERROR(__xludf.DUMMYFUNCTION("""COMPUTED_VALUE"""),2.32)</f>
        <v>2.32</v>
      </c>
      <c r="O229">
        <f>IFERROR(__xludf.DUMMYFUNCTION("""COMPUTED_VALUE"""),0.26)</f>
        <v>0.26</v>
      </c>
    </row>
    <row r="230">
      <c r="A230" t="str">
        <f>IFERROR(__xludf.DUMMYFUNCTION("""COMPUTED_VALUE"""),"Geismar")</f>
        <v>Geismar</v>
      </c>
      <c r="B230" t="str">
        <f>IFERROR(__xludf.DUMMYFUNCTION("""COMPUTED_VALUE"""),"Luc Geismar")</f>
        <v>Luc Geismar</v>
      </c>
      <c r="C230">
        <f>IFERROR(__xludf.DUMMYFUNCTION("""COMPUTED_VALUE"""),3.67)</f>
        <v>3.67</v>
      </c>
      <c r="D230">
        <f>IFERROR(__xludf.DUMMYFUNCTION("""COMPUTED_VALUE"""),7.39)</f>
        <v>7.39</v>
      </c>
      <c r="E230">
        <f>IFERROR(__xludf.DUMMYFUNCTION("""COMPUTED_VALUE"""),2.83)</f>
        <v>2.83</v>
      </c>
      <c r="F230">
        <f>IFERROR(__xludf.DUMMYFUNCTION("""COMPUTED_VALUE"""),1.83)</f>
        <v>1.83</v>
      </c>
      <c r="G230">
        <f>IFERROR(__xludf.DUMMYFUNCTION("""COMPUTED_VALUE"""),1.0)</f>
        <v>1</v>
      </c>
      <c r="H230">
        <f>IFERROR(__xludf.DUMMYFUNCTION("""COMPUTED_VALUE"""),0.78)</f>
        <v>0.78</v>
      </c>
      <c r="I230">
        <f>IFERROR(__xludf.DUMMYFUNCTION("""COMPUTED_VALUE"""),65.22)</f>
        <v>65.22</v>
      </c>
      <c r="J230">
        <f>IFERROR(__xludf.DUMMYFUNCTION("""COMPUTED_VALUE"""),14.83)</f>
        <v>14.83</v>
      </c>
      <c r="K230">
        <f>IFERROR(__xludf.DUMMYFUNCTION("""COMPUTED_VALUE"""),0.0)</f>
        <v>0</v>
      </c>
      <c r="L230">
        <f>IFERROR(__xludf.DUMMYFUNCTION("""COMPUTED_VALUE"""),0.06)</f>
        <v>0.06</v>
      </c>
      <c r="M230">
        <f>IFERROR(__xludf.DUMMYFUNCTION("""COMPUTED_VALUE"""),0.78)</f>
        <v>0.78</v>
      </c>
      <c r="N230">
        <f>IFERROR(__xludf.DUMMYFUNCTION("""COMPUTED_VALUE"""),0.67)</f>
        <v>0.67</v>
      </c>
      <c r="O230">
        <f>IFERROR(__xludf.DUMMYFUNCTION("""COMPUTED_VALUE"""),0.22)</f>
        <v>0.22</v>
      </c>
    </row>
    <row r="231">
      <c r="A231" t="str">
        <f>IFERROR(__xludf.DUMMYFUNCTION("""COMPUTED_VALUE"""),"Genetet")</f>
        <v>Genetet</v>
      </c>
      <c r="B231" t="str">
        <f>IFERROR(__xludf.DUMMYFUNCTION("""COMPUTED_VALUE"""),"Anne Genetet")</f>
        <v>Anne Genetet</v>
      </c>
      <c r="C231">
        <f>IFERROR(__xludf.DUMMYFUNCTION("""COMPUTED_VALUE"""),3.11)</f>
        <v>3.11</v>
      </c>
      <c r="D231">
        <f>IFERROR(__xludf.DUMMYFUNCTION("""COMPUTED_VALUE"""),6.89)</f>
        <v>6.89</v>
      </c>
      <c r="E231">
        <f>IFERROR(__xludf.DUMMYFUNCTION("""COMPUTED_VALUE"""),5.79)</f>
        <v>5.79</v>
      </c>
      <c r="F231">
        <f>IFERROR(__xludf.DUMMYFUNCTION("""COMPUTED_VALUE"""),3.21)</f>
        <v>3.21</v>
      </c>
      <c r="G231">
        <f>IFERROR(__xludf.DUMMYFUNCTION("""COMPUTED_VALUE"""),3.32)</f>
        <v>3.32</v>
      </c>
      <c r="H231">
        <f>IFERROR(__xludf.DUMMYFUNCTION("""COMPUTED_VALUE"""),1.68)</f>
        <v>1.68</v>
      </c>
      <c r="I231">
        <f>IFERROR(__xludf.DUMMYFUNCTION("""COMPUTED_VALUE"""),47.32)</f>
        <v>47.32</v>
      </c>
      <c r="J231">
        <f>IFERROR(__xludf.DUMMYFUNCTION("""COMPUTED_VALUE"""),14.05)</f>
        <v>14.05</v>
      </c>
      <c r="K231">
        <f>IFERROR(__xludf.DUMMYFUNCTION("""COMPUTED_VALUE"""),0.11)</f>
        <v>0.11</v>
      </c>
      <c r="L231">
        <f>IFERROR(__xludf.DUMMYFUNCTION("""COMPUTED_VALUE"""),0.21)</f>
        <v>0.21</v>
      </c>
      <c r="M231">
        <f>IFERROR(__xludf.DUMMYFUNCTION("""COMPUTED_VALUE"""),2.32)</f>
        <v>2.32</v>
      </c>
      <c r="N231">
        <f>IFERROR(__xludf.DUMMYFUNCTION("""COMPUTED_VALUE"""),0.42)</f>
        <v>0.42</v>
      </c>
      <c r="O231">
        <f>IFERROR(__xludf.DUMMYFUNCTION("""COMPUTED_VALUE"""),0.11)</f>
        <v>0.11</v>
      </c>
    </row>
    <row r="232">
      <c r="A232" t="str">
        <f>IFERROR(__xludf.DUMMYFUNCTION("""COMPUTED_VALUE"""),"Genevard")</f>
        <v>Genevard</v>
      </c>
      <c r="B232" t="str">
        <f>IFERROR(__xludf.DUMMYFUNCTION("""COMPUTED_VALUE"""),"Annie Genevard")</f>
        <v>Annie Genevard</v>
      </c>
      <c r="C232">
        <f>IFERROR(__xludf.DUMMYFUNCTION("""COMPUTED_VALUE"""),3.84)</f>
        <v>3.84</v>
      </c>
      <c r="D232">
        <f>IFERROR(__xludf.DUMMYFUNCTION("""COMPUTED_VALUE"""),6.58)</f>
        <v>6.58</v>
      </c>
      <c r="E232">
        <f>IFERROR(__xludf.DUMMYFUNCTION("""COMPUTED_VALUE"""),13.16)</f>
        <v>13.16</v>
      </c>
      <c r="F232">
        <f>IFERROR(__xludf.DUMMYFUNCTION("""COMPUTED_VALUE"""),22.53)</f>
        <v>22.53</v>
      </c>
      <c r="G232">
        <f>IFERROR(__xludf.DUMMYFUNCTION("""COMPUTED_VALUE"""),17.32)</f>
        <v>17.32</v>
      </c>
      <c r="H232">
        <f>IFERROR(__xludf.DUMMYFUNCTION("""COMPUTED_VALUE"""),12.0)</f>
        <v>12</v>
      </c>
      <c r="I232">
        <f>IFERROR(__xludf.DUMMYFUNCTION("""COMPUTED_VALUE"""),135.21)</f>
        <v>135.21</v>
      </c>
      <c r="J232">
        <f>IFERROR(__xludf.DUMMYFUNCTION("""COMPUTED_VALUE"""),7.68)</f>
        <v>7.68</v>
      </c>
      <c r="K232">
        <f>IFERROR(__xludf.DUMMYFUNCTION("""COMPUTED_VALUE"""),0.05)</f>
        <v>0.05</v>
      </c>
      <c r="L232">
        <f>IFERROR(__xludf.DUMMYFUNCTION("""COMPUTED_VALUE"""),0.53)</f>
        <v>0.53</v>
      </c>
      <c r="M232">
        <f>IFERROR(__xludf.DUMMYFUNCTION("""COMPUTED_VALUE"""),6.53)</f>
        <v>6.53</v>
      </c>
      <c r="N232">
        <f>IFERROR(__xludf.DUMMYFUNCTION("""COMPUTED_VALUE"""),4.11)</f>
        <v>4.11</v>
      </c>
      <c r="O232">
        <f>IFERROR(__xludf.DUMMYFUNCTION("""COMPUTED_VALUE"""),0.21)</f>
        <v>0.21</v>
      </c>
    </row>
    <row r="233">
      <c r="A233" t="str">
        <f>IFERROR(__xludf.DUMMYFUNCTION("""COMPUTED_VALUE"""),"Gérard")</f>
        <v>Gérard</v>
      </c>
      <c r="B233" t="str">
        <f>IFERROR(__xludf.DUMMYFUNCTION("""COMPUTED_VALUE"""),"Raphaël Gérard")</f>
        <v>Raphaël Gérard</v>
      </c>
      <c r="C233">
        <f>IFERROR(__xludf.DUMMYFUNCTION("""COMPUTED_VALUE"""),0.89)</f>
        <v>0.89</v>
      </c>
      <c r="D233">
        <f>IFERROR(__xludf.DUMMYFUNCTION("""COMPUTED_VALUE"""),1.0)</f>
        <v>1</v>
      </c>
      <c r="E233">
        <f>IFERROR(__xludf.DUMMYFUNCTION("""COMPUTED_VALUE"""),0.95)</f>
        <v>0.95</v>
      </c>
      <c r="F233">
        <f>IFERROR(__xludf.DUMMYFUNCTION("""COMPUTED_VALUE"""),1.37)</f>
        <v>1.37</v>
      </c>
      <c r="G233">
        <f>IFERROR(__xludf.DUMMYFUNCTION("""COMPUTED_VALUE"""),0.32)</f>
        <v>0.32</v>
      </c>
      <c r="H233">
        <f>IFERROR(__xludf.DUMMYFUNCTION("""COMPUTED_VALUE"""),13.26)</f>
        <v>13.26</v>
      </c>
      <c r="I233">
        <f>IFERROR(__xludf.DUMMYFUNCTION("""COMPUTED_VALUE"""),70.84)</f>
        <v>70.84</v>
      </c>
      <c r="J233">
        <f>IFERROR(__xludf.DUMMYFUNCTION("""COMPUTED_VALUE"""),17.05)</f>
        <v>17.05</v>
      </c>
      <c r="K233">
        <f>IFERROR(__xludf.DUMMYFUNCTION("""COMPUTED_VALUE"""),0.0)</f>
        <v>0</v>
      </c>
      <c r="L233">
        <f>IFERROR(__xludf.DUMMYFUNCTION("""COMPUTED_VALUE"""),0.05)</f>
        <v>0.05</v>
      </c>
      <c r="M233">
        <f>IFERROR(__xludf.DUMMYFUNCTION("""COMPUTED_VALUE"""),2.32)</f>
        <v>2.32</v>
      </c>
      <c r="N233">
        <f>IFERROR(__xludf.DUMMYFUNCTION("""COMPUTED_VALUE"""),2.37)</f>
        <v>2.37</v>
      </c>
      <c r="O233">
        <f>IFERROR(__xludf.DUMMYFUNCTION("""COMPUTED_VALUE"""),0.0)</f>
        <v>0</v>
      </c>
    </row>
    <row r="234">
      <c r="A234" t="str">
        <f>IFERROR(__xludf.DUMMYFUNCTION("""COMPUTED_VALUE"""),"Gérard")</f>
        <v>Gérard</v>
      </c>
      <c r="B234" t="str">
        <f>IFERROR(__xludf.DUMMYFUNCTION("""COMPUTED_VALUE"""),"Félicie Gérard")</f>
        <v>Félicie Gérard</v>
      </c>
      <c r="C234">
        <f>IFERROR(__xludf.DUMMYFUNCTION("""COMPUTED_VALUE"""),3.84)</f>
        <v>3.84</v>
      </c>
      <c r="D234">
        <f>IFERROR(__xludf.DUMMYFUNCTION("""COMPUTED_VALUE"""),8.95)</f>
        <v>8.95</v>
      </c>
      <c r="E234">
        <f>IFERROR(__xludf.DUMMYFUNCTION("""COMPUTED_VALUE"""),7.37)</f>
        <v>7.37</v>
      </c>
      <c r="F234">
        <f>IFERROR(__xludf.DUMMYFUNCTION("""COMPUTED_VALUE"""),5.89)</f>
        <v>5.89</v>
      </c>
      <c r="G234">
        <f>IFERROR(__xludf.DUMMYFUNCTION("""COMPUTED_VALUE"""),0.63)</f>
        <v>0.63</v>
      </c>
      <c r="H234">
        <f>IFERROR(__xludf.DUMMYFUNCTION("""COMPUTED_VALUE"""),2.89)</f>
        <v>2.89</v>
      </c>
      <c r="I234">
        <f>IFERROR(__xludf.DUMMYFUNCTION("""COMPUTED_VALUE"""),62.37)</f>
        <v>62.37</v>
      </c>
      <c r="J234">
        <f>IFERROR(__xludf.DUMMYFUNCTION("""COMPUTED_VALUE"""),14.05)</f>
        <v>14.05</v>
      </c>
      <c r="K234">
        <f>IFERROR(__xludf.DUMMYFUNCTION("""COMPUTED_VALUE"""),0.05)</f>
        <v>0.05</v>
      </c>
      <c r="L234">
        <f>IFERROR(__xludf.DUMMYFUNCTION("""COMPUTED_VALUE"""),0.0)</f>
        <v>0</v>
      </c>
      <c r="M234">
        <f>IFERROR(__xludf.DUMMYFUNCTION("""COMPUTED_VALUE"""),2.0)</f>
        <v>2</v>
      </c>
      <c r="N234">
        <f>IFERROR(__xludf.DUMMYFUNCTION("""COMPUTED_VALUE"""),2.05)</f>
        <v>2.05</v>
      </c>
      <c r="O234">
        <f>IFERROR(__xludf.DUMMYFUNCTION("""COMPUTED_VALUE"""),0.26)</f>
        <v>0.26</v>
      </c>
    </row>
    <row r="235">
      <c r="A235" t="str">
        <f>IFERROR(__xludf.DUMMYFUNCTION("""COMPUTED_VALUE"""),"Gernigon")</f>
        <v>Gernigon</v>
      </c>
      <c r="B235" t="str">
        <f>IFERROR(__xludf.DUMMYFUNCTION("""COMPUTED_VALUE"""),"François Gernigon")</f>
        <v>François Gernigon</v>
      </c>
      <c r="C235">
        <f>IFERROR(__xludf.DUMMYFUNCTION("""COMPUTED_VALUE"""),4.0)</f>
        <v>4</v>
      </c>
      <c r="D235">
        <f>IFERROR(__xludf.DUMMYFUNCTION("""COMPUTED_VALUE"""),8.21)</f>
        <v>8.21</v>
      </c>
      <c r="E235">
        <f>IFERROR(__xludf.DUMMYFUNCTION("""COMPUTED_VALUE"""),6.26)</f>
        <v>6.26</v>
      </c>
      <c r="F235">
        <f>IFERROR(__xludf.DUMMYFUNCTION("""COMPUTED_VALUE"""),6.63)</f>
        <v>6.63</v>
      </c>
      <c r="G235">
        <f>IFERROR(__xludf.DUMMYFUNCTION("""COMPUTED_VALUE"""),1.05)</f>
        <v>1.05</v>
      </c>
      <c r="H235">
        <f>IFERROR(__xludf.DUMMYFUNCTION("""COMPUTED_VALUE"""),7.79)</f>
        <v>7.79</v>
      </c>
      <c r="I235">
        <f>IFERROR(__xludf.DUMMYFUNCTION("""COMPUTED_VALUE"""),58.74)</f>
        <v>58.74</v>
      </c>
      <c r="J235">
        <f>IFERROR(__xludf.DUMMYFUNCTION("""COMPUTED_VALUE"""),13.95)</f>
        <v>13.95</v>
      </c>
      <c r="K235">
        <f>IFERROR(__xludf.DUMMYFUNCTION("""COMPUTED_VALUE"""),0.0)</f>
        <v>0</v>
      </c>
      <c r="L235">
        <f>IFERROR(__xludf.DUMMYFUNCTION("""COMPUTED_VALUE"""),0.0)</f>
        <v>0</v>
      </c>
      <c r="M235">
        <f>IFERROR(__xludf.DUMMYFUNCTION("""COMPUTED_VALUE"""),1.89)</f>
        <v>1.89</v>
      </c>
      <c r="N235">
        <f>IFERROR(__xludf.DUMMYFUNCTION("""COMPUTED_VALUE"""),1.16)</f>
        <v>1.16</v>
      </c>
      <c r="O235">
        <f>IFERROR(__xludf.DUMMYFUNCTION("""COMPUTED_VALUE"""),0.26)</f>
        <v>0.26</v>
      </c>
    </row>
    <row r="236">
      <c r="A236" t="str">
        <f>IFERROR(__xludf.DUMMYFUNCTION("""COMPUTED_VALUE"""),"Ghomi")</f>
        <v>Ghomi</v>
      </c>
      <c r="B236" t="str">
        <f>IFERROR(__xludf.DUMMYFUNCTION("""COMPUTED_VALUE"""),"Hadrien Ghomi")</f>
        <v>Hadrien Ghomi</v>
      </c>
      <c r="C236">
        <f>IFERROR(__xludf.DUMMYFUNCTION("""COMPUTED_VALUE"""),3.84)</f>
        <v>3.84</v>
      </c>
      <c r="D236">
        <f>IFERROR(__xludf.DUMMYFUNCTION("""COMPUTED_VALUE"""),7.0)</f>
        <v>7</v>
      </c>
      <c r="E236">
        <f>IFERROR(__xludf.DUMMYFUNCTION("""COMPUTED_VALUE"""),3.58)</f>
        <v>3.58</v>
      </c>
      <c r="F236">
        <f>IFERROR(__xludf.DUMMYFUNCTION("""COMPUTED_VALUE"""),1.84)</f>
        <v>1.84</v>
      </c>
      <c r="G236">
        <f>IFERROR(__xludf.DUMMYFUNCTION("""COMPUTED_VALUE"""),1.26)</f>
        <v>1.26</v>
      </c>
      <c r="H236">
        <f>IFERROR(__xludf.DUMMYFUNCTION("""COMPUTED_VALUE"""),4.0)</f>
        <v>4</v>
      </c>
      <c r="I236">
        <f>IFERROR(__xludf.DUMMYFUNCTION("""COMPUTED_VALUE"""),98.63)</f>
        <v>98.63</v>
      </c>
      <c r="J236">
        <f>IFERROR(__xludf.DUMMYFUNCTION("""COMPUTED_VALUE"""),16.68)</f>
        <v>16.68</v>
      </c>
      <c r="K236">
        <f>IFERROR(__xludf.DUMMYFUNCTION("""COMPUTED_VALUE"""),0.26)</f>
        <v>0.26</v>
      </c>
      <c r="L236">
        <f>IFERROR(__xludf.DUMMYFUNCTION("""COMPUTED_VALUE"""),0.16)</f>
        <v>0.16</v>
      </c>
      <c r="M236">
        <f>IFERROR(__xludf.DUMMYFUNCTION("""COMPUTED_VALUE"""),2.42)</f>
        <v>2.42</v>
      </c>
      <c r="N236">
        <f>IFERROR(__xludf.DUMMYFUNCTION("""COMPUTED_VALUE"""),0.37)</f>
        <v>0.37</v>
      </c>
      <c r="O236">
        <f>IFERROR(__xludf.DUMMYFUNCTION("""COMPUTED_VALUE"""),0.16)</f>
        <v>0.16</v>
      </c>
    </row>
    <row r="237">
      <c r="A237" t="str">
        <f>IFERROR(__xludf.DUMMYFUNCTION("""COMPUTED_VALUE"""),"Giletti")</f>
        <v>Giletti</v>
      </c>
      <c r="B237" t="str">
        <f>IFERROR(__xludf.DUMMYFUNCTION("""COMPUTED_VALUE"""),"Frank Giletti")</f>
        <v>Frank Giletti</v>
      </c>
      <c r="C237">
        <f>IFERROR(__xludf.DUMMYFUNCTION("""COMPUTED_VALUE"""),3.53)</f>
        <v>3.53</v>
      </c>
      <c r="D237">
        <f>IFERROR(__xludf.DUMMYFUNCTION("""COMPUTED_VALUE"""),6.89)</f>
        <v>6.89</v>
      </c>
      <c r="E237">
        <f>IFERROR(__xludf.DUMMYFUNCTION("""COMPUTED_VALUE"""),5.37)</f>
        <v>5.37</v>
      </c>
      <c r="F237">
        <f>IFERROR(__xludf.DUMMYFUNCTION("""COMPUTED_VALUE"""),5.68)</f>
        <v>5.68</v>
      </c>
      <c r="G237">
        <f>IFERROR(__xludf.DUMMYFUNCTION("""COMPUTED_VALUE"""),3.63)</f>
        <v>3.63</v>
      </c>
      <c r="H237">
        <f>IFERROR(__xludf.DUMMYFUNCTION("""COMPUTED_VALUE"""),4.68)</f>
        <v>4.68</v>
      </c>
      <c r="I237">
        <f>IFERROR(__xludf.DUMMYFUNCTION("""COMPUTED_VALUE"""),456.53)</f>
        <v>456.53</v>
      </c>
      <c r="J237">
        <f>IFERROR(__xludf.DUMMYFUNCTION("""COMPUTED_VALUE"""),6.53)</f>
        <v>6.53</v>
      </c>
      <c r="K237">
        <f>IFERROR(__xludf.DUMMYFUNCTION("""COMPUTED_VALUE"""),0.16)</f>
        <v>0.16</v>
      </c>
      <c r="L237">
        <f>IFERROR(__xludf.DUMMYFUNCTION("""COMPUTED_VALUE"""),0.0)</f>
        <v>0</v>
      </c>
      <c r="M237">
        <f>IFERROR(__xludf.DUMMYFUNCTION("""COMPUTED_VALUE"""),6.84)</f>
        <v>6.84</v>
      </c>
      <c r="N237">
        <f>IFERROR(__xludf.DUMMYFUNCTION("""COMPUTED_VALUE"""),1.63)</f>
        <v>1.63</v>
      </c>
      <c r="O237">
        <f>IFERROR(__xludf.DUMMYFUNCTION("""COMPUTED_VALUE"""),0.16)</f>
        <v>0.16</v>
      </c>
    </row>
    <row r="238">
      <c r="A238" t="str">
        <f>IFERROR(__xludf.DUMMYFUNCTION("""COMPUTED_VALUE"""),"Gillet")</f>
        <v>Gillet</v>
      </c>
      <c r="B238" t="str">
        <f>IFERROR(__xludf.DUMMYFUNCTION("""COMPUTED_VALUE"""),"Yoann Gillet")</f>
        <v>Yoann Gillet</v>
      </c>
      <c r="C238">
        <f>IFERROR(__xludf.DUMMYFUNCTION("""COMPUTED_VALUE"""),4.0)</f>
        <v>4</v>
      </c>
      <c r="D238">
        <f>IFERROR(__xludf.DUMMYFUNCTION("""COMPUTED_VALUE"""),6.0)</f>
        <v>6</v>
      </c>
      <c r="E238">
        <f>IFERROR(__xludf.DUMMYFUNCTION("""COMPUTED_VALUE"""),10.21)</f>
        <v>10.21</v>
      </c>
      <c r="F238">
        <f>IFERROR(__xludf.DUMMYFUNCTION("""COMPUTED_VALUE"""),10.53)</f>
        <v>10.53</v>
      </c>
      <c r="G238">
        <f>IFERROR(__xludf.DUMMYFUNCTION("""COMPUTED_VALUE"""),5.79)</f>
        <v>5.79</v>
      </c>
      <c r="H238">
        <f>IFERROR(__xludf.DUMMYFUNCTION("""COMPUTED_VALUE"""),32.53)</f>
        <v>32.53</v>
      </c>
      <c r="I238">
        <f>IFERROR(__xludf.DUMMYFUNCTION("""COMPUTED_VALUE"""),460.84)</f>
        <v>460.84</v>
      </c>
      <c r="J238">
        <f>IFERROR(__xludf.DUMMYFUNCTION("""COMPUTED_VALUE"""),5.74)</f>
        <v>5.74</v>
      </c>
      <c r="K238">
        <f>IFERROR(__xludf.DUMMYFUNCTION("""COMPUTED_VALUE"""),0.16)</f>
        <v>0.16</v>
      </c>
      <c r="L238">
        <f>IFERROR(__xludf.DUMMYFUNCTION("""COMPUTED_VALUE"""),0.16)</f>
        <v>0.16</v>
      </c>
      <c r="M238">
        <f>IFERROR(__xludf.DUMMYFUNCTION("""COMPUTED_VALUE"""),5.16)</f>
        <v>5.16</v>
      </c>
      <c r="N238">
        <f>IFERROR(__xludf.DUMMYFUNCTION("""COMPUTED_VALUE"""),0.89)</f>
        <v>0.89</v>
      </c>
      <c r="O238">
        <f>IFERROR(__xludf.DUMMYFUNCTION("""COMPUTED_VALUE"""),0.26)</f>
        <v>0.26</v>
      </c>
    </row>
    <row r="239">
      <c r="A239" t="str">
        <f>IFERROR(__xludf.DUMMYFUNCTION("""COMPUTED_VALUE"""),"Girard")</f>
        <v>Girard</v>
      </c>
      <c r="B239" t="str">
        <f>IFERROR(__xludf.DUMMYFUNCTION("""COMPUTED_VALUE"""),"Christian Girard")</f>
        <v>Christian Girard</v>
      </c>
      <c r="C239">
        <f>IFERROR(__xludf.DUMMYFUNCTION("""COMPUTED_VALUE"""),3.16)</f>
        <v>3.16</v>
      </c>
      <c r="D239">
        <f>IFERROR(__xludf.DUMMYFUNCTION("""COMPUTED_VALUE"""),5.53)</f>
        <v>5.53</v>
      </c>
      <c r="E239">
        <f>IFERROR(__xludf.DUMMYFUNCTION("""COMPUTED_VALUE"""),0.63)</f>
        <v>0.63</v>
      </c>
      <c r="F239">
        <f>IFERROR(__xludf.DUMMYFUNCTION("""COMPUTED_VALUE"""),0.37)</f>
        <v>0.37</v>
      </c>
      <c r="G239">
        <f>IFERROR(__xludf.DUMMYFUNCTION("""COMPUTED_VALUE"""),0.11)</f>
        <v>0.11</v>
      </c>
      <c r="H239">
        <f>IFERROR(__xludf.DUMMYFUNCTION("""COMPUTED_VALUE"""),0.26)</f>
        <v>0.26</v>
      </c>
      <c r="I239">
        <f>IFERROR(__xludf.DUMMYFUNCTION("""COMPUTED_VALUE"""),438.32)</f>
        <v>438.32</v>
      </c>
      <c r="J239">
        <f>IFERROR(__xludf.DUMMYFUNCTION("""COMPUTED_VALUE"""),6.47)</f>
        <v>6.47</v>
      </c>
      <c r="K239">
        <f>IFERROR(__xludf.DUMMYFUNCTION("""COMPUTED_VALUE"""),0.0)</f>
        <v>0</v>
      </c>
      <c r="L239">
        <f>IFERROR(__xludf.DUMMYFUNCTION("""COMPUTED_VALUE"""),0.0)</f>
        <v>0</v>
      </c>
      <c r="M239">
        <f>IFERROR(__xludf.DUMMYFUNCTION("""COMPUTED_VALUE"""),6.47)</f>
        <v>6.47</v>
      </c>
      <c r="N239">
        <f>IFERROR(__xludf.DUMMYFUNCTION("""COMPUTED_VALUE"""),1.89)</f>
        <v>1.89</v>
      </c>
      <c r="O239">
        <f>IFERROR(__xludf.DUMMYFUNCTION("""COMPUTED_VALUE"""),0.11)</f>
        <v>0.11</v>
      </c>
    </row>
    <row r="240">
      <c r="A240" t="str">
        <f>IFERROR(__xludf.DUMMYFUNCTION("""COMPUTED_VALUE"""),"Girardin")</f>
        <v>Girardin</v>
      </c>
      <c r="B240" t="str">
        <f>IFERROR(__xludf.DUMMYFUNCTION("""COMPUTED_VALUE"""),"Éric Girardin")</f>
        <v>Éric Girardin</v>
      </c>
      <c r="C240">
        <f>IFERROR(__xludf.DUMMYFUNCTION("""COMPUTED_VALUE"""),3.63)</f>
        <v>3.63</v>
      </c>
      <c r="D240">
        <f>IFERROR(__xludf.DUMMYFUNCTION("""COMPUTED_VALUE"""),6.63)</f>
        <v>6.63</v>
      </c>
      <c r="E240">
        <f>IFERROR(__xludf.DUMMYFUNCTION("""COMPUTED_VALUE"""),5.37)</f>
        <v>5.37</v>
      </c>
      <c r="F240">
        <f>IFERROR(__xludf.DUMMYFUNCTION("""COMPUTED_VALUE"""),3.0)</f>
        <v>3</v>
      </c>
      <c r="G240">
        <f>IFERROR(__xludf.DUMMYFUNCTION("""COMPUTED_VALUE"""),1.0)</f>
        <v>1</v>
      </c>
      <c r="H240">
        <f>IFERROR(__xludf.DUMMYFUNCTION("""COMPUTED_VALUE"""),3.58)</f>
        <v>3.58</v>
      </c>
      <c r="I240">
        <f>IFERROR(__xludf.DUMMYFUNCTION("""COMPUTED_VALUE"""),71.68)</f>
        <v>71.68</v>
      </c>
      <c r="J240">
        <f>IFERROR(__xludf.DUMMYFUNCTION("""COMPUTED_VALUE"""),21.47)</f>
        <v>21.47</v>
      </c>
      <c r="K240">
        <f>IFERROR(__xludf.DUMMYFUNCTION("""COMPUTED_VALUE"""),0.21)</f>
        <v>0.21</v>
      </c>
      <c r="L240">
        <f>IFERROR(__xludf.DUMMYFUNCTION("""COMPUTED_VALUE"""),0.05)</f>
        <v>0.05</v>
      </c>
      <c r="M240">
        <f>IFERROR(__xludf.DUMMYFUNCTION("""COMPUTED_VALUE"""),2.32)</f>
        <v>2.32</v>
      </c>
      <c r="N240">
        <f>IFERROR(__xludf.DUMMYFUNCTION("""COMPUTED_VALUE"""),0.53)</f>
        <v>0.53</v>
      </c>
      <c r="O240">
        <f>IFERROR(__xludf.DUMMYFUNCTION("""COMPUTED_VALUE"""),0.21)</f>
        <v>0.21</v>
      </c>
    </row>
    <row r="241">
      <c r="A241" t="str">
        <f>IFERROR(__xludf.DUMMYFUNCTION("""COMPUTED_VALUE"""),"Giraud")</f>
        <v>Giraud</v>
      </c>
      <c r="B241" t="str">
        <f>IFERROR(__xludf.DUMMYFUNCTION("""COMPUTED_VALUE"""),"Joël Giraud")</f>
        <v>Joël Giraud</v>
      </c>
      <c r="C241">
        <f>IFERROR(__xludf.DUMMYFUNCTION("""COMPUTED_VALUE"""),3.05)</f>
        <v>3.05</v>
      </c>
      <c r="D241">
        <f>IFERROR(__xludf.DUMMYFUNCTION("""COMPUTED_VALUE"""),5.53)</f>
        <v>5.53</v>
      </c>
      <c r="E241">
        <f>IFERROR(__xludf.DUMMYFUNCTION("""COMPUTED_VALUE"""),3.63)</f>
        <v>3.63</v>
      </c>
      <c r="F241">
        <f>IFERROR(__xludf.DUMMYFUNCTION("""COMPUTED_VALUE"""),0.95)</f>
        <v>0.95</v>
      </c>
      <c r="G241">
        <f>IFERROR(__xludf.DUMMYFUNCTION("""COMPUTED_VALUE"""),2.26)</f>
        <v>2.26</v>
      </c>
      <c r="H241">
        <f>IFERROR(__xludf.DUMMYFUNCTION("""COMPUTED_VALUE"""),6.37)</f>
        <v>6.37</v>
      </c>
      <c r="I241">
        <f>IFERROR(__xludf.DUMMYFUNCTION("""COMPUTED_VALUE"""),108.32)</f>
        <v>108.32</v>
      </c>
      <c r="J241">
        <f>IFERROR(__xludf.DUMMYFUNCTION("""COMPUTED_VALUE"""),21.63)</f>
        <v>21.63</v>
      </c>
      <c r="K241">
        <f>IFERROR(__xludf.DUMMYFUNCTION("""COMPUTED_VALUE"""),0.16)</f>
        <v>0.16</v>
      </c>
      <c r="L241">
        <f>IFERROR(__xludf.DUMMYFUNCTION("""COMPUTED_VALUE"""),0.0)</f>
        <v>0</v>
      </c>
      <c r="M241">
        <f>IFERROR(__xludf.DUMMYFUNCTION("""COMPUTED_VALUE"""),3.11)</f>
        <v>3.11</v>
      </c>
      <c r="N241">
        <f>IFERROR(__xludf.DUMMYFUNCTION("""COMPUTED_VALUE"""),2.79)</f>
        <v>2.79</v>
      </c>
      <c r="O241">
        <f>IFERROR(__xludf.DUMMYFUNCTION("""COMPUTED_VALUE"""),0.0)</f>
        <v>0</v>
      </c>
    </row>
    <row r="242">
      <c r="A242" t="str">
        <f>IFERROR(__xludf.DUMMYFUNCTION("""COMPUTED_VALUE"""),"Givernet")</f>
        <v>Givernet</v>
      </c>
      <c r="B242" t="str">
        <f>IFERROR(__xludf.DUMMYFUNCTION("""COMPUTED_VALUE"""),"Olga Givernet")</f>
        <v>Olga Givernet</v>
      </c>
      <c r="C242">
        <f>IFERROR(__xludf.DUMMYFUNCTION("""COMPUTED_VALUE"""),3.53)</f>
        <v>3.53</v>
      </c>
      <c r="D242">
        <f>IFERROR(__xludf.DUMMYFUNCTION("""COMPUTED_VALUE"""),6.42)</f>
        <v>6.42</v>
      </c>
      <c r="E242">
        <f>IFERROR(__xludf.DUMMYFUNCTION("""COMPUTED_VALUE"""),3.47)</f>
        <v>3.47</v>
      </c>
      <c r="F242">
        <f>IFERROR(__xludf.DUMMYFUNCTION("""COMPUTED_VALUE"""),1.37)</f>
        <v>1.37</v>
      </c>
      <c r="G242">
        <f>IFERROR(__xludf.DUMMYFUNCTION("""COMPUTED_VALUE"""),0.16)</f>
        <v>0.16</v>
      </c>
      <c r="H242">
        <f>IFERROR(__xludf.DUMMYFUNCTION("""COMPUTED_VALUE"""),5.21)</f>
        <v>5.21</v>
      </c>
      <c r="I242">
        <f>IFERROR(__xludf.DUMMYFUNCTION("""COMPUTED_VALUE"""),59.95)</f>
        <v>59.95</v>
      </c>
      <c r="J242">
        <f>IFERROR(__xludf.DUMMYFUNCTION("""COMPUTED_VALUE"""),14.84)</f>
        <v>14.84</v>
      </c>
      <c r="K242">
        <f>IFERROR(__xludf.DUMMYFUNCTION("""COMPUTED_VALUE"""),0.11)</f>
        <v>0.11</v>
      </c>
      <c r="L242">
        <f>IFERROR(__xludf.DUMMYFUNCTION("""COMPUTED_VALUE"""),0.11)</f>
        <v>0.11</v>
      </c>
      <c r="M242">
        <f>IFERROR(__xludf.DUMMYFUNCTION("""COMPUTED_VALUE"""),2.16)</f>
        <v>2.16</v>
      </c>
      <c r="N242">
        <f>IFERROR(__xludf.DUMMYFUNCTION("""COMPUTED_VALUE"""),0.53)</f>
        <v>0.53</v>
      </c>
      <c r="O242">
        <f>IFERROR(__xludf.DUMMYFUNCTION("""COMPUTED_VALUE"""),0.21)</f>
        <v>0.21</v>
      </c>
    </row>
    <row r="243">
      <c r="A243" t="str">
        <f>IFERROR(__xludf.DUMMYFUNCTION("""COMPUTED_VALUE"""),"Goetschy-Bolognese")</f>
        <v>Goetschy-Bolognese</v>
      </c>
      <c r="B243" t="str">
        <f>IFERROR(__xludf.DUMMYFUNCTION("""COMPUTED_VALUE"""),"Charlotte Goetschy-Bolognese")</f>
        <v>Charlotte Goetschy-Bolognese</v>
      </c>
      <c r="C243">
        <f>IFERROR(__xludf.DUMMYFUNCTION("""COMPUTED_VALUE"""),3.57)</f>
        <v>3.57</v>
      </c>
      <c r="D243">
        <f>IFERROR(__xludf.DUMMYFUNCTION("""COMPUTED_VALUE"""),6.86)</f>
        <v>6.86</v>
      </c>
      <c r="E243">
        <f>IFERROR(__xludf.DUMMYFUNCTION("""COMPUTED_VALUE"""),1.21)</f>
        <v>1.21</v>
      </c>
      <c r="F243">
        <f>IFERROR(__xludf.DUMMYFUNCTION("""COMPUTED_VALUE"""),0.36)</f>
        <v>0.36</v>
      </c>
      <c r="G243">
        <f>IFERROR(__xludf.DUMMYFUNCTION("""COMPUTED_VALUE"""),0.0)</f>
        <v>0</v>
      </c>
      <c r="H243">
        <f>IFERROR(__xludf.DUMMYFUNCTION("""COMPUTED_VALUE"""),1.14)</f>
        <v>1.14</v>
      </c>
      <c r="I243">
        <f>IFERROR(__xludf.DUMMYFUNCTION("""COMPUTED_VALUE"""),64.5)</f>
        <v>64.5</v>
      </c>
      <c r="J243">
        <f>IFERROR(__xludf.DUMMYFUNCTION("""COMPUTED_VALUE"""),16.57)</f>
        <v>16.57</v>
      </c>
      <c r="K243">
        <f>IFERROR(__xludf.DUMMYFUNCTION("""COMPUTED_VALUE"""),0.07)</f>
        <v>0.07</v>
      </c>
      <c r="L243">
        <f>IFERROR(__xludf.DUMMYFUNCTION("""COMPUTED_VALUE"""),0.0)</f>
        <v>0</v>
      </c>
      <c r="M243">
        <f>IFERROR(__xludf.DUMMYFUNCTION("""COMPUTED_VALUE"""),2.86)</f>
        <v>2.86</v>
      </c>
      <c r="N243">
        <f>IFERROR(__xludf.DUMMYFUNCTION("""COMPUTED_VALUE"""),1.71)</f>
        <v>1.71</v>
      </c>
      <c r="O243">
        <f>IFERROR(__xludf.DUMMYFUNCTION("""COMPUTED_VALUE"""),0.14)</f>
        <v>0.14</v>
      </c>
    </row>
    <row r="244">
      <c r="A244" t="str">
        <f>IFERROR(__xludf.DUMMYFUNCTION("""COMPUTED_VALUE"""),"Gonzalez")</f>
        <v>Gonzalez</v>
      </c>
      <c r="B244" t="str">
        <f>IFERROR(__xludf.DUMMYFUNCTION("""COMPUTED_VALUE"""),"José Gonzalez")</f>
        <v>José Gonzalez</v>
      </c>
      <c r="C244">
        <f>IFERROR(__xludf.DUMMYFUNCTION("""COMPUTED_VALUE"""),3.74)</f>
        <v>3.74</v>
      </c>
      <c r="D244">
        <f>IFERROR(__xludf.DUMMYFUNCTION("""COMPUTED_VALUE"""),8.0)</f>
        <v>8</v>
      </c>
      <c r="E244">
        <f>IFERROR(__xludf.DUMMYFUNCTION("""COMPUTED_VALUE"""),3.74)</f>
        <v>3.74</v>
      </c>
      <c r="F244">
        <f>IFERROR(__xludf.DUMMYFUNCTION("""COMPUTED_VALUE"""),4.63)</f>
        <v>4.63</v>
      </c>
      <c r="G244">
        <f>IFERROR(__xludf.DUMMYFUNCTION("""COMPUTED_VALUE"""),1.05)</f>
        <v>1.05</v>
      </c>
      <c r="H244">
        <f>IFERROR(__xludf.DUMMYFUNCTION("""COMPUTED_VALUE"""),5.63)</f>
        <v>5.63</v>
      </c>
      <c r="I244">
        <f>IFERROR(__xludf.DUMMYFUNCTION("""COMPUTED_VALUE"""),433.42)</f>
        <v>433.42</v>
      </c>
      <c r="J244">
        <f>IFERROR(__xludf.DUMMYFUNCTION("""COMPUTED_VALUE"""),6.37)</f>
        <v>6.37</v>
      </c>
      <c r="K244">
        <f>IFERROR(__xludf.DUMMYFUNCTION("""COMPUTED_VALUE"""),0.0)</f>
        <v>0</v>
      </c>
      <c r="L244">
        <f>IFERROR(__xludf.DUMMYFUNCTION("""COMPUTED_VALUE"""),0.0)</f>
        <v>0</v>
      </c>
      <c r="M244">
        <f>IFERROR(__xludf.DUMMYFUNCTION("""COMPUTED_VALUE"""),6.95)</f>
        <v>6.95</v>
      </c>
      <c r="N244">
        <f>IFERROR(__xludf.DUMMYFUNCTION("""COMPUTED_VALUE"""),1.11)</f>
        <v>1.11</v>
      </c>
      <c r="O244">
        <f>IFERROR(__xludf.DUMMYFUNCTION("""COMPUTED_VALUE"""),0.16)</f>
        <v>0.16</v>
      </c>
    </row>
    <row r="245">
      <c r="A245" t="str">
        <f>IFERROR(__xludf.DUMMYFUNCTION("""COMPUTED_VALUE"""),"Gosselin")</f>
        <v>Gosselin</v>
      </c>
      <c r="B245" t="str">
        <f>IFERROR(__xludf.DUMMYFUNCTION("""COMPUTED_VALUE"""),"Philippe Gosselin")</f>
        <v>Philippe Gosselin</v>
      </c>
      <c r="C245">
        <f>IFERROR(__xludf.DUMMYFUNCTION("""COMPUTED_VALUE"""),3.63)</f>
        <v>3.63</v>
      </c>
      <c r="D245">
        <f>IFERROR(__xludf.DUMMYFUNCTION("""COMPUTED_VALUE"""),5.21)</f>
        <v>5.21</v>
      </c>
      <c r="E245">
        <f>IFERROR(__xludf.DUMMYFUNCTION("""COMPUTED_VALUE"""),8.21)</f>
        <v>8.21</v>
      </c>
      <c r="F245">
        <f>IFERROR(__xludf.DUMMYFUNCTION("""COMPUTED_VALUE"""),24.95)</f>
        <v>24.95</v>
      </c>
      <c r="G245">
        <f>IFERROR(__xludf.DUMMYFUNCTION("""COMPUTED_VALUE"""),58.95)</f>
        <v>58.95</v>
      </c>
      <c r="H245">
        <f>IFERROR(__xludf.DUMMYFUNCTION("""COMPUTED_VALUE"""),25.95)</f>
        <v>25.95</v>
      </c>
      <c r="I245">
        <f>IFERROR(__xludf.DUMMYFUNCTION("""COMPUTED_VALUE"""),218.53)</f>
        <v>218.53</v>
      </c>
      <c r="J245">
        <f>IFERROR(__xludf.DUMMYFUNCTION("""COMPUTED_VALUE"""),10.21)</f>
        <v>10.21</v>
      </c>
      <c r="K245">
        <f>IFERROR(__xludf.DUMMYFUNCTION("""COMPUTED_VALUE"""),0.11)</f>
        <v>0.11</v>
      </c>
      <c r="L245">
        <f>IFERROR(__xludf.DUMMYFUNCTION("""COMPUTED_VALUE"""),0.47)</f>
        <v>0.47</v>
      </c>
      <c r="M245">
        <f>IFERROR(__xludf.DUMMYFUNCTION("""COMPUTED_VALUE"""),4.21)</f>
        <v>4.21</v>
      </c>
      <c r="N245">
        <f>IFERROR(__xludf.DUMMYFUNCTION("""COMPUTED_VALUE"""),3.47)</f>
        <v>3.47</v>
      </c>
      <c r="O245">
        <f>IFERROR(__xludf.DUMMYFUNCTION("""COMPUTED_VALUE"""),0.26)</f>
        <v>0.26</v>
      </c>
    </row>
    <row r="246">
      <c r="A246" t="str">
        <f>IFERROR(__xludf.DUMMYFUNCTION("""COMPUTED_VALUE"""),"Gouffier Valente")</f>
        <v>Gouffier Valente</v>
      </c>
      <c r="B246" t="str">
        <f>IFERROR(__xludf.DUMMYFUNCTION("""COMPUTED_VALUE"""),"Guillaume Gouffier Valente")</f>
        <v>Guillaume Gouffier Valente</v>
      </c>
      <c r="C246">
        <f>IFERROR(__xludf.DUMMYFUNCTION("""COMPUTED_VALUE"""),3.89)</f>
        <v>3.89</v>
      </c>
      <c r="D246">
        <f>IFERROR(__xludf.DUMMYFUNCTION("""COMPUTED_VALUE"""),7.79)</f>
        <v>7.79</v>
      </c>
      <c r="E246">
        <f>IFERROR(__xludf.DUMMYFUNCTION("""COMPUTED_VALUE"""),5.42)</f>
        <v>5.42</v>
      </c>
      <c r="F246">
        <f>IFERROR(__xludf.DUMMYFUNCTION("""COMPUTED_VALUE"""),9.11)</f>
        <v>9.11</v>
      </c>
      <c r="G246">
        <f>IFERROR(__xludf.DUMMYFUNCTION("""COMPUTED_VALUE"""),1.79)</f>
        <v>1.79</v>
      </c>
      <c r="H246">
        <f>IFERROR(__xludf.DUMMYFUNCTION("""COMPUTED_VALUE"""),12.0)</f>
        <v>12</v>
      </c>
      <c r="I246">
        <f>IFERROR(__xludf.DUMMYFUNCTION("""COMPUTED_VALUE"""),70.05)</f>
        <v>70.05</v>
      </c>
      <c r="J246">
        <f>IFERROR(__xludf.DUMMYFUNCTION("""COMPUTED_VALUE"""),21.63)</f>
        <v>21.63</v>
      </c>
      <c r="K246">
        <f>IFERROR(__xludf.DUMMYFUNCTION("""COMPUTED_VALUE"""),0.21)</f>
        <v>0.21</v>
      </c>
      <c r="L246">
        <f>IFERROR(__xludf.DUMMYFUNCTION("""COMPUTED_VALUE"""),0.05)</f>
        <v>0.05</v>
      </c>
      <c r="M246">
        <f>IFERROR(__xludf.DUMMYFUNCTION("""COMPUTED_VALUE"""),2.32)</f>
        <v>2.32</v>
      </c>
      <c r="N246">
        <f>IFERROR(__xludf.DUMMYFUNCTION("""COMPUTED_VALUE"""),0.84)</f>
        <v>0.84</v>
      </c>
      <c r="O246">
        <f>IFERROR(__xludf.DUMMYFUNCTION("""COMPUTED_VALUE"""),0.26)</f>
        <v>0.26</v>
      </c>
    </row>
    <row r="247">
      <c r="A247" t="str">
        <f>IFERROR(__xludf.DUMMYFUNCTION("""COMPUTED_VALUE"""),"Goulet")</f>
        <v>Goulet</v>
      </c>
      <c r="B247" t="str">
        <f>IFERROR(__xludf.DUMMYFUNCTION("""COMPUTED_VALUE"""),"Perrine Goulet")</f>
        <v>Perrine Goulet</v>
      </c>
      <c r="C247">
        <f>IFERROR(__xludf.DUMMYFUNCTION("""COMPUTED_VALUE"""),3.84)</f>
        <v>3.84</v>
      </c>
      <c r="D247">
        <f>IFERROR(__xludf.DUMMYFUNCTION("""COMPUTED_VALUE"""),8.79)</f>
        <v>8.79</v>
      </c>
      <c r="E247">
        <f>IFERROR(__xludf.DUMMYFUNCTION("""COMPUTED_VALUE"""),23.68)</f>
        <v>23.68</v>
      </c>
      <c r="F247">
        <f>IFERROR(__xludf.DUMMYFUNCTION("""COMPUTED_VALUE"""),9.11)</f>
        <v>9.11</v>
      </c>
      <c r="G247">
        <f>IFERROR(__xludf.DUMMYFUNCTION("""COMPUTED_VALUE"""),7.05)</f>
        <v>7.05</v>
      </c>
      <c r="H247">
        <f>IFERROR(__xludf.DUMMYFUNCTION("""COMPUTED_VALUE"""),12.42)</f>
        <v>12.42</v>
      </c>
      <c r="I247">
        <f>IFERROR(__xludf.DUMMYFUNCTION("""COMPUTED_VALUE"""),70.11)</f>
        <v>70.11</v>
      </c>
      <c r="J247">
        <f>IFERROR(__xludf.DUMMYFUNCTION("""COMPUTED_VALUE"""),17.53)</f>
        <v>17.53</v>
      </c>
      <c r="K247">
        <f>IFERROR(__xludf.DUMMYFUNCTION("""COMPUTED_VALUE"""),0.37)</f>
        <v>0.37</v>
      </c>
      <c r="L247">
        <f>IFERROR(__xludf.DUMMYFUNCTION("""COMPUTED_VALUE"""),0.32)</f>
        <v>0.32</v>
      </c>
      <c r="M247">
        <f>IFERROR(__xludf.DUMMYFUNCTION("""COMPUTED_VALUE"""),1.11)</f>
        <v>1.11</v>
      </c>
      <c r="N247">
        <f>IFERROR(__xludf.DUMMYFUNCTION("""COMPUTED_VALUE"""),1.58)</f>
        <v>1.58</v>
      </c>
      <c r="O247">
        <f>IFERROR(__xludf.DUMMYFUNCTION("""COMPUTED_VALUE"""),0.21)</f>
        <v>0.21</v>
      </c>
    </row>
    <row r="248">
      <c r="A248" t="str">
        <f>IFERROR(__xludf.DUMMYFUNCTION("""COMPUTED_VALUE"""),"Goulet")</f>
        <v>Goulet</v>
      </c>
      <c r="B248" t="str">
        <f>IFERROR(__xludf.DUMMYFUNCTION("""COMPUTED_VALUE"""),"Florence Goulet")</f>
        <v>Florence Goulet</v>
      </c>
      <c r="C248">
        <f>IFERROR(__xludf.DUMMYFUNCTION("""COMPUTED_VALUE"""),3.68)</f>
        <v>3.68</v>
      </c>
      <c r="D248">
        <f>IFERROR(__xludf.DUMMYFUNCTION("""COMPUTED_VALUE"""),5.63)</f>
        <v>5.63</v>
      </c>
      <c r="E248">
        <f>IFERROR(__xludf.DUMMYFUNCTION("""COMPUTED_VALUE"""),2.58)</f>
        <v>2.58</v>
      </c>
      <c r="F248">
        <f>IFERROR(__xludf.DUMMYFUNCTION("""COMPUTED_VALUE"""),2.89)</f>
        <v>2.89</v>
      </c>
      <c r="G248">
        <f>IFERROR(__xludf.DUMMYFUNCTION("""COMPUTED_VALUE"""),0.84)</f>
        <v>0.84</v>
      </c>
      <c r="H248">
        <f>IFERROR(__xludf.DUMMYFUNCTION("""COMPUTED_VALUE"""),8.26)</f>
        <v>8.26</v>
      </c>
      <c r="I248">
        <f>IFERROR(__xludf.DUMMYFUNCTION("""COMPUTED_VALUE"""),469.74)</f>
        <v>469.74</v>
      </c>
      <c r="J248">
        <f>IFERROR(__xludf.DUMMYFUNCTION("""COMPUTED_VALUE"""),6.16)</f>
        <v>6.16</v>
      </c>
      <c r="K248">
        <f>IFERROR(__xludf.DUMMYFUNCTION("""COMPUTED_VALUE"""),0.05)</f>
        <v>0.05</v>
      </c>
      <c r="L248">
        <f>IFERROR(__xludf.DUMMYFUNCTION("""COMPUTED_VALUE"""),0.05)</f>
        <v>0.05</v>
      </c>
      <c r="M248">
        <f>IFERROR(__xludf.DUMMYFUNCTION("""COMPUTED_VALUE"""),6.42)</f>
        <v>6.42</v>
      </c>
      <c r="N248">
        <f>IFERROR(__xludf.DUMMYFUNCTION("""COMPUTED_VALUE"""),3.74)</f>
        <v>3.74</v>
      </c>
      <c r="O248">
        <f>IFERROR(__xludf.DUMMYFUNCTION("""COMPUTED_VALUE"""),0.26)</f>
        <v>0.26</v>
      </c>
    </row>
    <row r="249">
      <c r="A249" t="str">
        <f>IFERROR(__xludf.DUMMYFUNCTION("""COMPUTED_VALUE"""),"Grangier")</f>
        <v>Grangier</v>
      </c>
      <c r="B249" t="str">
        <f>IFERROR(__xludf.DUMMYFUNCTION("""COMPUTED_VALUE"""),"Géraldine Grangier")</f>
        <v>Géraldine Grangier</v>
      </c>
      <c r="C249">
        <f>IFERROR(__xludf.DUMMYFUNCTION("""COMPUTED_VALUE"""),3.58)</f>
        <v>3.58</v>
      </c>
      <c r="D249">
        <f>IFERROR(__xludf.DUMMYFUNCTION("""COMPUTED_VALUE"""),5.26)</f>
        <v>5.26</v>
      </c>
      <c r="E249">
        <f>IFERROR(__xludf.DUMMYFUNCTION("""COMPUTED_VALUE"""),2.63)</f>
        <v>2.63</v>
      </c>
      <c r="F249">
        <f>IFERROR(__xludf.DUMMYFUNCTION("""COMPUTED_VALUE"""),1.42)</f>
        <v>1.42</v>
      </c>
      <c r="G249">
        <f>IFERROR(__xludf.DUMMYFUNCTION("""COMPUTED_VALUE"""),0.32)</f>
        <v>0.32</v>
      </c>
      <c r="H249">
        <f>IFERROR(__xludf.DUMMYFUNCTION("""COMPUTED_VALUE"""),4.37)</f>
        <v>4.37</v>
      </c>
      <c r="I249">
        <f>IFERROR(__xludf.DUMMYFUNCTION("""COMPUTED_VALUE"""),470.05)</f>
        <v>470.05</v>
      </c>
      <c r="J249">
        <f>IFERROR(__xludf.DUMMYFUNCTION("""COMPUTED_VALUE"""),5.84)</f>
        <v>5.84</v>
      </c>
      <c r="K249">
        <f>IFERROR(__xludf.DUMMYFUNCTION("""COMPUTED_VALUE"""),0.0)</f>
        <v>0</v>
      </c>
      <c r="L249">
        <f>IFERROR(__xludf.DUMMYFUNCTION("""COMPUTED_VALUE"""),0.11)</f>
        <v>0.11</v>
      </c>
      <c r="M249">
        <f>IFERROR(__xludf.DUMMYFUNCTION("""COMPUTED_VALUE"""),7.37)</f>
        <v>7.37</v>
      </c>
      <c r="N249">
        <f>IFERROR(__xludf.DUMMYFUNCTION("""COMPUTED_VALUE"""),3.37)</f>
        <v>3.37</v>
      </c>
      <c r="O249">
        <f>IFERROR(__xludf.DUMMYFUNCTION("""COMPUTED_VALUE"""),0.32)</f>
        <v>0.32</v>
      </c>
    </row>
    <row r="250">
      <c r="A250" t="str">
        <f>IFERROR(__xludf.DUMMYFUNCTION("""COMPUTED_VALUE"""),"Grelier")</f>
        <v>Grelier</v>
      </c>
      <c r="B250" t="str">
        <f>IFERROR(__xludf.DUMMYFUNCTION("""COMPUTED_VALUE"""),"Jean-Carles Grelier")</f>
        <v>Jean-Carles Grelier</v>
      </c>
      <c r="C250">
        <f>IFERROR(__xludf.DUMMYFUNCTION("""COMPUTED_VALUE"""),3.05)</f>
        <v>3.05</v>
      </c>
      <c r="D250">
        <f>IFERROR(__xludf.DUMMYFUNCTION("""COMPUTED_VALUE"""),3.32)</f>
        <v>3.32</v>
      </c>
      <c r="E250">
        <f>IFERROR(__xludf.DUMMYFUNCTION("""COMPUTED_VALUE"""),0.32)</f>
        <v>0.32</v>
      </c>
      <c r="F250">
        <f>IFERROR(__xludf.DUMMYFUNCTION("""COMPUTED_VALUE"""),0.42)</f>
        <v>0.42</v>
      </c>
      <c r="G250">
        <f>IFERROR(__xludf.DUMMYFUNCTION("""COMPUTED_VALUE"""),0.0)</f>
        <v>0</v>
      </c>
      <c r="H250">
        <f>IFERROR(__xludf.DUMMYFUNCTION("""COMPUTED_VALUE"""),4.11)</f>
        <v>4.11</v>
      </c>
      <c r="I250">
        <f>IFERROR(__xludf.DUMMYFUNCTION("""COMPUTED_VALUE"""),60.68)</f>
        <v>60.68</v>
      </c>
      <c r="J250">
        <f>IFERROR(__xludf.DUMMYFUNCTION("""COMPUTED_VALUE"""),16.21)</f>
        <v>16.21</v>
      </c>
      <c r="K250">
        <f>IFERROR(__xludf.DUMMYFUNCTION("""COMPUTED_VALUE"""),0.0)</f>
        <v>0</v>
      </c>
      <c r="L250">
        <f>IFERROR(__xludf.DUMMYFUNCTION("""COMPUTED_VALUE"""),0.32)</f>
        <v>0.32</v>
      </c>
      <c r="M250">
        <f>IFERROR(__xludf.DUMMYFUNCTION("""COMPUTED_VALUE"""),3.05)</f>
        <v>3.05</v>
      </c>
      <c r="N250">
        <f>IFERROR(__xludf.DUMMYFUNCTION("""COMPUTED_VALUE"""),0.68)</f>
        <v>0.68</v>
      </c>
      <c r="O250">
        <f>IFERROR(__xludf.DUMMYFUNCTION("""COMPUTED_VALUE"""),0.11)</f>
        <v>0.11</v>
      </c>
    </row>
    <row r="251">
      <c r="A251" t="str">
        <f>IFERROR(__xludf.DUMMYFUNCTION("""COMPUTED_VALUE"""),"Grenon")</f>
        <v>Grenon</v>
      </c>
      <c r="B251" t="str">
        <f>IFERROR(__xludf.DUMMYFUNCTION("""COMPUTED_VALUE"""),"Daniel Grenon")</f>
        <v>Daniel Grenon</v>
      </c>
      <c r="C251">
        <f>IFERROR(__xludf.DUMMYFUNCTION("""COMPUTED_VALUE"""),3.68)</f>
        <v>3.68</v>
      </c>
      <c r="D251">
        <f>IFERROR(__xludf.DUMMYFUNCTION("""COMPUTED_VALUE"""),5.58)</f>
        <v>5.58</v>
      </c>
      <c r="E251">
        <f>IFERROR(__xludf.DUMMYFUNCTION("""COMPUTED_VALUE"""),2.47)</f>
        <v>2.47</v>
      </c>
      <c r="F251">
        <f>IFERROR(__xludf.DUMMYFUNCTION("""COMPUTED_VALUE"""),0.53)</f>
        <v>0.53</v>
      </c>
      <c r="G251">
        <f>IFERROR(__xludf.DUMMYFUNCTION("""COMPUTED_VALUE"""),0.11)</f>
        <v>0.11</v>
      </c>
      <c r="H251">
        <f>IFERROR(__xludf.DUMMYFUNCTION("""COMPUTED_VALUE"""),2.79)</f>
        <v>2.79</v>
      </c>
      <c r="I251">
        <f>IFERROR(__xludf.DUMMYFUNCTION("""COMPUTED_VALUE"""),484.74)</f>
        <v>484.74</v>
      </c>
      <c r="J251">
        <f>IFERROR(__xludf.DUMMYFUNCTION("""COMPUTED_VALUE"""),6.63)</f>
        <v>6.63</v>
      </c>
      <c r="K251">
        <f>IFERROR(__xludf.DUMMYFUNCTION("""COMPUTED_VALUE"""),0.0)</f>
        <v>0</v>
      </c>
      <c r="L251">
        <f>IFERROR(__xludf.DUMMYFUNCTION("""COMPUTED_VALUE"""),0.0)</f>
        <v>0</v>
      </c>
      <c r="M251">
        <f>IFERROR(__xludf.DUMMYFUNCTION("""COMPUTED_VALUE"""),7.11)</f>
        <v>7.11</v>
      </c>
      <c r="N251">
        <f>IFERROR(__xludf.DUMMYFUNCTION("""COMPUTED_VALUE"""),1.53)</f>
        <v>1.53</v>
      </c>
      <c r="O251">
        <f>IFERROR(__xludf.DUMMYFUNCTION("""COMPUTED_VALUE"""),0.16)</f>
        <v>0.16</v>
      </c>
    </row>
    <row r="252">
      <c r="A252" t="str">
        <f>IFERROR(__xludf.DUMMYFUNCTION("""COMPUTED_VALUE"""),"Gruet")</f>
        <v>Gruet</v>
      </c>
      <c r="B252" t="str">
        <f>IFERROR(__xludf.DUMMYFUNCTION("""COMPUTED_VALUE"""),"Justine Gruet")</f>
        <v>Justine Gruet</v>
      </c>
      <c r="C252">
        <f>IFERROR(__xludf.DUMMYFUNCTION("""COMPUTED_VALUE"""),3.05)</f>
        <v>3.05</v>
      </c>
      <c r="D252">
        <f>IFERROR(__xludf.DUMMYFUNCTION("""COMPUTED_VALUE"""),5.37)</f>
        <v>5.37</v>
      </c>
      <c r="E252">
        <f>IFERROR(__xludf.DUMMYFUNCTION("""COMPUTED_VALUE"""),6.32)</f>
        <v>6.32</v>
      </c>
      <c r="F252">
        <f>IFERROR(__xludf.DUMMYFUNCTION("""COMPUTED_VALUE"""),4.16)</f>
        <v>4.16</v>
      </c>
      <c r="G252">
        <f>IFERROR(__xludf.DUMMYFUNCTION("""COMPUTED_VALUE"""),2.32)</f>
        <v>2.32</v>
      </c>
      <c r="H252">
        <f>IFERROR(__xludf.DUMMYFUNCTION("""COMPUTED_VALUE"""),17.63)</f>
        <v>17.63</v>
      </c>
      <c r="I252">
        <f>IFERROR(__xludf.DUMMYFUNCTION("""COMPUTED_VALUE"""),337.63)</f>
        <v>337.63</v>
      </c>
      <c r="J252">
        <f>IFERROR(__xludf.DUMMYFUNCTION("""COMPUTED_VALUE"""),11.37)</f>
        <v>11.37</v>
      </c>
      <c r="K252">
        <f>IFERROR(__xludf.DUMMYFUNCTION("""COMPUTED_VALUE"""),0.0)</f>
        <v>0</v>
      </c>
      <c r="L252">
        <f>IFERROR(__xludf.DUMMYFUNCTION("""COMPUTED_VALUE"""),0.16)</f>
        <v>0.16</v>
      </c>
      <c r="M252">
        <f>IFERROR(__xludf.DUMMYFUNCTION("""COMPUTED_VALUE"""),6.32)</f>
        <v>6.32</v>
      </c>
      <c r="N252">
        <f>IFERROR(__xludf.DUMMYFUNCTION("""COMPUTED_VALUE"""),2.84)</f>
        <v>2.84</v>
      </c>
      <c r="O252">
        <f>IFERROR(__xludf.DUMMYFUNCTION("""COMPUTED_VALUE"""),0.32)</f>
        <v>0.32</v>
      </c>
    </row>
    <row r="253">
      <c r="A253" t="str">
        <f>IFERROR(__xludf.DUMMYFUNCTION("""COMPUTED_VALUE"""),"Guedj")</f>
        <v>Guedj</v>
      </c>
      <c r="B253" t="str">
        <f>IFERROR(__xludf.DUMMYFUNCTION("""COMPUTED_VALUE"""),"Jérôme Guedj")</f>
        <v>Jérôme Guedj</v>
      </c>
      <c r="C253">
        <f>IFERROR(__xludf.DUMMYFUNCTION("""COMPUTED_VALUE"""),4.0)</f>
        <v>4</v>
      </c>
      <c r="D253">
        <f>IFERROR(__xludf.DUMMYFUNCTION("""COMPUTED_VALUE"""),9.42)</f>
        <v>9.42</v>
      </c>
      <c r="E253">
        <f>IFERROR(__xludf.DUMMYFUNCTION("""COMPUTED_VALUE"""),28.63)</f>
        <v>28.63</v>
      </c>
      <c r="F253">
        <f>IFERROR(__xludf.DUMMYFUNCTION("""COMPUTED_VALUE"""),45.53)</f>
        <v>45.53</v>
      </c>
      <c r="G253">
        <f>IFERROR(__xludf.DUMMYFUNCTION("""COMPUTED_VALUE"""),51.05)</f>
        <v>51.05</v>
      </c>
      <c r="H253">
        <f>IFERROR(__xludf.DUMMYFUNCTION("""COMPUTED_VALUE"""),102.32)</f>
        <v>102.32</v>
      </c>
      <c r="I253">
        <f>IFERROR(__xludf.DUMMYFUNCTION("""COMPUTED_VALUE"""),486.47)</f>
        <v>486.47</v>
      </c>
      <c r="J253">
        <f>IFERROR(__xludf.DUMMYFUNCTION("""COMPUTED_VALUE"""),22.95)</f>
        <v>22.95</v>
      </c>
      <c r="K253">
        <f>IFERROR(__xludf.DUMMYFUNCTION("""COMPUTED_VALUE"""),0.05)</f>
        <v>0.05</v>
      </c>
      <c r="L253">
        <f>IFERROR(__xludf.DUMMYFUNCTION("""COMPUTED_VALUE"""),0.16)</f>
        <v>0.16</v>
      </c>
      <c r="M253">
        <f>IFERROR(__xludf.DUMMYFUNCTION("""COMPUTED_VALUE"""),3.84)</f>
        <v>3.84</v>
      </c>
      <c r="N253">
        <f>IFERROR(__xludf.DUMMYFUNCTION("""COMPUTED_VALUE"""),4.16)</f>
        <v>4.16</v>
      </c>
      <c r="O253">
        <f>IFERROR(__xludf.DUMMYFUNCTION("""COMPUTED_VALUE"""),0.26)</f>
        <v>0.26</v>
      </c>
    </row>
    <row r="254">
      <c r="A254" t="str">
        <f>IFERROR(__xludf.DUMMYFUNCTION("""COMPUTED_VALUE"""),"Guetté")</f>
        <v>Guetté</v>
      </c>
      <c r="B254" t="str">
        <f>IFERROR(__xludf.DUMMYFUNCTION("""COMPUTED_VALUE"""),"Clémence Guetté")</f>
        <v>Clémence Guetté</v>
      </c>
      <c r="C254">
        <f>IFERROR(__xludf.DUMMYFUNCTION("""COMPUTED_VALUE"""),3.74)</f>
        <v>3.74</v>
      </c>
      <c r="D254">
        <f>IFERROR(__xludf.DUMMYFUNCTION("""COMPUTED_VALUE"""),5.68)</f>
        <v>5.68</v>
      </c>
      <c r="E254">
        <f>IFERROR(__xludf.DUMMYFUNCTION("""COMPUTED_VALUE"""),12.84)</f>
        <v>12.84</v>
      </c>
      <c r="F254">
        <f>IFERROR(__xludf.DUMMYFUNCTION("""COMPUTED_VALUE"""),19.32)</f>
        <v>19.32</v>
      </c>
      <c r="G254">
        <f>IFERROR(__xludf.DUMMYFUNCTION("""COMPUTED_VALUE"""),29.84)</f>
        <v>29.84</v>
      </c>
      <c r="H254">
        <f>IFERROR(__xludf.DUMMYFUNCTION("""COMPUTED_VALUE"""),55.0)</f>
        <v>55</v>
      </c>
      <c r="I254">
        <f>IFERROR(__xludf.DUMMYFUNCTION("""COMPUTED_VALUE"""),896.32)</f>
        <v>896.32</v>
      </c>
      <c r="J254">
        <f>IFERROR(__xludf.DUMMYFUNCTION("""COMPUTED_VALUE"""),28.84)</f>
        <v>28.84</v>
      </c>
      <c r="K254">
        <f>IFERROR(__xludf.DUMMYFUNCTION("""COMPUTED_VALUE"""),0.11)</f>
        <v>0.11</v>
      </c>
      <c r="L254">
        <f>IFERROR(__xludf.DUMMYFUNCTION("""COMPUTED_VALUE"""),0.53)</f>
        <v>0.53</v>
      </c>
      <c r="M254">
        <f>IFERROR(__xludf.DUMMYFUNCTION("""COMPUTED_VALUE"""),7.84)</f>
        <v>7.84</v>
      </c>
      <c r="N254">
        <f>IFERROR(__xludf.DUMMYFUNCTION("""COMPUTED_VALUE"""),4.68)</f>
        <v>4.68</v>
      </c>
      <c r="O254">
        <f>IFERROR(__xludf.DUMMYFUNCTION("""COMPUTED_VALUE"""),0.26)</f>
        <v>0.26</v>
      </c>
    </row>
    <row r="255">
      <c r="A255" t="str">
        <f>IFERROR(__xludf.DUMMYFUNCTION("""COMPUTED_VALUE"""),"Guévenoux")</f>
        <v>Guévenoux</v>
      </c>
      <c r="B255" t="str">
        <f>IFERROR(__xludf.DUMMYFUNCTION("""COMPUTED_VALUE"""),"Marie Guévenoux")</f>
        <v>Marie Guévenoux</v>
      </c>
      <c r="C255">
        <f>IFERROR(__xludf.DUMMYFUNCTION("""COMPUTED_VALUE"""),3.75)</f>
        <v>3.75</v>
      </c>
      <c r="D255">
        <f>IFERROR(__xludf.DUMMYFUNCTION("""COMPUTED_VALUE"""),7.19)</f>
        <v>7.19</v>
      </c>
      <c r="E255">
        <f>IFERROR(__xludf.DUMMYFUNCTION("""COMPUTED_VALUE"""),6.94)</f>
        <v>6.94</v>
      </c>
      <c r="F255">
        <f>IFERROR(__xludf.DUMMYFUNCTION("""COMPUTED_VALUE"""),4.63)</f>
        <v>4.63</v>
      </c>
      <c r="G255">
        <f>IFERROR(__xludf.DUMMYFUNCTION("""COMPUTED_VALUE"""),0.75)</f>
        <v>0.75</v>
      </c>
      <c r="H255">
        <f>IFERROR(__xludf.DUMMYFUNCTION("""COMPUTED_VALUE"""),2.94)</f>
        <v>2.94</v>
      </c>
      <c r="I255">
        <f>IFERROR(__xludf.DUMMYFUNCTION("""COMPUTED_VALUE"""),57.5)</f>
        <v>57.5</v>
      </c>
      <c r="J255">
        <f>IFERROR(__xludf.DUMMYFUNCTION("""COMPUTED_VALUE"""),19.0)</f>
        <v>19</v>
      </c>
      <c r="K255">
        <f>IFERROR(__xludf.DUMMYFUNCTION("""COMPUTED_VALUE"""),0.06)</f>
        <v>0.06</v>
      </c>
      <c r="L255">
        <f>IFERROR(__xludf.DUMMYFUNCTION("""COMPUTED_VALUE"""),0.06)</f>
        <v>0.06</v>
      </c>
      <c r="M255">
        <f>IFERROR(__xludf.DUMMYFUNCTION("""COMPUTED_VALUE"""),2.5)</f>
        <v>2.5</v>
      </c>
      <c r="N255">
        <f>IFERROR(__xludf.DUMMYFUNCTION("""COMPUTED_VALUE"""),0.25)</f>
        <v>0.25</v>
      </c>
      <c r="O255">
        <f>IFERROR(__xludf.DUMMYFUNCTION("""COMPUTED_VALUE"""),0.06)</f>
        <v>0.06</v>
      </c>
    </row>
    <row r="256">
      <c r="A256" t="str">
        <f>IFERROR(__xludf.DUMMYFUNCTION("""COMPUTED_VALUE"""),"Guichard")</f>
        <v>Guichard</v>
      </c>
      <c r="B256" t="str">
        <f>IFERROR(__xludf.DUMMYFUNCTION("""COMPUTED_VALUE"""),"Claire Guichard")</f>
        <v>Claire Guichard</v>
      </c>
      <c r="C256">
        <f>IFERROR(__xludf.DUMMYFUNCTION("""COMPUTED_VALUE"""),4.06)</f>
        <v>4.06</v>
      </c>
      <c r="D256">
        <f>IFERROR(__xludf.DUMMYFUNCTION("""COMPUTED_VALUE"""),9.56)</f>
        <v>9.56</v>
      </c>
      <c r="E256">
        <f>IFERROR(__xludf.DUMMYFUNCTION("""COMPUTED_VALUE"""),1.83)</f>
        <v>1.83</v>
      </c>
      <c r="F256">
        <f>IFERROR(__xludf.DUMMYFUNCTION("""COMPUTED_VALUE"""),3.0)</f>
        <v>3</v>
      </c>
      <c r="G256">
        <f>IFERROR(__xludf.DUMMYFUNCTION("""COMPUTED_VALUE"""),3.28)</f>
        <v>3.28</v>
      </c>
      <c r="H256">
        <f>IFERROR(__xludf.DUMMYFUNCTION("""COMPUTED_VALUE"""),0.83)</f>
        <v>0.83</v>
      </c>
      <c r="I256">
        <f>IFERROR(__xludf.DUMMYFUNCTION("""COMPUTED_VALUE"""),59.61)</f>
        <v>59.61</v>
      </c>
      <c r="J256">
        <f>IFERROR(__xludf.DUMMYFUNCTION("""COMPUTED_VALUE"""),16.83)</f>
        <v>16.83</v>
      </c>
      <c r="K256">
        <f>IFERROR(__xludf.DUMMYFUNCTION("""COMPUTED_VALUE"""),0.0)</f>
        <v>0</v>
      </c>
      <c r="L256">
        <f>IFERROR(__xludf.DUMMYFUNCTION("""COMPUTED_VALUE"""),0.0)</f>
        <v>0</v>
      </c>
      <c r="M256">
        <f>IFERROR(__xludf.DUMMYFUNCTION("""COMPUTED_VALUE"""),2.39)</f>
        <v>2.39</v>
      </c>
      <c r="N256">
        <f>IFERROR(__xludf.DUMMYFUNCTION("""COMPUTED_VALUE"""),0.0)</f>
        <v>0</v>
      </c>
      <c r="O256">
        <f>IFERROR(__xludf.DUMMYFUNCTION("""COMPUTED_VALUE"""),0.06)</f>
        <v>0.06</v>
      </c>
    </row>
    <row r="257">
      <c r="A257" t="str">
        <f>IFERROR(__xludf.DUMMYFUNCTION("""COMPUTED_VALUE"""),"Guillemard")</f>
        <v>Guillemard</v>
      </c>
      <c r="B257" t="str">
        <f>IFERROR(__xludf.DUMMYFUNCTION("""COMPUTED_VALUE"""),"Philippe Guillemard")</f>
        <v>Philippe Guillemard</v>
      </c>
      <c r="C257">
        <f>IFERROR(__xludf.DUMMYFUNCTION("""COMPUTED_VALUE"""),3.93)</f>
        <v>3.93</v>
      </c>
      <c r="D257">
        <f>IFERROR(__xludf.DUMMYFUNCTION("""COMPUTED_VALUE"""),8.71)</f>
        <v>8.71</v>
      </c>
      <c r="E257">
        <f>IFERROR(__xludf.DUMMYFUNCTION("""COMPUTED_VALUE"""),2.21)</f>
        <v>2.21</v>
      </c>
      <c r="F257">
        <f>IFERROR(__xludf.DUMMYFUNCTION("""COMPUTED_VALUE"""),1.07)</f>
        <v>1.07</v>
      </c>
      <c r="G257">
        <f>IFERROR(__xludf.DUMMYFUNCTION("""COMPUTED_VALUE"""),0.07)</f>
        <v>0.07</v>
      </c>
      <c r="H257">
        <f>IFERROR(__xludf.DUMMYFUNCTION("""COMPUTED_VALUE"""),2.57)</f>
        <v>2.57</v>
      </c>
      <c r="I257">
        <f>IFERROR(__xludf.DUMMYFUNCTION("""COMPUTED_VALUE"""),92.14)</f>
        <v>92.14</v>
      </c>
      <c r="J257">
        <f>IFERROR(__xludf.DUMMYFUNCTION("""COMPUTED_VALUE"""),20.64)</f>
        <v>20.64</v>
      </c>
      <c r="K257">
        <f>IFERROR(__xludf.DUMMYFUNCTION("""COMPUTED_VALUE"""),0.07)</f>
        <v>0.07</v>
      </c>
      <c r="L257">
        <f>IFERROR(__xludf.DUMMYFUNCTION("""COMPUTED_VALUE"""),0.0)</f>
        <v>0</v>
      </c>
      <c r="M257">
        <f>IFERROR(__xludf.DUMMYFUNCTION("""COMPUTED_VALUE"""),2.71)</f>
        <v>2.71</v>
      </c>
      <c r="N257">
        <f>IFERROR(__xludf.DUMMYFUNCTION("""COMPUTED_VALUE"""),2.07)</f>
        <v>2.07</v>
      </c>
      <c r="O257">
        <f>IFERROR(__xludf.DUMMYFUNCTION("""COMPUTED_VALUE"""),0.21)</f>
        <v>0.21</v>
      </c>
    </row>
    <row r="258">
      <c r="A258" t="str">
        <f>IFERROR(__xludf.DUMMYFUNCTION("""COMPUTED_VALUE"""),"Guiniot")</f>
        <v>Guiniot</v>
      </c>
      <c r="B258" t="str">
        <f>IFERROR(__xludf.DUMMYFUNCTION("""COMPUTED_VALUE"""),"Michel Guiniot")</f>
        <v>Michel Guiniot</v>
      </c>
      <c r="C258">
        <f>IFERROR(__xludf.DUMMYFUNCTION("""COMPUTED_VALUE"""),3.74)</f>
        <v>3.74</v>
      </c>
      <c r="D258">
        <f>IFERROR(__xludf.DUMMYFUNCTION("""COMPUTED_VALUE"""),6.42)</f>
        <v>6.42</v>
      </c>
      <c r="E258">
        <f>IFERROR(__xludf.DUMMYFUNCTION("""COMPUTED_VALUE"""),5.42)</f>
        <v>5.42</v>
      </c>
      <c r="F258">
        <f>IFERROR(__xludf.DUMMYFUNCTION("""COMPUTED_VALUE"""),2.74)</f>
        <v>2.74</v>
      </c>
      <c r="G258">
        <f>IFERROR(__xludf.DUMMYFUNCTION("""COMPUTED_VALUE"""),0.79)</f>
        <v>0.79</v>
      </c>
      <c r="H258">
        <f>IFERROR(__xludf.DUMMYFUNCTION("""COMPUTED_VALUE"""),8.26)</f>
        <v>8.26</v>
      </c>
      <c r="I258">
        <f>IFERROR(__xludf.DUMMYFUNCTION("""COMPUTED_VALUE"""),452.79)</f>
        <v>452.79</v>
      </c>
      <c r="J258">
        <f>IFERROR(__xludf.DUMMYFUNCTION("""COMPUTED_VALUE"""),5.42)</f>
        <v>5.42</v>
      </c>
      <c r="K258">
        <f>IFERROR(__xludf.DUMMYFUNCTION("""COMPUTED_VALUE"""),0.11)</f>
        <v>0.11</v>
      </c>
      <c r="L258">
        <f>IFERROR(__xludf.DUMMYFUNCTION("""COMPUTED_VALUE"""),0.16)</f>
        <v>0.16</v>
      </c>
      <c r="M258">
        <f>IFERROR(__xludf.DUMMYFUNCTION("""COMPUTED_VALUE"""),5.53)</f>
        <v>5.53</v>
      </c>
      <c r="N258">
        <f>IFERROR(__xludf.DUMMYFUNCTION("""COMPUTED_VALUE"""),3.26)</f>
        <v>3.26</v>
      </c>
      <c r="O258">
        <f>IFERROR(__xludf.DUMMYFUNCTION("""COMPUTED_VALUE"""),0.26)</f>
        <v>0.26</v>
      </c>
    </row>
    <row r="259">
      <c r="A259" t="str">
        <f>IFERROR(__xludf.DUMMYFUNCTION("""COMPUTED_VALUE"""),"Guiraud")</f>
        <v>Guiraud</v>
      </c>
      <c r="B259" t="str">
        <f>IFERROR(__xludf.DUMMYFUNCTION("""COMPUTED_VALUE"""),"David Guiraud")</f>
        <v>David Guiraud</v>
      </c>
      <c r="C259">
        <f>IFERROR(__xludf.DUMMYFUNCTION("""COMPUTED_VALUE"""),3.89)</f>
        <v>3.89</v>
      </c>
      <c r="D259">
        <f>IFERROR(__xludf.DUMMYFUNCTION("""COMPUTED_VALUE"""),8.53)</f>
        <v>8.53</v>
      </c>
      <c r="E259">
        <f>IFERROR(__xludf.DUMMYFUNCTION("""COMPUTED_VALUE"""),10.68)</f>
        <v>10.68</v>
      </c>
      <c r="F259">
        <f>IFERROR(__xludf.DUMMYFUNCTION("""COMPUTED_VALUE"""),24.68)</f>
        <v>24.68</v>
      </c>
      <c r="G259">
        <f>IFERROR(__xludf.DUMMYFUNCTION("""COMPUTED_VALUE"""),5.68)</f>
        <v>5.68</v>
      </c>
      <c r="H259">
        <f>IFERROR(__xludf.DUMMYFUNCTION("""COMPUTED_VALUE"""),32.32)</f>
        <v>32.32</v>
      </c>
      <c r="I259">
        <f>IFERROR(__xludf.DUMMYFUNCTION("""COMPUTED_VALUE"""),889.53)</f>
        <v>889.53</v>
      </c>
      <c r="J259">
        <f>IFERROR(__xludf.DUMMYFUNCTION("""COMPUTED_VALUE"""),28.79)</f>
        <v>28.79</v>
      </c>
      <c r="K259">
        <f>IFERROR(__xludf.DUMMYFUNCTION("""COMPUTED_VALUE"""),0.0)</f>
        <v>0</v>
      </c>
      <c r="L259">
        <f>IFERROR(__xludf.DUMMYFUNCTION("""COMPUTED_VALUE"""),0.11)</f>
        <v>0.11</v>
      </c>
      <c r="M259">
        <f>IFERROR(__xludf.DUMMYFUNCTION("""COMPUTED_VALUE"""),7.26)</f>
        <v>7.26</v>
      </c>
      <c r="N259">
        <f>IFERROR(__xludf.DUMMYFUNCTION("""COMPUTED_VALUE"""),0.26)</f>
        <v>0.26</v>
      </c>
      <c r="O259">
        <f>IFERROR(__xludf.DUMMYFUNCTION("""COMPUTED_VALUE"""),0.32)</f>
        <v>0.32</v>
      </c>
    </row>
    <row r="260">
      <c r="A260" t="str">
        <f>IFERROR(__xludf.DUMMYFUNCTION("""COMPUTED_VALUE"""),"Guitton")</f>
        <v>Guitton</v>
      </c>
      <c r="B260" t="str">
        <f>IFERROR(__xludf.DUMMYFUNCTION("""COMPUTED_VALUE"""),"Jordan Guitton")</f>
        <v>Jordan Guitton</v>
      </c>
      <c r="C260">
        <f>IFERROR(__xludf.DUMMYFUNCTION("""COMPUTED_VALUE"""),3.89)</f>
        <v>3.89</v>
      </c>
      <c r="D260">
        <f>IFERROR(__xludf.DUMMYFUNCTION("""COMPUTED_VALUE"""),6.26)</f>
        <v>6.26</v>
      </c>
      <c r="E260">
        <f>IFERROR(__xludf.DUMMYFUNCTION("""COMPUTED_VALUE"""),12.26)</f>
        <v>12.26</v>
      </c>
      <c r="F260">
        <f>IFERROR(__xludf.DUMMYFUNCTION("""COMPUTED_VALUE"""),14.16)</f>
        <v>14.16</v>
      </c>
      <c r="G260">
        <f>IFERROR(__xludf.DUMMYFUNCTION("""COMPUTED_VALUE"""),3.68)</f>
        <v>3.68</v>
      </c>
      <c r="H260">
        <f>IFERROR(__xludf.DUMMYFUNCTION("""COMPUTED_VALUE"""),12.84)</f>
        <v>12.84</v>
      </c>
      <c r="I260">
        <f>IFERROR(__xludf.DUMMYFUNCTION("""COMPUTED_VALUE"""),468.0)</f>
        <v>468</v>
      </c>
      <c r="J260">
        <f>IFERROR(__xludf.DUMMYFUNCTION("""COMPUTED_VALUE"""),5.74)</f>
        <v>5.74</v>
      </c>
      <c r="K260">
        <f>IFERROR(__xludf.DUMMYFUNCTION("""COMPUTED_VALUE"""),0.0)</f>
        <v>0</v>
      </c>
      <c r="L260">
        <f>IFERROR(__xludf.DUMMYFUNCTION("""COMPUTED_VALUE"""),0.16)</f>
        <v>0.16</v>
      </c>
      <c r="M260">
        <f>IFERROR(__xludf.DUMMYFUNCTION("""COMPUTED_VALUE"""),6.74)</f>
        <v>6.74</v>
      </c>
      <c r="N260">
        <f>IFERROR(__xludf.DUMMYFUNCTION("""COMPUTED_VALUE"""),2.79)</f>
        <v>2.79</v>
      </c>
      <c r="O260">
        <f>IFERROR(__xludf.DUMMYFUNCTION("""COMPUTED_VALUE"""),0.32)</f>
        <v>0.32</v>
      </c>
    </row>
    <row r="261">
      <c r="A261" t="str">
        <f>IFERROR(__xludf.DUMMYFUNCTION("""COMPUTED_VALUE"""),"Gumbs")</f>
        <v>Gumbs</v>
      </c>
      <c r="B261" t="str">
        <f>IFERROR(__xludf.DUMMYFUNCTION("""COMPUTED_VALUE"""),"Frantz Gumbs")</f>
        <v>Frantz Gumbs</v>
      </c>
      <c r="C261">
        <f>IFERROR(__xludf.DUMMYFUNCTION("""COMPUTED_VALUE"""),3.16)</f>
        <v>3.16</v>
      </c>
      <c r="D261">
        <f>IFERROR(__xludf.DUMMYFUNCTION("""COMPUTED_VALUE"""),3.0)</f>
        <v>3</v>
      </c>
      <c r="E261">
        <f>IFERROR(__xludf.DUMMYFUNCTION("""COMPUTED_VALUE"""),1.47)</f>
        <v>1.47</v>
      </c>
      <c r="F261">
        <f>IFERROR(__xludf.DUMMYFUNCTION("""COMPUTED_VALUE"""),1.21)</f>
        <v>1.21</v>
      </c>
      <c r="G261">
        <f>IFERROR(__xludf.DUMMYFUNCTION("""COMPUTED_VALUE"""),0.16)</f>
        <v>0.16</v>
      </c>
      <c r="H261">
        <f>IFERROR(__xludf.DUMMYFUNCTION("""COMPUTED_VALUE"""),1.58)</f>
        <v>1.58</v>
      </c>
      <c r="I261">
        <f>IFERROR(__xludf.DUMMYFUNCTION("""COMPUTED_VALUE"""),64.53)</f>
        <v>64.53</v>
      </c>
      <c r="J261">
        <f>IFERROR(__xludf.DUMMYFUNCTION("""COMPUTED_VALUE"""),13.95)</f>
        <v>13.95</v>
      </c>
      <c r="K261">
        <f>IFERROR(__xludf.DUMMYFUNCTION("""COMPUTED_VALUE"""),0.0)</f>
        <v>0</v>
      </c>
      <c r="L261">
        <f>IFERROR(__xludf.DUMMYFUNCTION("""COMPUTED_VALUE"""),0.0)</f>
        <v>0</v>
      </c>
      <c r="M261">
        <f>IFERROR(__xludf.DUMMYFUNCTION("""COMPUTED_VALUE"""),0.79)</f>
        <v>0.79</v>
      </c>
      <c r="N261">
        <f>IFERROR(__xludf.DUMMYFUNCTION("""COMPUTED_VALUE"""),0.16)</f>
        <v>0.16</v>
      </c>
      <c r="O261">
        <f>IFERROR(__xludf.DUMMYFUNCTION("""COMPUTED_VALUE"""),0.0)</f>
        <v>0</v>
      </c>
    </row>
    <row r="262">
      <c r="A262" t="str">
        <f>IFERROR(__xludf.DUMMYFUNCTION("""COMPUTED_VALUE"""),"Habert-Dassault")</f>
        <v>Habert-Dassault</v>
      </c>
      <c r="B262" t="str">
        <f>IFERROR(__xludf.DUMMYFUNCTION("""COMPUTED_VALUE"""),"Victor Habert-Dassault")</f>
        <v>Victor Habert-Dassault</v>
      </c>
      <c r="C262">
        <f>IFERROR(__xludf.DUMMYFUNCTION("""COMPUTED_VALUE"""),3.63)</f>
        <v>3.63</v>
      </c>
      <c r="D262">
        <f>IFERROR(__xludf.DUMMYFUNCTION("""COMPUTED_VALUE"""),5.37)</f>
        <v>5.37</v>
      </c>
      <c r="E262">
        <f>IFERROR(__xludf.DUMMYFUNCTION("""COMPUTED_VALUE"""),1.47)</f>
        <v>1.47</v>
      </c>
      <c r="F262">
        <f>IFERROR(__xludf.DUMMYFUNCTION("""COMPUTED_VALUE"""),3.37)</f>
        <v>3.37</v>
      </c>
      <c r="G262">
        <f>IFERROR(__xludf.DUMMYFUNCTION("""COMPUTED_VALUE"""),0.32)</f>
        <v>0.32</v>
      </c>
      <c r="H262">
        <f>IFERROR(__xludf.DUMMYFUNCTION("""COMPUTED_VALUE"""),6.42)</f>
        <v>6.42</v>
      </c>
      <c r="I262">
        <f>IFERROR(__xludf.DUMMYFUNCTION("""COMPUTED_VALUE"""),100.05)</f>
        <v>100.05</v>
      </c>
      <c r="J262">
        <f>IFERROR(__xludf.DUMMYFUNCTION("""COMPUTED_VALUE"""),5.26)</f>
        <v>5.26</v>
      </c>
      <c r="K262">
        <f>IFERROR(__xludf.DUMMYFUNCTION("""COMPUTED_VALUE"""),0.0)</f>
        <v>0</v>
      </c>
      <c r="L262">
        <f>IFERROR(__xludf.DUMMYFUNCTION("""COMPUTED_VALUE"""),0.42)</f>
        <v>0.42</v>
      </c>
      <c r="M262">
        <f>IFERROR(__xludf.DUMMYFUNCTION("""COMPUTED_VALUE"""),4.47)</f>
        <v>4.47</v>
      </c>
      <c r="N262">
        <f>IFERROR(__xludf.DUMMYFUNCTION("""COMPUTED_VALUE"""),3.53)</f>
        <v>3.53</v>
      </c>
      <c r="O262">
        <f>IFERROR(__xludf.DUMMYFUNCTION("""COMPUTED_VALUE"""),0.21)</f>
        <v>0.21</v>
      </c>
    </row>
    <row r="263">
      <c r="A263" t="str">
        <f>IFERROR(__xludf.DUMMYFUNCTION("""COMPUTED_VALUE"""),"Habib")</f>
        <v>Habib</v>
      </c>
      <c r="B263" t="str">
        <f>IFERROR(__xludf.DUMMYFUNCTION("""COMPUTED_VALUE"""),"Meyer Habib")</f>
        <v>Meyer Habib</v>
      </c>
      <c r="C263">
        <f>IFERROR(__xludf.DUMMYFUNCTION("""COMPUTED_VALUE"""),2.82)</f>
        <v>2.82</v>
      </c>
      <c r="D263">
        <f>IFERROR(__xludf.DUMMYFUNCTION("""COMPUTED_VALUE"""),2.29)</f>
        <v>2.29</v>
      </c>
      <c r="E263">
        <f>IFERROR(__xludf.DUMMYFUNCTION("""COMPUTED_VALUE"""),1.88)</f>
        <v>1.88</v>
      </c>
      <c r="F263">
        <f>IFERROR(__xludf.DUMMYFUNCTION("""COMPUTED_VALUE"""),4.0)</f>
        <v>4</v>
      </c>
      <c r="G263">
        <f>IFERROR(__xludf.DUMMYFUNCTION("""COMPUTED_VALUE"""),16.0)</f>
        <v>16</v>
      </c>
      <c r="H263">
        <f>IFERROR(__xludf.DUMMYFUNCTION("""COMPUTED_VALUE"""),3.24)</f>
        <v>3.24</v>
      </c>
      <c r="I263">
        <f>IFERROR(__xludf.DUMMYFUNCTION("""COMPUTED_VALUE"""),120.82)</f>
        <v>120.82</v>
      </c>
      <c r="J263">
        <f>IFERROR(__xludf.DUMMYFUNCTION("""COMPUTED_VALUE"""),5.06)</f>
        <v>5.06</v>
      </c>
      <c r="K263">
        <f>IFERROR(__xludf.DUMMYFUNCTION("""COMPUTED_VALUE"""),0.0)</f>
        <v>0</v>
      </c>
      <c r="L263">
        <f>IFERROR(__xludf.DUMMYFUNCTION("""COMPUTED_VALUE"""),0.24)</f>
        <v>0.24</v>
      </c>
      <c r="M263">
        <f>IFERROR(__xludf.DUMMYFUNCTION("""COMPUTED_VALUE"""),3.41)</f>
        <v>3.41</v>
      </c>
      <c r="N263">
        <f>IFERROR(__xludf.DUMMYFUNCTION("""COMPUTED_VALUE"""),0.35)</f>
        <v>0.35</v>
      </c>
      <c r="O263">
        <f>IFERROR(__xludf.DUMMYFUNCTION("""COMPUTED_VALUE"""),0.29)</f>
        <v>0.29</v>
      </c>
    </row>
    <row r="264">
      <c r="A264" t="str">
        <f>IFERROR(__xludf.DUMMYFUNCTION("""COMPUTED_VALUE"""),"Habib")</f>
        <v>Habib</v>
      </c>
      <c r="B264" t="str">
        <f>IFERROR(__xludf.DUMMYFUNCTION("""COMPUTED_VALUE"""),"David Habib")</f>
        <v>David Habib</v>
      </c>
      <c r="C264">
        <f>IFERROR(__xludf.DUMMYFUNCTION("""COMPUTED_VALUE"""),2.53)</f>
        <v>2.53</v>
      </c>
      <c r="D264">
        <f>IFERROR(__xludf.DUMMYFUNCTION("""COMPUTED_VALUE"""),3.11)</f>
        <v>3.11</v>
      </c>
      <c r="E264">
        <f>IFERROR(__xludf.DUMMYFUNCTION("""COMPUTED_VALUE"""),0.63)</f>
        <v>0.63</v>
      </c>
      <c r="F264">
        <f>IFERROR(__xludf.DUMMYFUNCTION("""COMPUTED_VALUE"""),0.89)</f>
        <v>0.89</v>
      </c>
      <c r="G264">
        <f>IFERROR(__xludf.DUMMYFUNCTION("""COMPUTED_VALUE"""),1.16)</f>
        <v>1.16</v>
      </c>
      <c r="H264">
        <f>IFERROR(__xludf.DUMMYFUNCTION("""COMPUTED_VALUE"""),7.26)</f>
        <v>7.26</v>
      </c>
      <c r="I264">
        <f>IFERROR(__xludf.DUMMYFUNCTION("""COMPUTED_VALUE"""),9.74)</f>
        <v>9.74</v>
      </c>
      <c r="J264">
        <f>IFERROR(__xludf.DUMMYFUNCTION("""COMPUTED_VALUE"""),0.05)</f>
        <v>0.05</v>
      </c>
      <c r="K264">
        <f>IFERROR(__xludf.DUMMYFUNCTION("""COMPUTED_VALUE"""),0.05)</f>
        <v>0.05</v>
      </c>
      <c r="L264">
        <f>IFERROR(__xludf.DUMMYFUNCTION("""COMPUTED_VALUE"""),0.21)</f>
        <v>0.21</v>
      </c>
      <c r="M264">
        <f>IFERROR(__xludf.DUMMYFUNCTION("""COMPUTED_VALUE"""),0.53)</f>
        <v>0.53</v>
      </c>
      <c r="N264">
        <f>IFERROR(__xludf.DUMMYFUNCTION("""COMPUTED_VALUE"""),3.0)</f>
        <v>3</v>
      </c>
      <c r="O264">
        <f>IFERROR(__xludf.DUMMYFUNCTION("""COMPUTED_VALUE"""),0.16)</f>
        <v>0.16</v>
      </c>
    </row>
    <row r="265">
      <c r="A265" t="str">
        <f>IFERROR(__xludf.DUMMYFUNCTION("""COMPUTED_VALUE"""),"Haddad")</f>
        <v>Haddad</v>
      </c>
      <c r="B265" t="str">
        <f>IFERROR(__xludf.DUMMYFUNCTION("""COMPUTED_VALUE"""),"Benjamin Haddad")</f>
        <v>Benjamin Haddad</v>
      </c>
      <c r="C265">
        <f>IFERROR(__xludf.DUMMYFUNCTION("""COMPUTED_VALUE"""),3.84)</f>
        <v>3.84</v>
      </c>
      <c r="D265">
        <f>IFERROR(__xludf.DUMMYFUNCTION("""COMPUTED_VALUE"""),8.37)</f>
        <v>8.37</v>
      </c>
      <c r="E265">
        <f>IFERROR(__xludf.DUMMYFUNCTION("""COMPUTED_VALUE"""),30.84)</f>
        <v>30.84</v>
      </c>
      <c r="F265">
        <f>IFERROR(__xludf.DUMMYFUNCTION("""COMPUTED_VALUE"""),4.58)</f>
        <v>4.58</v>
      </c>
      <c r="G265">
        <f>IFERROR(__xludf.DUMMYFUNCTION("""COMPUTED_VALUE"""),6.58)</f>
        <v>6.58</v>
      </c>
      <c r="H265">
        <f>IFERROR(__xludf.DUMMYFUNCTION("""COMPUTED_VALUE"""),1.74)</f>
        <v>1.74</v>
      </c>
      <c r="I265">
        <f>IFERROR(__xludf.DUMMYFUNCTION("""COMPUTED_VALUE"""),52.0)</f>
        <v>52</v>
      </c>
      <c r="J265">
        <f>IFERROR(__xludf.DUMMYFUNCTION("""COMPUTED_VALUE"""),15.11)</f>
        <v>15.11</v>
      </c>
      <c r="K265">
        <f>IFERROR(__xludf.DUMMYFUNCTION("""COMPUTED_VALUE"""),0.11)</f>
        <v>0.11</v>
      </c>
      <c r="L265">
        <f>IFERROR(__xludf.DUMMYFUNCTION("""COMPUTED_VALUE"""),0.16)</f>
        <v>0.16</v>
      </c>
      <c r="M265">
        <f>IFERROR(__xludf.DUMMYFUNCTION("""COMPUTED_VALUE"""),2.32)</f>
        <v>2.32</v>
      </c>
      <c r="N265">
        <f>IFERROR(__xludf.DUMMYFUNCTION("""COMPUTED_VALUE"""),0.58)</f>
        <v>0.58</v>
      </c>
      <c r="O265">
        <f>IFERROR(__xludf.DUMMYFUNCTION("""COMPUTED_VALUE"""),0.11)</f>
        <v>0.11</v>
      </c>
    </row>
    <row r="266">
      <c r="A266" t="str">
        <f>IFERROR(__xludf.DUMMYFUNCTION("""COMPUTED_VALUE"""),"Hai")</f>
        <v>Hai</v>
      </c>
      <c r="B266" t="str">
        <f>IFERROR(__xludf.DUMMYFUNCTION("""COMPUTED_VALUE"""),"Nadia Hai")</f>
        <v>Nadia Hai</v>
      </c>
      <c r="C266">
        <f>IFERROR(__xludf.DUMMYFUNCTION("""COMPUTED_VALUE"""),3.68)</f>
        <v>3.68</v>
      </c>
      <c r="D266">
        <f>IFERROR(__xludf.DUMMYFUNCTION("""COMPUTED_VALUE"""),5.79)</f>
        <v>5.79</v>
      </c>
      <c r="E266">
        <f>IFERROR(__xludf.DUMMYFUNCTION("""COMPUTED_VALUE"""),11.63)</f>
        <v>11.63</v>
      </c>
      <c r="F266">
        <f>IFERROR(__xludf.DUMMYFUNCTION("""COMPUTED_VALUE"""),20.74)</f>
        <v>20.74</v>
      </c>
      <c r="G266">
        <f>IFERROR(__xludf.DUMMYFUNCTION("""COMPUTED_VALUE"""),44.37)</f>
        <v>44.37</v>
      </c>
      <c r="H266">
        <f>IFERROR(__xludf.DUMMYFUNCTION("""COMPUTED_VALUE"""),2.58)</f>
        <v>2.58</v>
      </c>
      <c r="I266">
        <f>IFERROR(__xludf.DUMMYFUNCTION("""COMPUTED_VALUE"""),58.63)</f>
        <v>58.63</v>
      </c>
      <c r="J266">
        <f>IFERROR(__xludf.DUMMYFUNCTION("""COMPUTED_VALUE"""),18.11)</f>
        <v>18.11</v>
      </c>
      <c r="K266">
        <f>IFERROR(__xludf.DUMMYFUNCTION("""COMPUTED_VALUE"""),0.26)</f>
        <v>0.26</v>
      </c>
      <c r="L266">
        <f>IFERROR(__xludf.DUMMYFUNCTION("""COMPUTED_VALUE"""),0.0)</f>
        <v>0</v>
      </c>
      <c r="M266">
        <f>IFERROR(__xludf.DUMMYFUNCTION("""COMPUTED_VALUE"""),2.11)</f>
        <v>2.11</v>
      </c>
      <c r="N266">
        <f>IFERROR(__xludf.DUMMYFUNCTION("""COMPUTED_VALUE"""),0.21)</f>
        <v>0.21</v>
      </c>
      <c r="O266">
        <f>IFERROR(__xludf.DUMMYFUNCTION("""COMPUTED_VALUE"""),0.21)</f>
        <v>0.21</v>
      </c>
    </row>
    <row r="267">
      <c r="A267" t="str">
        <f>IFERROR(__xludf.DUMMYFUNCTION("""COMPUTED_VALUE"""),"Hajjar")</f>
        <v>Hajjar</v>
      </c>
      <c r="B267" t="str">
        <f>IFERROR(__xludf.DUMMYFUNCTION("""COMPUTED_VALUE"""),"Johnny Hajjar")</f>
        <v>Johnny Hajjar</v>
      </c>
      <c r="C267">
        <f>IFERROR(__xludf.DUMMYFUNCTION("""COMPUTED_VALUE"""),2.79)</f>
        <v>2.79</v>
      </c>
      <c r="D267">
        <f>IFERROR(__xludf.DUMMYFUNCTION("""COMPUTED_VALUE"""),3.68)</f>
        <v>3.68</v>
      </c>
      <c r="E267">
        <f>IFERROR(__xludf.DUMMYFUNCTION("""COMPUTED_VALUE"""),25.21)</f>
        <v>25.21</v>
      </c>
      <c r="F267">
        <f>IFERROR(__xludf.DUMMYFUNCTION("""COMPUTED_VALUE"""),4.16)</f>
        <v>4.16</v>
      </c>
      <c r="G267">
        <f>IFERROR(__xludf.DUMMYFUNCTION("""COMPUTED_VALUE"""),0.42)</f>
        <v>0.42</v>
      </c>
      <c r="H267">
        <f>IFERROR(__xludf.DUMMYFUNCTION("""COMPUTED_VALUE"""),4.74)</f>
        <v>4.74</v>
      </c>
      <c r="I267">
        <f>IFERROR(__xludf.DUMMYFUNCTION("""COMPUTED_VALUE"""),461.84)</f>
        <v>461.84</v>
      </c>
      <c r="J267">
        <f>IFERROR(__xludf.DUMMYFUNCTION("""COMPUTED_VALUE"""),25.53)</f>
        <v>25.53</v>
      </c>
      <c r="K267">
        <f>IFERROR(__xludf.DUMMYFUNCTION("""COMPUTED_VALUE"""),0.21)</f>
        <v>0.21</v>
      </c>
      <c r="L267">
        <f>IFERROR(__xludf.DUMMYFUNCTION("""COMPUTED_VALUE"""),0.16)</f>
        <v>0.16</v>
      </c>
      <c r="M267">
        <f>IFERROR(__xludf.DUMMYFUNCTION("""COMPUTED_VALUE"""),3.37)</f>
        <v>3.37</v>
      </c>
      <c r="N267">
        <f>IFERROR(__xludf.DUMMYFUNCTION("""COMPUTED_VALUE"""),0.11)</f>
        <v>0.11</v>
      </c>
      <c r="O267">
        <f>IFERROR(__xludf.DUMMYFUNCTION("""COMPUTED_VALUE"""),0.21)</f>
        <v>0.21</v>
      </c>
    </row>
    <row r="268">
      <c r="A268" t="str">
        <f>IFERROR(__xludf.DUMMYFUNCTION("""COMPUTED_VALUE"""),"Hamelet")</f>
        <v>Hamelet</v>
      </c>
      <c r="B268" t="str">
        <f>IFERROR(__xludf.DUMMYFUNCTION("""COMPUTED_VALUE"""),"Marine Hamelet")</f>
        <v>Marine Hamelet</v>
      </c>
      <c r="C268">
        <f>IFERROR(__xludf.DUMMYFUNCTION("""COMPUTED_VALUE"""),4.0)</f>
        <v>4</v>
      </c>
      <c r="D268">
        <f>IFERROR(__xludf.DUMMYFUNCTION("""COMPUTED_VALUE"""),7.89)</f>
        <v>7.89</v>
      </c>
      <c r="E268">
        <f>IFERROR(__xludf.DUMMYFUNCTION("""COMPUTED_VALUE"""),3.68)</f>
        <v>3.68</v>
      </c>
      <c r="F268">
        <f>IFERROR(__xludf.DUMMYFUNCTION("""COMPUTED_VALUE"""),2.58)</f>
        <v>2.58</v>
      </c>
      <c r="G268">
        <f>IFERROR(__xludf.DUMMYFUNCTION("""COMPUTED_VALUE"""),1.11)</f>
        <v>1.11</v>
      </c>
      <c r="H268">
        <f>IFERROR(__xludf.DUMMYFUNCTION("""COMPUTED_VALUE"""),5.32)</f>
        <v>5.32</v>
      </c>
      <c r="I268">
        <f>IFERROR(__xludf.DUMMYFUNCTION("""COMPUTED_VALUE"""),455.95)</f>
        <v>455.95</v>
      </c>
      <c r="J268">
        <f>IFERROR(__xludf.DUMMYFUNCTION("""COMPUTED_VALUE"""),5.42)</f>
        <v>5.42</v>
      </c>
      <c r="K268">
        <f>IFERROR(__xludf.DUMMYFUNCTION("""COMPUTED_VALUE"""),0.05)</f>
        <v>0.05</v>
      </c>
      <c r="L268">
        <f>IFERROR(__xludf.DUMMYFUNCTION("""COMPUTED_VALUE"""),0.16)</f>
        <v>0.16</v>
      </c>
      <c r="M268">
        <f>IFERROR(__xludf.DUMMYFUNCTION("""COMPUTED_VALUE"""),7.0)</f>
        <v>7</v>
      </c>
      <c r="N268">
        <f>IFERROR(__xludf.DUMMYFUNCTION("""COMPUTED_VALUE"""),3.16)</f>
        <v>3.16</v>
      </c>
      <c r="O268">
        <f>IFERROR(__xludf.DUMMYFUNCTION("""COMPUTED_VALUE"""),0.16)</f>
        <v>0.16</v>
      </c>
    </row>
    <row r="269">
      <c r="A269" t="str">
        <f>IFERROR(__xludf.DUMMYFUNCTION("""COMPUTED_VALUE"""),"Haury")</f>
        <v>Haury</v>
      </c>
      <c r="B269" t="str">
        <f>IFERROR(__xludf.DUMMYFUNCTION("""COMPUTED_VALUE"""),"Yannick Haury")</f>
        <v>Yannick Haury</v>
      </c>
      <c r="C269">
        <f>IFERROR(__xludf.DUMMYFUNCTION("""COMPUTED_VALUE"""),3.53)</f>
        <v>3.53</v>
      </c>
      <c r="D269">
        <f>IFERROR(__xludf.DUMMYFUNCTION("""COMPUTED_VALUE"""),5.68)</f>
        <v>5.68</v>
      </c>
      <c r="E269">
        <f>IFERROR(__xludf.DUMMYFUNCTION("""COMPUTED_VALUE"""),1.95)</f>
        <v>1.95</v>
      </c>
      <c r="F269">
        <f>IFERROR(__xludf.DUMMYFUNCTION("""COMPUTED_VALUE"""),0.53)</f>
        <v>0.53</v>
      </c>
      <c r="G269">
        <f>IFERROR(__xludf.DUMMYFUNCTION("""COMPUTED_VALUE"""),0.05)</f>
        <v>0.05</v>
      </c>
      <c r="H269">
        <f>IFERROR(__xludf.DUMMYFUNCTION("""COMPUTED_VALUE"""),0.05)</f>
        <v>0.05</v>
      </c>
      <c r="I269">
        <f>IFERROR(__xludf.DUMMYFUNCTION("""COMPUTED_VALUE"""),115.74)</f>
        <v>115.74</v>
      </c>
      <c r="J269">
        <f>IFERROR(__xludf.DUMMYFUNCTION("""COMPUTED_VALUE"""),21.21)</f>
        <v>21.21</v>
      </c>
      <c r="K269">
        <f>IFERROR(__xludf.DUMMYFUNCTION("""COMPUTED_VALUE"""),0.05)</f>
        <v>0.05</v>
      </c>
      <c r="L269">
        <f>IFERROR(__xludf.DUMMYFUNCTION("""COMPUTED_VALUE"""),0.0)</f>
        <v>0</v>
      </c>
      <c r="M269">
        <f>IFERROR(__xludf.DUMMYFUNCTION("""COMPUTED_VALUE"""),3.42)</f>
        <v>3.42</v>
      </c>
      <c r="N269">
        <f>IFERROR(__xludf.DUMMYFUNCTION("""COMPUTED_VALUE"""),0.74)</f>
        <v>0.74</v>
      </c>
      <c r="O269">
        <f>IFERROR(__xludf.DUMMYFUNCTION("""COMPUTED_VALUE"""),0.21)</f>
        <v>0.21</v>
      </c>
    </row>
    <row r="270">
      <c r="A270" t="str">
        <f>IFERROR(__xludf.DUMMYFUNCTION("""COMPUTED_VALUE"""),"Hébrard")</f>
        <v>Hébrard</v>
      </c>
      <c r="B270" t="str">
        <f>IFERROR(__xludf.DUMMYFUNCTION("""COMPUTED_VALUE"""),"Joris Hébrard")</f>
        <v>Joris Hébrard</v>
      </c>
      <c r="C270">
        <f>IFERROR(__xludf.DUMMYFUNCTION("""COMPUTED_VALUE"""),3.78)</f>
        <v>3.78</v>
      </c>
      <c r="D270">
        <f>IFERROR(__xludf.DUMMYFUNCTION("""COMPUTED_VALUE"""),6.56)</f>
        <v>6.56</v>
      </c>
      <c r="E270">
        <f>IFERROR(__xludf.DUMMYFUNCTION("""COMPUTED_VALUE"""),2.11)</f>
        <v>2.11</v>
      </c>
      <c r="F270">
        <f>IFERROR(__xludf.DUMMYFUNCTION("""COMPUTED_VALUE"""),1.0)</f>
        <v>1</v>
      </c>
      <c r="G270">
        <f>IFERROR(__xludf.DUMMYFUNCTION("""COMPUTED_VALUE"""),0.33)</f>
        <v>0.33</v>
      </c>
      <c r="H270">
        <f>IFERROR(__xludf.DUMMYFUNCTION("""COMPUTED_VALUE"""),3.0)</f>
        <v>3</v>
      </c>
      <c r="I270">
        <f>IFERROR(__xludf.DUMMYFUNCTION("""COMPUTED_VALUE"""),372.22)</f>
        <v>372.22</v>
      </c>
      <c r="J270">
        <f>IFERROR(__xludf.DUMMYFUNCTION("""COMPUTED_VALUE"""),6.56)</f>
        <v>6.56</v>
      </c>
      <c r="K270">
        <f>IFERROR(__xludf.DUMMYFUNCTION("""COMPUTED_VALUE"""),0.0)</f>
        <v>0</v>
      </c>
      <c r="L270">
        <f>IFERROR(__xludf.DUMMYFUNCTION("""COMPUTED_VALUE"""),0.0)</f>
        <v>0</v>
      </c>
      <c r="M270">
        <f>IFERROR(__xludf.DUMMYFUNCTION("""COMPUTED_VALUE"""),2.11)</f>
        <v>2.11</v>
      </c>
      <c r="N270">
        <f>IFERROR(__xludf.DUMMYFUNCTION("""COMPUTED_VALUE"""),0.0)</f>
        <v>0</v>
      </c>
      <c r="O270">
        <f>IFERROR(__xludf.DUMMYFUNCTION("""COMPUTED_VALUE"""),0.11)</f>
        <v>0.11</v>
      </c>
    </row>
    <row r="271">
      <c r="A271" t="str">
        <f>IFERROR(__xludf.DUMMYFUNCTION("""COMPUTED_VALUE"""),"Henriet")</f>
        <v>Henriet</v>
      </c>
      <c r="B271" t="str">
        <f>IFERROR(__xludf.DUMMYFUNCTION("""COMPUTED_VALUE"""),"Pierre Henriet")</f>
        <v>Pierre Henriet</v>
      </c>
      <c r="C271">
        <f>IFERROR(__xludf.DUMMYFUNCTION("""COMPUTED_VALUE"""),3.84)</f>
        <v>3.84</v>
      </c>
      <c r="D271">
        <f>IFERROR(__xludf.DUMMYFUNCTION("""COMPUTED_VALUE"""),5.21)</f>
        <v>5.21</v>
      </c>
      <c r="E271">
        <f>IFERROR(__xludf.DUMMYFUNCTION("""COMPUTED_VALUE"""),8.84)</f>
        <v>8.84</v>
      </c>
      <c r="F271">
        <f>IFERROR(__xludf.DUMMYFUNCTION("""COMPUTED_VALUE"""),1.21)</f>
        <v>1.21</v>
      </c>
      <c r="G271">
        <f>IFERROR(__xludf.DUMMYFUNCTION("""COMPUTED_VALUE"""),2.11)</f>
        <v>2.11</v>
      </c>
      <c r="H271">
        <f>IFERROR(__xludf.DUMMYFUNCTION("""COMPUTED_VALUE"""),0.63)</f>
        <v>0.63</v>
      </c>
      <c r="I271">
        <f>IFERROR(__xludf.DUMMYFUNCTION("""COMPUTED_VALUE"""),50.05)</f>
        <v>50.05</v>
      </c>
      <c r="J271">
        <f>IFERROR(__xludf.DUMMYFUNCTION("""COMPUTED_VALUE"""),13.47)</f>
        <v>13.47</v>
      </c>
      <c r="K271">
        <f>IFERROR(__xludf.DUMMYFUNCTION("""COMPUTED_VALUE"""),0.32)</f>
        <v>0.32</v>
      </c>
      <c r="L271">
        <f>IFERROR(__xludf.DUMMYFUNCTION("""COMPUTED_VALUE"""),0.0)</f>
        <v>0</v>
      </c>
      <c r="M271">
        <f>IFERROR(__xludf.DUMMYFUNCTION("""COMPUTED_VALUE"""),2.05)</f>
        <v>2.05</v>
      </c>
      <c r="N271">
        <f>IFERROR(__xludf.DUMMYFUNCTION("""COMPUTED_VALUE"""),0.21)</f>
        <v>0.21</v>
      </c>
      <c r="O271">
        <f>IFERROR(__xludf.DUMMYFUNCTION("""COMPUTED_VALUE"""),0.05)</f>
        <v>0.05</v>
      </c>
    </row>
    <row r="272">
      <c r="A272" t="str">
        <f>IFERROR(__xludf.DUMMYFUNCTION("""COMPUTED_VALUE"""),"Herbillon")</f>
        <v>Herbillon</v>
      </c>
      <c r="B272" t="str">
        <f>IFERROR(__xludf.DUMMYFUNCTION("""COMPUTED_VALUE"""),"Michel Herbillon")</f>
        <v>Michel Herbillon</v>
      </c>
      <c r="C272">
        <f>IFERROR(__xludf.DUMMYFUNCTION("""COMPUTED_VALUE"""),3.05)</f>
        <v>3.05</v>
      </c>
      <c r="D272">
        <f>IFERROR(__xludf.DUMMYFUNCTION("""COMPUTED_VALUE"""),4.95)</f>
        <v>4.95</v>
      </c>
      <c r="E272">
        <f>IFERROR(__xludf.DUMMYFUNCTION("""COMPUTED_VALUE"""),4.42)</f>
        <v>4.42</v>
      </c>
      <c r="F272">
        <f>IFERROR(__xludf.DUMMYFUNCTION("""COMPUTED_VALUE"""),0.89)</f>
        <v>0.89</v>
      </c>
      <c r="G272">
        <f>IFERROR(__xludf.DUMMYFUNCTION("""COMPUTED_VALUE"""),7.42)</f>
        <v>7.42</v>
      </c>
      <c r="H272">
        <f>IFERROR(__xludf.DUMMYFUNCTION("""COMPUTED_VALUE"""),0.68)</f>
        <v>0.68</v>
      </c>
      <c r="I272">
        <f>IFERROR(__xludf.DUMMYFUNCTION("""COMPUTED_VALUE"""),46.26)</f>
        <v>46.26</v>
      </c>
      <c r="J272">
        <f>IFERROR(__xludf.DUMMYFUNCTION("""COMPUTED_VALUE"""),3.84)</f>
        <v>3.84</v>
      </c>
      <c r="K272">
        <f>IFERROR(__xludf.DUMMYFUNCTION("""COMPUTED_VALUE"""),0.11)</f>
        <v>0.11</v>
      </c>
      <c r="L272">
        <f>IFERROR(__xludf.DUMMYFUNCTION("""COMPUTED_VALUE"""),0.05)</f>
        <v>0.05</v>
      </c>
      <c r="M272">
        <f>IFERROR(__xludf.DUMMYFUNCTION("""COMPUTED_VALUE"""),8.37)</f>
        <v>8.37</v>
      </c>
      <c r="N272">
        <f>IFERROR(__xludf.DUMMYFUNCTION("""COMPUTED_VALUE"""),0.89)</f>
        <v>0.89</v>
      </c>
      <c r="O272">
        <f>IFERROR(__xludf.DUMMYFUNCTION("""COMPUTED_VALUE"""),0.05)</f>
        <v>0.05</v>
      </c>
    </row>
    <row r="273">
      <c r="A273" t="str">
        <f>IFERROR(__xludf.DUMMYFUNCTION("""COMPUTED_VALUE"""),"Hetzel")</f>
        <v>Hetzel</v>
      </c>
      <c r="B273" t="str">
        <f>IFERROR(__xludf.DUMMYFUNCTION("""COMPUTED_VALUE"""),"Patrick Hetzel")</f>
        <v>Patrick Hetzel</v>
      </c>
      <c r="C273">
        <f>IFERROR(__xludf.DUMMYFUNCTION("""COMPUTED_VALUE"""),4.11)</f>
        <v>4.11</v>
      </c>
      <c r="D273">
        <f>IFERROR(__xludf.DUMMYFUNCTION("""COMPUTED_VALUE"""),7.47)</f>
        <v>7.47</v>
      </c>
      <c r="E273">
        <f>IFERROR(__xludf.DUMMYFUNCTION("""COMPUTED_VALUE"""),25.53)</f>
        <v>25.53</v>
      </c>
      <c r="F273">
        <f>IFERROR(__xludf.DUMMYFUNCTION("""COMPUTED_VALUE"""),23.84)</f>
        <v>23.84</v>
      </c>
      <c r="G273">
        <f>IFERROR(__xludf.DUMMYFUNCTION("""COMPUTED_VALUE"""),52.58)</f>
        <v>52.58</v>
      </c>
      <c r="H273">
        <f>IFERROR(__xludf.DUMMYFUNCTION("""COMPUTED_VALUE"""),31.11)</f>
        <v>31.11</v>
      </c>
      <c r="I273">
        <f>IFERROR(__xludf.DUMMYFUNCTION("""COMPUTED_VALUE"""),378.74)</f>
        <v>378.74</v>
      </c>
      <c r="J273">
        <f>IFERROR(__xludf.DUMMYFUNCTION("""COMPUTED_VALUE"""),14.0)</f>
        <v>14</v>
      </c>
      <c r="K273">
        <f>IFERROR(__xludf.DUMMYFUNCTION("""COMPUTED_VALUE"""),0.21)</f>
        <v>0.21</v>
      </c>
      <c r="L273">
        <f>IFERROR(__xludf.DUMMYFUNCTION("""COMPUTED_VALUE"""),0.84)</f>
        <v>0.84</v>
      </c>
      <c r="M273">
        <f>IFERROR(__xludf.DUMMYFUNCTION("""COMPUTED_VALUE"""),9.74)</f>
        <v>9.74</v>
      </c>
      <c r="N273">
        <f>IFERROR(__xludf.DUMMYFUNCTION("""COMPUTED_VALUE"""),5.21)</f>
        <v>5.21</v>
      </c>
      <c r="O273">
        <f>IFERROR(__xludf.DUMMYFUNCTION("""COMPUTED_VALUE"""),0.42)</f>
        <v>0.42</v>
      </c>
    </row>
    <row r="274">
      <c r="A274" t="str">
        <f>IFERROR(__xludf.DUMMYFUNCTION("""COMPUTED_VALUE"""),"Heydel Grillere")</f>
        <v>Heydel Grillere</v>
      </c>
      <c r="B274" t="str">
        <f>IFERROR(__xludf.DUMMYFUNCTION("""COMPUTED_VALUE"""),"Laurence Heydel Grillere")</f>
        <v>Laurence Heydel Grillere</v>
      </c>
      <c r="C274">
        <f>IFERROR(__xludf.DUMMYFUNCTION("""COMPUTED_VALUE"""),4.07)</f>
        <v>4.07</v>
      </c>
      <c r="D274">
        <f>IFERROR(__xludf.DUMMYFUNCTION("""COMPUTED_VALUE"""),8.71)</f>
        <v>8.71</v>
      </c>
      <c r="E274">
        <f>IFERROR(__xludf.DUMMYFUNCTION("""COMPUTED_VALUE"""),7.5)</f>
        <v>7.5</v>
      </c>
      <c r="F274">
        <f>IFERROR(__xludf.DUMMYFUNCTION("""COMPUTED_VALUE"""),4.0)</f>
        <v>4</v>
      </c>
      <c r="G274">
        <f>IFERROR(__xludf.DUMMYFUNCTION("""COMPUTED_VALUE"""),1.0)</f>
        <v>1</v>
      </c>
      <c r="H274">
        <f>IFERROR(__xludf.DUMMYFUNCTION("""COMPUTED_VALUE"""),4.71)</f>
        <v>4.71</v>
      </c>
      <c r="I274">
        <f>IFERROR(__xludf.DUMMYFUNCTION("""COMPUTED_VALUE"""),106.86)</f>
        <v>106.86</v>
      </c>
      <c r="J274">
        <f>IFERROR(__xludf.DUMMYFUNCTION("""COMPUTED_VALUE"""),19.64)</f>
        <v>19.64</v>
      </c>
      <c r="K274">
        <f>IFERROR(__xludf.DUMMYFUNCTION("""COMPUTED_VALUE"""),0.0)</f>
        <v>0</v>
      </c>
      <c r="L274">
        <f>IFERROR(__xludf.DUMMYFUNCTION("""COMPUTED_VALUE"""),0.0)</f>
        <v>0</v>
      </c>
      <c r="M274">
        <f>IFERROR(__xludf.DUMMYFUNCTION("""COMPUTED_VALUE"""),2.86)</f>
        <v>2.86</v>
      </c>
      <c r="N274">
        <f>IFERROR(__xludf.DUMMYFUNCTION("""COMPUTED_VALUE"""),0.57)</f>
        <v>0.57</v>
      </c>
      <c r="O274">
        <f>IFERROR(__xludf.DUMMYFUNCTION("""COMPUTED_VALUE"""),0.36)</f>
        <v>0.36</v>
      </c>
    </row>
    <row r="275">
      <c r="A275" t="str">
        <f>IFERROR(__xludf.DUMMYFUNCTION("""COMPUTED_VALUE"""),"Hignet")</f>
        <v>Hignet</v>
      </c>
      <c r="B275" t="str">
        <f>IFERROR(__xludf.DUMMYFUNCTION("""COMPUTED_VALUE"""),"Mathilde Hignet")</f>
        <v>Mathilde Hignet</v>
      </c>
      <c r="C275">
        <f>IFERROR(__xludf.DUMMYFUNCTION("""COMPUTED_VALUE"""),3.58)</f>
        <v>3.58</v>
      </c>
      <c r="D275">
        <f>IFERROR(__xludf.DUMMYFUNCTION("""COMPUTED_VALUE"""),6.21)</f>
        <v>6.21</v>
      </c>
      <c r="E275">
        <f>IFERROR(__xludf.DUMMYFUNCTION("""COMPUTED_VALUE"""),5.74)</f>
        <v>5.74</v>
      </c>
      <c r="F275">
        <f>IFERROR(__xludf.DUMMYFUNCTION("""COMPUTED_VALUE"""),12.37)</f>
        <v>12.37</v>
      </c>
      <c r="G275">
        <f>IFERROR(__xludf.DUMMYFUNCTION("""COMPUTED_VALUE"""),1.63)</f>
        <v>1.63</v>
      </c>
      <c r="H275">
        <f>IFERROR(__xludf.DUMMYFUNCTION("""COMPUTED_VALUE"""),28.53)</f>
        <v>28.53</v>
      </c>
      <c r="I275">
        <f>IFERROR(__xludf.DUMMYFUNCTION("""COMPUTED_VALUE"""),893.74)</f>
        <v>893.74</v>
      </c>
      <c r="J275">
        <f>IFERROR(__xludf.DUMMYFUNCTION("""COMPUTED_VALUE"""),29.26)</f>
        <v>29.26</v>
      </c>
      <c r="K275">
        <f>IFERROR(__xludf.DUMMYFUNCTION("""COMPUTED_VALUE"""),0.05)</f>
        <v>0.05</v>
      </c>
      <c r="L275">
        <f>IFERROR(__xludf.DUMMYFUNCTION("""COMPUTED_VALUE"""),0.16)</f>
        <v>0.16</v>
      </c>
      <c r="M275">
        <f>IFERROR(__xludf.DUMMYFUNCTION("""COMPUTED_VALUE"""),7.58)</f>
        <v>7.58</v>
      </c>
      <c r="N275">
        <f>IFERROR(__xludf.DUMMYFUNCTION("""COMPUTED_VALUE"""),2.74)</f>
        <v>2.74</v>
      </c>
      <c r="O275">
        <f>IFERROR(__xludf.DUMMYFUNCTION("""COMPUTED_VALUE"""),0.32)</f>
        <v>0.32</v>
      </c>
    </row>
    <row r="276">
      <c r="A276" t="str">
        <f>IFERROR(__xludf.DUMMYFUNCTION("""COMPUTED_VALUE"""),"Holroyd")</f>
        <v>Holroyd</v>
      </c>
      <c r="B276" t="str">
        <f>IFERROR(__xludf.DUMMYFUNCTION("""COMPUTED_VALUE"""),"Alexandre Holroyd")</f>
        <v>Alexandre Holroyd</v>
      </c>
      <c r="C276">
        <f>IFERROR(__xludf.DUMMYFUNCTION("""COMPUTED_VALUE"""),3.53)</f>
        <v>3.53</v>
      </c>
      <c r="D276">
        <f>IFERROR(__xludf.DUMMYFUNCTION("""COMPUTED_VALUE"""),6.05)</f>
        <v>6.05</v>
      </c>
      <c r="E276">
        <f>IFERROR(__xludf.DUMMYFUNCTION("""COMPUTED_VALUE"""),7.95)</f>
        <v>7.95</v>
      </c>
      <c r="F276">
        <f>IFERROR(__xludf.DUMMYFUNCTION("""COMPUTED_VALUE"""),9.74)</f>
        <v>9.74</v>
      </c>
      <c r="G276">
        <f>IFERROR(__xludf.DUMMYFUNCTION("""COMPUTED_VALUE"""),3.95)</f>
        <v>3.95</v>
      </c>
      <c r="H276">
        <f>IFERROR(__xludf.DUMMYFUNCTION("""COMPUTED_VALUE"""),5.79)</f>
        <v>5.79</v>
      </c>
      <c r="I276">
        <f>IFERROR(__xludf.DUMMYFUNCTION("""COMPUTED_VALUE"""),54.63)</f>
        <v>54.63</v>
      </c>
      <c r="J276">
        <f>IFERROR(__xludf.DUMMYFUNCTION("""COMPUTED_VALUE"""),20.16)</f>
        <v>20.16</v>
      </c>
      <c r="K276">
        <f>IFERROR(__xludf.DUMMYFUNCTION("""COMPUTED_VALUE"""),0.37)</f>
        <v>0.37</v>
      </c>
      <c r="L276">
        <f>IFERROR(__xludf.DUMMYFUNCTION("""COMPUTED_VALUE"""),0.21)</f>
        <v>0.21</v>
      </c>
      <c r="M276">
        <f>IFERROR(__xludf.DUMMYFUNCTION("""COMPUTED_VALUE"""),2.16)</f>
        <v>2.16</v>
      </c>
      <c r="N276">
        <f>IFERROR(__xludf.DUMMYFUNCTION("""COMPUTED_VALUE"""),0.11)</f>
        <v>0.11</v>
      </c>
      <c r="O276">
        <f>IFERROR(__xludf.DUMMYFUNCTION("""COMPUTED_VALUE"""),0.05)</f>
        <v>0.05</v>
      </c>
    </row>
    <row r="277">
      <c r="A277" t="str">
        <f>IFERROR(__xludf.DUMMYFUNCTION("""COMPUTED_VALUE"""),"Houlié")</f>
        <v>Houlié</v>
      </c>
      <c r="B277" t="str">
        <f>IFERROR(__xludf.DUMMYFUNCTION("""COMPUTED_VALUE"""),"Sacha Houlié")</f>
        <v>Sacha Houlié</v>
      </c>
      <c r="C277">
        <f>IFERROR(__xludf.DUMMYFUNCTION("""COMPUTED_VALUE"""),4.05)</f>
        <v>4.05</v>
      </c>
      <c r="D277">
        <f>IFERROR(__xludf.DUMMYFUNCTION("""COMPUTED_VALUE"""),11.84)</f>
        <v>11.84</v>
      </c>
      <c r="E277">
        <f>IFERROR(__xludf.DUMMYFUNCTION("""COMPUTED_VALUE"""),37.63)</f>
        <v>37.63</v>
      </c>
      <c r="F277">
        <f>IFERROR(__xludf.DUMMYFUNCTION("""COMPUTED_VALUE"""),29.16)</f>
        <v>29.16</v>
      </c>
      <c r="G277">
        <f>IFERROR(__xludf.DUMMYFUNCTION("""COMPUTED_VALUE"""),21.63)</f>
        <v>21.63</v>
      </c>
      <c r="H277">
        <f>IFERROR(__xludf.DUMMYFUNCTION("""COMPUTED_VALUE"""),7.89)</f>
        <v>7.89</v>
      </c>
      <c r="I277">
        <f>IFERROR(__xludf.DUMMYFUNCTION("""COMPUTED_VALUE"""),58.53)</f>
        <v>58.53</v>
      </c>
      <c r="J277">
        <f>IFERROR(__xludf.DUMMYFUNCTION("""COMPUTED_VALUE"""),21.79)</f>
        <v>21.79</v>
      </c>
      <c r="K277">
        <f>IFERROR(__xludf.DUMMYFUNCTION("""COMPUTED_VALUE"""),0.58)</f>
        <v>0.58</v>
      </c>
      <c r="L277">
        <f>IFERROR(__xludf.DUMMYFUNCTION("""COMPUTED_VALUE"""),0.21)</f>
        <v>0.21</v>
      </c>
      <c r="M277">
        <f>IFERROR(__xludf.DUMMYFUNCTION("""COMPUTED_VALUE"""),2.42)</f>
        <v>2.42</v>
      </c>
      <c r="N277">
        <f>IFERROR(__xludf.DUMMYFUNCTION("""COMPUTED_VALUE"""),1.32)</f>
        <v>1.32</v>
      </c>
      <c r="O277">
        <f>IFERROR(__xludf.DUMMYFUNCTION("""COMPUTED_VALUE"""),0.16)</f>
        <v>0.16</v>
      </c>
    </row>
    <row r="278">
      <c r="A278" t="str">
        <f>IFERROR(__xludf.DUMMYFUNCTION("""COMPUTED_VALUE"""),"Houssin")</f>
        <v>Houssin</v>
      </c>
      <c r="B278" t="str">
        <f>IFERROR(__xludf.DUMMYFUNCTION("""COMPUTED_VALUE"""),"Timothée Houssin")</f>
        <v>Timothée Houssin</v>
      </c>
      <c r="C278">
        <f>IFERROR(__xludf.DUMMYFUNCTION("""COMPUTED_VALUE"""),3.68)</f>
        <v>3.68</v>
      </c>
      <c r="D278">
        <f>IFERROR(__xludf.DUMMYFUNCTION("""COMPUTED_VALUE"""),4.95)</f>
        <v>4.95</v>
      </c>
      <c r="E278">
        <f>IFERROR(__xludf.DUMMYFUNCTION("""COMPUTED_VALUE"""),7.58)</f>
        <v>7.58</v>
      </c>
      <c r="F278">
        <f>IFERROR(__xludf.DUMMYFUNCTION("""COMPUTED_VALUE"""),9.95)</f>
        <v>9.95</v>
      </c>
      <c r="G278">
        <f>IFERROR(__xludf.DUMMYFUNCTION("""COMPUTED_VALUE"""),0.95)</f>
        <v>0.95</v>
      </c>
      <c r="H278">
        <f>IFERROR(__xludf.DUMMYFUNCTION("""COMPUTED_VALUE"""),21.74)</f>
        <v>21.74</v>
      </c>
      <c r="I278">
        <f>IFERROR(__xludf.DUMMYFUNCTION("""COMPUTED_VALUE"""),457.84)</f>
        <v>457.84</v>
      </c>
      <c r="J278">
        <f>IFERROR(__xludf.DUMMYFUNCTION("""COMPUTED_VALUE"""),5.68)</f>
        <v>5.68</v>
      </c>
      <c r="K278">
        <f>IFERROR(__xludf.DUMMYFUNCTION("""COMPUTED_VALUE"""),0.0)</f>
        <v>0</v>
      </c>
      <c r="L278">
        <f>IFERROR(__xludf.DUMMYFUNCTION("""COMPUTED_VALUE"""),0.21)</f>
        <v>0.21</v>
      </c>
      <c r="M278">
        <f>IFERROR(__xludf.DUMMYFUNCTION("""COMPUTED_VALUE"""),4.79)</f>
        <v>4.79</v>
      </c>
      <c r="N278">
        <f>IFERROR(__xludf.DUMMYFUNCTION("""COMPUTED_VALUE"""),2.26)</f>
        <v>2.26</v>
      </c>
      <c r="O278">
        <f>IFERROR(__xludf.DUMMYFUNCTION("""COMPUTED_VALUE"""),0.16)</f>
        <v>0.16</v>
      </c>
    </row>
    <row r="279">
      <c r="A279" t="str">
        <f>IFERROR(__xludf.DUMMYFUNCTION("""COMPUTED_VALUE"""),"Hugues")</f>
        <v>Hugues</v>
      </c>
      <c r="B279" t="str">
        <f>IFERROR(__xludf.DUMMYFUNCTION("""COMPUTED_VALUE"""),"Servane Hugues")</f>
        <v>Servane Hugues</v>
      </c>
      <c r="C279">
        <f>IFERROR(__xludf.DUMMYFUNCTION("""COMPUTED_VALUE"""),3.71)</f>
        <v>3.71</v>
      </c>
      <c r="D279">
        <f>IFERROR(__xludf.DUMMYFUNCTION("""COMPUTED_VALUE"""),7.5)</f>
        <v>7.5</v>
      </c>
      <c r="E279">
        <f>IFERROR(__xludf.DUMMYFUNCTION("""COMPUTED_VALUE"""),2.5)</f>
        <v>2.5</v>
      </c>
      <c r="F279">
        <f>IFERROR(__xludf.DUMMYFUNCTION("""COMPUTED_VALUE"""),1.43)</f>
        <v>1.43</v>
      </c>
      <c r="G279">
        <f>IFERROR(__xludf.DUMMYFUNCTION("""COMPUTED_VALUE"""),0.07)</f>
        <v>0.07</v>
      </c>
      <c r="H279">
        <f>IFERROR(__xludf.DUMMYFUNCTION("""COMPUTED_VALUE"""),2.79)</f>
        <v>2.79</v>
      </c>
      <c r="I279">
        <f>IFERROR(__xludf.DUMMYFUNCTION("""COMPUTED_VALUE"""),82.36)</f>
        <v>82.36</v>
      </c>
      <c r="J279">
        <f>IFERROR(__xludf.DUMMYFUNCTION("""COMPUTED_VALUE"""),19.86)</f>
        <v>19.86</v>
      </c>
      <c r="K279">
        <f>IFERROR(__xludf.DUMMYFUNCTION("""COMPUTED_VALUE"""),0.07)</f>
        <v>0.07</v>
      </c>
      <c r="L279">
        <f>IFERROR(__xludf.DUMMYFUNCTION("""COMPUTED_VALUE"""),0.0)</f>
        <v>0</v>
      </c>
      <c r="M279">
        <f>IFERROR(__xludf.DUMMYFUNCTION("""COMPUTED_VALUE"""),2.57)</f>
        <v>2.57</v>
      </c>
      <c r="N279">
        <f>IFERROR(__xludf.DUMMYFUNCTION("""COMPUTED_VALUE"""),1.71)</f>
        <v>1.71</v>
      </c>
      <c r="O279">
        <f>IFERROR(__xludf.DUMMYFUNCTION("""COMPUTED_VALUE"""),0.21)</f>
        <v>0.21</v>
      </c>
    </row>
    <row r="280">
      <c r="A280" t="str">
        <f>IFERROR(__xludf.DUMMYFUNCTION("""COMPUTED_VALUE"""),"Iborra")</f>
        <v>Iborra</v>
      </c>
      <c r="B280" t="str">
        <f>IFERROR(__xludf.DUMMYFUNCTION("""COMPUTED_VALUE"""),"Monique Iborra")</f>
        <v>Monique Iborra</v>
      </c>
      <c r="C280">
        <f>IFERROR(__xludf.DUMMYFUNCTION("""COMPUTED_VALUE"""),3.74)</f>
        <v>3.74</v>
      </c>
      <c r="D280">
        <f>IFERROR(__xludf.DUMMYFUNCTION("""COMPUTED_VALUE"""),7.16)</f>
        <v>7.16</v>
      </c>
      <c r="E280">
        <f>IFERROR(__xludf.DUMMYFUNCTION("""COMPUTED_VALUE"""),5.37)</f>
        <v>5.37</v>
      </c>
      <c r="F280">
        <f>IFERROR(__xludf.DUMMYFUNCTION("""COMPUTED_VALUE"""),1.58)</f>
        <v>1.58</v>
      </c>
      <c r="G280">
        <f>IFERROR(__xludf.DUMMYFUNCTION("""COMPUTED_VALUE"""),0.68)</f>
        <v>0.68</v>
      </c>
      <c r="H280">
        <f>IFERROR(__xludf.DUMMYFUNCTION("""COMPUTED_VALUE"""),2.37)</f>
        <v>2.37</v>
      </c>
      <c r="I280">
        <f>IFERROR(__xludf.DUMMYFUNCTION("""COMPUTED_VALUE"""),56.21)</f>
        <v>56.21</v>
      </c>
      <c r="J280">
        <f>IFERROR(__xludf.DUMMYFUNCTION("""COMPUTED_VALUE"""),16.37)</f>
        <v>16.37</v>
      </c>
      <c r="K280">
        <f>IFERROR(__xludf.DUMMYFUNCTION("""COMPUTED_VALUE"""),0.05)</f>
        <v>0.05</v>
      </c>
      <c r="L280">
        <f>IFERROR(__xludf.DUMMYFUNCTION("""COMPUTED_VALUE"""),0.0)</f>
        <v>0</v>
      </c>
      <c r="M280">
        <f>IFERROR(__xludf.DUMMYFUNCTION("""COMPUTED_VALUE"""),2.21)</f>
        <v>2.21</v>
      </c>
      <c r="N280">
        <f>IFERROR(__xludf.DUMMYFUNCTION("""COMPUTED_VALUE"""),0.0)</f>
        <v>0</v>
      </c>
      <c r="O280">
        <f>IFERROR(__xludf.DUMMYFUNCTION("""COMPUTED_VALUE"""),0.16)</f>
        <v>0.16</v>
      </c>
    </row>
    <row r="281">
      <c r="A281" t="str">
        <f>IFERROR(__xludf.DUMMYFUNCTION("""COMPUTED_VALUE"""),"Iordanoff")</f>
        <v>Iordanoff</v>
      </c>
      <c r="B281" t="str">
        <f>IFERROR(__xludf.DUMMYFUNCTION("""COMPUTED_VALUE"""),"Jérémie Iordanoff")</f>
        <v>Jérémie Iordanoff</v>
      </c>
      <c r="C281">
        <f>IFERROR(__xludf.DUMMYFUNCTION("""COMPUTED_VALUE"""),3.95)</f>
        <v>3.95</v>
      </c>
      <c r="D281">
        <f>IFERROR(__xludf.DUMMYFUNCTION("""COMPUTED_VALUE"""),5.26)</f>
        <v>5.26</v>
      </c>
      <c r="E281">
        <f>IFERROR(__xludf.DUMMYFUNCTION("""COMPUTED_VALUE"""),9.79)</f>
        <v>9.79</v>
      </c>
      <c r="F281">
        <f>IFERROR(__xludf.DUMMYFUNCTION("""COMPUTED_VALUE"""),18.42)</f>
        <v>18.42</v>
      </c>
      <c r="G281">
        <f>IFERROR(__xludf.DUMMYFUNCTION("""COMPUTED_VALUE"""),6.47)</f>
        <v>6.47</v>
      </c>
      <c r="H281">
        <f>IFERROR(__xludf.DUMMYFUNCTION("""COMPUTED_VALUE"""),21.53)</f>
        <v>21.53</v>
      </c>
      <c r="I281">
        <f>IFERROR(__xludf.DUMMYFUNCTION("""COMPUTED_VALUE"""),533.05)</f>
        <v>533.05</v>
      </c>
      <c r="J281">
        <f>IFERROR(__xludf.DUMMYFUNCTION("""COMPUTED_VALUE"""),19.68)</f>
        <v>19.68</v>
      </c>
      <c r="K281">
        <f>IFERROR(__xludf.DUMMYFUNCTION("""COMPUTED_VALUE"""),0.11)</f>
        <v>0.11</v>
      </c>
      <c r="L281">
        <f>IFERROR(__xludf.DUMMYFUNCTION("""COMPUTED_VALUE"""),0.26)</f>
        <v>0.26</v>
      </c>
      <c r="M281">
        <f>IFERROR(__xludf.DUMMYFUNCTION("""COMPUTED_VALUE"""),3.0)</f>
        <v>3</v>
      </c>
      <c r="N281">
        <f>IFERROR(__xludf.DUMMYFUNCTION("""COMPUTED_VALUE"""),0.68)</f>
        <v>0.68</v>
      </c>
      <c r="O281">
        <f>IFERROR(__xludf.DUMMYFUNCTION("""COMPUTED_VALUE"""),0.21)</f>
        <v>0.21</v>
      </c>
    </row>
    <row r="282">
      <c r="A282" t="str">
        <f>IFERROR(__xludf.DUMMYFUNCTION("""COMPUTED_VALUE"""),"Isaac-Sibille")</f>
        <v>Isaac-Sibille</v>
      </c>
      <c r="B282" t="str">
        <f>IFERROR(__xludf.DUMMYFUNCTION("""COMPUTED_VALUE"""),"Cyrille Isaac-Sibille")</f>
        <v>Cyrille Isaac-Sibille</v>
      </c>
      <c r="C282">
        <f>IFERROR(__xludf.DUMMYFUNCTION("""COMPUTED_VALUE"""),3.63)</f>
        <v>3.63</v>
      </c>
      <c r="D282">
        <f>IFERROR(__xludf.DUMMYFUNCTION("""COMPUTED_VALUE"""),7.42)</f>
        <v>7.42</v>
      </c>
      <c r="E282">
        <f>IFERROR(__xludf.DUMMYFUNCTION("""COMPUTED_VALUE"""),14.68)</f>
        <v>14.68</v>
      </c>
      <c r="F282">
        <f>IFERROR(__xludf.DUMMYFUNCTION("""COMPUTED_VALUE"""),12.11)</f>
        <v>12.11</v>
      </c>
      <c r="G282">
        <f>IFERROR(__xludf.DUMMYFUNCTION("""COMPUTED_VALUE"""),11.37)</f>
        <v>11.37</v>
      </c>
      <c r="H282">
        <f>IFERROR(__xludf.DUMMYFUNCTION("""COMPUTED_VALUE"""),24.05)</f>
        <v>24.05</v>
      </c>
      <c r="I282">
        <f>IFERROR(__xludf.DUMMYFUNCTION("""COMPUTED_VALUE"""),85.37)</f>
        <v>85.37</v>
      </c>
      <c r="J282">
        <f>IFERROR(__xludf.DUMMYFUNCTION("""COMPUTED_VALUE"""),15.32)</f>
        <v>15.32</v>
      </c>
      <c r="K282">
        <f>IFERROR(__xludf.DUMMYFUNCTION("""COMPUTED_VALUE"""),0.58)</f>
        <v>0.58</v>
      </c>
      <c r="L282">
        <f>IFERROR(__xludf.DUMMYFUNCTION("""COMPUTED_VALUE"""),0.16)</f>
        <v>0.16</v>
      </c>
      <c r="M282">
        <f>IFERROR(__xludf.DUMMYFUNCTION("""COMPUTED_VALUE"""),0.95)</f>
        <v>0.95</v>
      </c>
      <c r="N282">
        <f>IFERROR(__xludf.DUMMYFUNCTION("""COMPUTED_VALUE"""),1.21)</f>
        <v>1.21</v>
      </c>
      <c r="O282">
        <f>IFERROR(__xludf.DUMMYFUNCTION("""COMPUTED_VALUE"""),0.16)</f>
        <v>0.16</v>
      </c>
    </row>
    <row r="283">
      <c r="A283" t="str">
        <f>IFERROR(__xludf.DUMMYFUNCTION("""COMPUTED_VALUE"""),"Izard")</f>
        <v>Izard</v>
      </c>
      <c r="B283" t="str">
        <f>IFERROR(__xludf.DUMMYFUNCTION("""COMPUTED_VALUE"""),"Alexis Izard")</f>
        <v>Alexis Izard</v>
      </c>
      <c r="C283">
        <f>IFERROR(__xludf.DUMMYFUNCTION("""COMPUTED_VALUE"""),3.74)</f>
        <v>3.74</v>
      </c>
      <c r="D283">
        <f>IFERROR(__xludf.DUMMYFUNCTION("""COMPUTED_VALUE"""),6.16)</f>
        <v>6.16</v>
      </c>
      <c r="E283">
        <f>IFERROR(__xludf.DUMMYFUNCTION("""COMPUTED_VALUE"""),3.58)</f>
        <v>3.58</v>
      </c>
      <c r="F283">
        <f>IFERROR(__xludf.DUMMYFUNCTION("""COMPUTED_VALUE"""),6.05)</f>
        <v>6.05</v>
      </c>
      <c r="G283">
        <f>IFERROR(__xludf.DUMMYFUNCTION("""COMPUTED_VALUE"""),1.58)</f>
        <v>1.58</v>
      </c>
      <c r="H283">
        <f>IFERROR(__xludf.DUMMYFUNCTION("""COMPUTED_VALUE"""),2.74)</f>
        <v>2.74</v>
      </c>
      <c r="I283">
        <f>IFERROR(__xludf.DUMMYFUNCTION("""COMPUTED_VALUE"""),63.68)</f>
        <v>63.68</v>
      </c>
      <c r="J283">
        <f>IFERROR(__xludf.DUMMYFUNCTION("""COMPUTED_VALUE"""),19.0)</f>
        <v>19</v>
      </c>
      <c r="K283">
        <f>IFERROR(__xludf.DUMMYFUNCTION("""COMPUTED_VALUE"""),0.16)</f>
        <v>0.16</v>
      </c>
      <c r="L283">
        <f>IFERROR(__xludf.DUMMYFUNCTION("""COMPUTED_VALUE"""),0.0)</f>
        <v>0</v>
      </c>
      <c r="M283">
        <f>IFERROR(__xludf.DUMMYFUNCTION("""COMPUTED_VALUE"""),2.11)</f>
        <v>2.11</v>
      </c>
      <c r="N283">
        <f>IFERROR(__xludf.DUMMYFUNCTION("""COMPUTED_VALUE"""),0.21)</f>
        <v>0.21</v>
      </c>
      <c r="O283">
        <f>IFERROR(__xludf.DUMMYFUNCTION("""COMPUTED_VALUE"""),0.16)</f>
        <v>0.16</v>
      </c>
    </row>
    <row r="284">
      <c r="A284" t="str">
        <f>IFERROR(__xludf.DUMMYFUNCTION("""COMPUTED_VALUE"""),"Jacobelli")</f>
        <v>Jacobelli</v>
      </c>
      <c r="B284" t="str">
        <f>IFERROR(__xludf.DUMMYFUNCTION("""COMPUTED_VALUE"""),"Laurent Jacobelli")</f>
        <v>Laurent Jacobelli</v>
      </c>
      <c r="C284">
        <f>IFERROR(__xludf.DUMMYFUNCTION("""COMPUTED_VALUE"""),3.68)</f>
        <v>3.68</v>
      </c>
      <c r="D284">
        <f>IFERROR(__xludf.DUMMYFUNCTION("""COMPUTED_VALUE"""),5.58)</f>
        <v>5.58</v>
      </c>
      <c r="E284">
        <f>IFERROR(__xludf.DUMMYFUNCTION("""COMPUTED_VALUE"""),10.05)</f>
        <v>10.05</v>
      </c>
      <c r="F284">
        <f>IFERROR(__xludf.DUMMYFUNCTION("""COMPUTED_VALUE"""),17.79)</f>
        <v>17.79</v>
      </c>
      <c r="G284">
        <f>IFERROR(__xludf.DUMMYFUNCTION("""COMPUTED_VALUE"""),77.05)</f>
        <v>77.05</v>
      </c>
      <c r="H284">
        <f>IFERROR(__xludf.DUMMYFUNCTION("""COMPUTED_VALUE"""),17.26)</f>
        <v>17.26</v>
      </c>
      <c r="I284">
        <f>IFERROR(__xludf.DUMMYFUNCTION("""COMPUTED_VALUE"""),441.37)</f>
        <v>441.37</v>
      </c>
      <c r="J284">
        <f>IFERROR(__xludf.DUMMYFUNCTION("""COMPUTED_VALUE"""),6.53)</f>
        <v>6.53</v>
      </c>
      <c r="K284">
        <f>IFERROR(__xludf.DUMMYFUNCTION("""COMPUTED_VALUE"""),0.05)</f>
        <v>0.05</v>
      </c>
      <c r="L284">
        <f>IFERROR(__xludf.DUMMYFUNCTION("""COMPUTED_VALUE"""),0.16)</f>
        <v>0.16</v>
      </c>
      <c r="M284">
        <f>IFERROR(__xludf.DUMMYFUNCTION("""COMPUTED_VALUE"""),5.58)</f>
        <v>5.58</v>
      </c>
      <c r="N284">
        <f>IFERROR(__xludf.DUMMYFUNCTION("""COMPUTED_VALUE"""),2.74)</f>
        <v>2.74</v>
      </c>
      <c r="O284">
        <f>IFERROR(__xludf.DUMMYFUNCTION("""COMPUTED_VALUE"""),0.32)</f>
        <v>0.32</v>
      </c>
    </row>
    <row r="285">
      <c r="A285" t="str">
        <f>IFERROR(__xludf.DUMMYFUNCTION("""COMPUTED_VALUE"""),"Jacques")</f>
        <v>Jacques</v>
      </c>
      <c r="B285" t="str">
        <f>IFERROR(__xludf.DUMMYFUNCTION("""COMPUTED_VALUE"""),"Jean-Michel Jacques")</f>
        <v>Jean-Michel Jacques</v>
      </c>
      <c r="C285">
        <f>IFERROR(__xludf.DUMMYFUNCTION("""COMPUTED_VALUE"""),3.16)</f>
        <v>3.16</v>
      </c>
      <c r="D285">
        <f>IFERROR(__xludf.DUMMYFUNCTION("""COMPUTED_VALUE"""),6.05)</f>
        <v>6.05</v>
      </c>
      <c r="E285">
        <f>IFERROR(__xludf.DUMMYFUNCTION("""COMPUTED_VALUE"""),24.68)</f>
        <v>24.68</v>
      </c>
      <c r="F285">
        <f>IFERROR(__xludf.DUMMYFUNCTION("""COMPUTED_VALUE"""),23.0)</f>
        <v>23</v>
      </c>
      <c r="G285">
        <f>IFERROR(__xludf.DUMMYFUNCTION("""COMPUTED_VALUE"""),20.68)</f>
        <v>20.68</v>
      </c>
      <c r="H285">
        <f>IFERROR(__xludf.DUMMYFUNCTION("""COMPUTED_VALUE"""),9.63)</f>
        <v>9.63</v>
      </c>
      <c r="I285">
        <f>IFERROR(__xludf.DUMMYFUNCTION("""COMPUTED_VALUE"""),52.89)</f>
        <v>52.89</v>
      </c>
      <c r="J285">
        <f>IFERROR(__xludf.DUMMYFUNCTION("""COMPUTED_VALUE"""),19.37)</f>
        <v>19.37</v>
      </c>
      <c r="K285">
        <f>IFERROR(__xludf.DUMMYFUNCTION("""COMPUTED_VALUE"""),0.26)</f>
        <v>0.26</v>
      </c>
      <c r="L285">
        <f>IFERROR(__xludf.DUMMYFUNCTION("""COMPUTED_VALUE"""),0.0)</f>
        <v>0</v>
      </c>
      <c r="M285">
        <f>IFERROR(__xludf.DUMMYFUNCTION("""COMPUTED_VALUE"""),2.05)</f>
        <v>2.05</v>
      </c>
      <c r="N285">
        <f>IFERROR(__xludf.DUMMYFUNCTION("""COMPUTED_VALUE"""),2.63)</f>
        <v>2.63</v>
      </c>
      <c r="O285">
        <f>IFERROR(__xludf.DUMMYFUNCTION("""COMPUTED_VALUE"""),0.0)</f>
        <v>0</v>
      </c>
    </row>
    <row r="286">
      <c r="A286" t="str">
        <f>IFERROR(__xludf.DUMMYFUNCTION("""COMPUTED_VALUE"""),"Jacquier-Laforge")</f>
        <v>Jacquier-Laforge</v>
      </c>
      <c r="B286" t="str">
        <f>IFERROR(__xludf.DUMMYFUNCTION("""COMPUTED_VALUE"""),"Élodie Jacquier-Laforge")</f>
        <v>Élodie Jacquier-Laforge</v>
      </c>
      <c r="C286">
        <f>IFERROR(__xludf.DUMMYFUNCTION("""COMPUTED_VALUE"""),3.79)</f>
        <v>3.79</v>
      </c>
      <c r="D286">
        <f>IFERROR(__xludf.DUMMYFUNCTION("""COMPUTED_VALUE"""),6.26)</f>
        <v>6.26</v>
      </c>
      <c r="E286">
        <f>IFERROR(__xludf.DUMMYFUNCTION("""COMPUTED_VALUE"""),8.47)</f>
        <v>8.47</v>
      </c>
      <c r="F286">
        <f>IFERROR(__xludf.DUMMYFUNCTION("""COMPUTED_VALUE"""),140.05)</f>
        <v>140.05</v>
      </c>
      <c r="G286">
        <f>IFERROR(__xludf.DUMMYFUNCTION("""COMPUTED_VALUE"""),563.32)</f>
        <v>563.32</v>
      </c>
      <c r="H286">
        <f>IFERROR(__xludf.DUMMYFUNCTION("""COMPUTED_VALUE"""),3.11)</f>
        <v>3.11</v>
      </c>
      <c r="I286">
        <f>IFERROR(__xludf.DUMMYFUNCTION("""COMPUTED_VALUE"""),68.05)</f>
        <v>68.05</v>
      </c>
      <c r="J286">
        <f>IFERROR(__xludf.DUMMYFUNCTION("""COMPUTED_VALUE"""),18.37)</f>
        <v>18.37</v>
      </c>
      <c r="K286">
        <f>IFERROR(__xludf.DUMMYFUNCTION("""COMPUTED_VALUE"""),0.11)</f>
        <v>0.11</v>
      </c>
      <c r="L286">
        <f>IFERROR(__xludf.DUMMYFUNCTION("""COMPUTED_VALUE"""),0.05)</f>
        <v>0.05</v>
      </c>
      <c r="M286">
        <f>IFERROR(__xludf.DUMMYFUNCTION("""COMPUTED_VALUE"""),0.89)</f>
        <v>0.89</v>
      </c>
      <c r="N286">
        <f>IFERROR(__xludf.DUMMYFUNCTION("""COMPUTED_VALUE"""),1.21)</f>
        <v>1.21</v>
      </c>
      <c r="O286">
        <f>IFERROR(__xludf.DUMMYFUNCTION("""COMPUTED_VALUE"""),0.21)</f>
        <v>0.21</v>
      </c>
    </row>
    <row r="287">
      <c r="A287" t="str">
        <f>IFERROR(__xludf.DUMMYFUNCTION("""COMPUTED_VALUE"""),"Janvier")</f>
        <v>Janvier</v>
      </c>
      <c r="B287" t="str">
        <f>IFERROR(__xludf.DUMMYFUNCTION("""COMPUTED_VALUE"""),"Caroline Janvier")</f>
        <v>Caroline Janvier</v>
      </c>
      <c r="C287">
        <f>IFERROR(__xludf.DUMMYFUNCTION("""COMPUTED_VALUE"""),3.74)</f>
        <v>3.74</v>
      </c>
      <c r="D287">
        <f>IFERROR(__xludf.DUMMYFUNCTION("""COMPUTED_VALUE"""),7.42)</f>
        <v>7.42</v>
      </c>
      <c r="E287">
        <f>IFERROR(__xludf.DUMMYFUNCTION("""COMPUTED_VALUE"""),12.79)</f>
        <v>12.79</v>
      </c>
      <c r="F287">
        <f>IFERROR(__xludf.DUMMYFUNCTION("""COMPUTED_VALUE"""),8.84)</f>
        <v>8.84</v>
      </c>
      <c r="G287">
        <f>IFERROR(__xludf.DUMMYFUNCTION("""COMPUTED_VALUE"""),4.0)</f>
        <v>4</v>
      </c>
      <c r="H287">
        <f>IFERROR(__xludf.DUMMYFUNCTION("""COMPUTED_VALUE"""),7.79)</f>
        <v>7.79</v>
      </c>
      <c r="I287">
        <f>IFERROR(__xludf.DUMMYFUNCTION("""COMPUTED_VALUE"""),73.37)</f>
        <v>73.37</v>
      </c>
      <c r="J287">
        <f>IFERROR(__xludf.DUMMYFUNCTION("""COMPUTED_VALUE"""),20.32)</f>
        <v>20.32</v>
      </c>
      <c r="K287">
        <f>IFERROR(__xludf.DUMMYFUNCTION("""COMPUTED_VALUE"""),0.63)</f>
        <v>0.63</v>
      </c>
      <c r="L287">
        <f>IFERROR(__xludf.DUMMYFUNCTION("""COMPUTED_VALUE"""),0.05)</f>
        <v>0.05</v>
      </c>
      <c r="M287">
        <f>IFERROR(__xludf.DUMMYFUNCTION("""COMPUTED_VALUE"""),2.21)</f>
        <v>2.21</v>
      </c>
      <c r="N287">
        <f>IFERROR(__xludf.DUMMYFUNCTION("""COMPUTED_VALUE"""),1.16)</f>
        <v>1.16</v>
      </c>
      <c r="O287">
        <f>IFERROR(__xludf.DUMMYFUNCTION("""COMPUTED_VALUE"""),0.11)</f>
        <v>0.11</v>
      </c>
    </row>
    <row r="288">
      <c r="A288" t="str">
        <f>IFERROR(__xludf.DUMMYFUNCTION("""COMPUTED_VALUE"""),"Jaouen")</f>
        <v>Jaouen</v>
      </c>
      <c r="B288" t="str">
        <f>IFERROR(__xludf.DUMMYFUNCTION("""COMPUTED_VALUE"""),"Catherine Jaouen")</f>
        <v>Catherine Jaouen</v>
      </c>
      <c r="C288">
        <f>IFERROR(__xludf.DUMMYFUNCTION("""COMPUTED_VALUE"""),3.5)</f>
        <v>3.5</v>
      </c>
      <c r="D288">
        <f>IFERROR(__xludf.DUMMYFUNCTION("""COMPUTED_VALUE"""),3.9)</f>
        <v>3.9</v>
      </c>
      <c r="E288">
        <f>IFERROR(__xludf.DUMMYFUNCTION("""COMPUTED_VALUE"""),0.9)</f>
        <v>0.9</v>
      </c>
      <c r="F288">
        <f>IFERROR(__xludf.DUMMYFUNCTION("""COMPUTED_VALUE"""),2.5)</f>
        <v>2.5</v>
      </c>
      <c r="G288">
        <f>IFERROR(__xludf.DUMMYFUNCTION("""COMPUTED_VALUE"""),0.4)</f>
        <v>0.4</v>
      </c>
      <c r="H288">
        <f>IFERROR(__xludf.DUMMYFUNCTION("""COMPUTED_VALUE"""),0.7)</f>
        <v>0.7</v>
      </c>
      <c r="I288">
        <f>IFERROR(__xludf.DUMMYFUNCTION("""COMPUTED_VALUE"""),526.5)</f>
        <v>526.5</v>
      </c>
      <c r="J288">
        <f>IFERROR(__xludf.DUMMYFUNCTION("""COMPUTED_VALUE"""),4.3)</f>
        <v>4.3</v>
      </c>
      <c r="K288">
        <f>IFERROR(__xludf.DUMMYFUNCTION("""COMPUTED_VALUE"""),0.0)</f>
        <v>0</v>
      </c>
      <c r="L288">
        <f>IFERROR(__xludf.DUMMYFUNCTION("""COMPUTED_VALUE"""),0.0)</f>
        <v>0</v>
      </c>
      <c r="M288">
        <f>IFERROR(__xludf.DUMMYFUNCTION("""COMPUTED_VALUE"""),7.2)</f>
        <v>7.2</v>
      </c>
      <c r="N288">
        <f>IFERROR(__xludf.DUMMYFUNCTION("""COMPUTED_VALUE"""),1.1)</f>
        <v>1.1</v>
      </c>
      <c r="O288">
        <f>IFERROR(__xludf.DUMMYFUNCTION("""COMPUTED_VALUE"""),0.3)</f>
        <v>0.3</v>
      </c>
    </row>
    <row r="289">
      <c r="A289" t="str">
        <f>IFERROR(__xludf.DUMMYFUNCTION("""COMPUTED_VALUE"""),"Jolivet")</f>
        <v>Jolivet</v>
      </c>
      <c r="B289" t="str">
        <f>IFERROR(__xludf.DUMMYFUNCTION("""COMPUTED_VALUE"""),"François Jolivet")</f>
        <v>François Jolivet</v>
      </c>
      <c r="C289">
        <f>IFERROR(__xludf.DUMMYFUNCTION("""COMPUTED_VALUE"""),3.84)</f>
        <v>3.84</v>
      </c>
      <c r="D289">
        <f>IFERROR(__xludf.DUMMYFUNCTION("""COMPUTED_VALUE"""),7.32)</f>
        <v>7.32</v>
      </c>
      <c r="E289">
        <f>IFERROR(__xludf.DUMMYFUNCTION("""COMPUTED_VALUE"""),10.05)</f>
        <v>10.05</v>
      </c>
      <c r="F289">
        <f>IFERROR(__xludf.DUMMYFUNCTION("""COMPUTED_VALUE"""),5.21)</f>
        <v>5.21</v>
      </c>
      <c r="G289">
        <f>IFERROR(__xludf.DUMMYFUNCTION("""COMPUTED_VALUE"""),1.26)</f>
        <v>1.26</v>
      </c>
      <c r="H289">
        <f>IFERROR(__xludf.DUMMYFUNCTION("""COMPUTED_VALUE"""),5.89)</f>
        <v>5.89</v>
      </c>
      <c r="I289">
        <f>IFERROR(__xludf.DUMMYFUNCTION("""COMPUTED_VALUE"""),58.74)</f>
        <v>58.74</v>
      </c>
      <c r="J289">
        <f>IFERROR(__xludf.DUMMYFUNCTION("""COMPUTED_VALUE"""),13.47)</f>
        <v>13.47</v>
      </c>
      <c r="K289">
        <f>IFERROR(__xludf.DUMMYFUNCTION("""COMPUTED_VALUE"""),0.16)</f>
        <v>0.16</v>
      </c>
      <c r="L289">
        <f>IFERROR(__xludf.DUMMYFUNCTION("""COMPUTED_VALUE"""),0.05)</f>
        <v>0.05</v>
      </c>
      <c r="M289">
        <f>IFERROR(__xludf.DUMMYFUNCTION("""COMPUTED_VALUE"""),1.37)</f>
        <v>1.37</v>
      </c>
      <c r="N289">
        <f>IFERROR(__xludf.DUMMYFUNCTION("""COMPUTED_VALUE"""),1.68)</f>
        <v>1.68</v>
      </c>
      <c r="O289">
        <f>IFERROR(__xludf.DUMMYFUNCTION("""COMPUTED_VALUE"""),0.21)</f>
        <v>0.21</v>
      </c>
    </row>
    <row r="290">
      <c r="A290" t="str">
        <f>IFERROR(__xludf.DUMMYFUNCTION("""COMPUTED_VALUE"""),"Jolly")</f>
        <v>Jolly</v>
      </c>
      <c r="B290" t="str">
        <f>IFERROR(__xludf.DUMMYFUNCTION("""COMPUTED_VALUE"""),"Alexis Jolly")</f>
        <v>Alexis Jolly</v>
      </c>
      <c r="C290">
        <f>IFERROR(__xludf.DUMMYFUNCTION("""COMPUTED_VALUE"""),3.58)</f>
        <v>3.58</v>
      </c>
      <c r="D290">
        <f>IFERROR(__xludf.DUMMYFUNCTION("""COMPUTED_VALUE"""),5.47)</f>
        <v>5.47</v>
      </c>
      <c r="E290">
        <f>IFERROR(__xludf.DUMMYFUNCTION("""COMPUTED_VALUE"""),3.95)</f>
        <v>3.95</v>
      </c>
      <c r="F290">
        <f>IFERROR(__xludf.DUMMYFUNCTION("""COMPUTED_VALUE"""),4.16)</f>
        <v>4.16</v>
      </c>
      <c r="G290">
        <f>IFERROR(__xludf.DUMMYFUNCTION("""COMPUTED_VALUE"""),0.32)</f>
        <v>0.32</v>
      </c>
      <c r="H290">
        <f>IFERROR(__xludf.DUMMYFUNCTION("""COMPUTED_VALUE"""),5.37)</f>
        <v>5.37</v>
      </c>
      <c r="I290">
        <f>IFERROR(__xludf.DUMMYFUNCTION("""COMPUTED_VALUE"""),449.0)</f>
        <v>449</v>
      </c>
      <c r="J290">
        <f>IFERROR(__xludf.DUMMYFUNCTION("""COMPUTED_VALUE"""),5.32)</f>
        <v>5.32</v>
      </c>
      <c r="K290">
        <f>IFERROR(__xludf.DUMMYFUNCTION("""COMPUTED_VALUE"""),0.16)</f>
        <v>0.16</v>
      </c>
      <c r="L290">
        <f>IFERROR(__xludf.DUMMYFUNCTION("""COMPUTED_VALUE"""),0.21)</f>
        <v>0.21</v>
      </c>
      <c r="M290">
        <f>IFERROR(__xludf.DUMMYFUNCTION("""COMPUTED_VALUE"""),7.58)</f>
        <v>7.58</v>
      </c>
      <c r="N290">
        <f>IFERROR(__xludf.DUMMYFUNCTION("""COMPUTED_VALUE"""),2.79)</f>
        <v>2.79</v>
      </c>
      <c r="O290">
        <f>IFERROR(__xludf.DUMMYFUNCTION("""COMPUTED_VALUE"""),0.26)</f>
        <v>0.26</v>
      </c>
    </row>
    <row r="291">
      <c r="A291" t="str">
        <f>IFERROR(__xludf.DUMMYFUNCTION("""COMPUTED_VALUE"""),"Josso")</f>
        <v>Josso</v>
      </c>
      <c r="B291" t="str">
        <f>IFERROR(__xludf.DUMMYFUNCTION("""COMPUTED_VALUE"""),"Sandrine Josso")</f>
        <v>Sandrine Josso</v>
      </c>
      <c r="C291">
        <f>IFERROR(__xludf.DUMMYFUNCTION("""COMPUTED_VALUE"""),3.11)</f>
        <v>3.11</v>
      </c>
      <c r="D291">
        <f>IFERROR(__xludf.DUMMYFUNCTION("""COMPUTED_VALUE"""),5.0)</f>
        <v>5</v>
      </c>
      <c r="E291">
        <f>IFERROR(__xludf.DUMMYFUNCTION("""COMPUTED_VALUE"""),4.0)</f>
        <v>4</v>
      </c>
      <c r="F291">
        <f>IFERROR(__xludf.DUMMYFUNCTION("""COMPUTED_VALUE"""),2.42)</f>
        <v>2.42</v>
      </c>
      <c r="G291">
        <f>IFERROR(__xludf.DUMMYFUNCTION("""COMPUTED_VALUE"""),0.37)</f>
        <v>0.37</v>
      </c>
      <c r="H291">
        <f>IFERROR(__xludf.DUMMYFUNCTION("""COMPUTED_VALUE"""),1.53)</f>
        <v>1.53</v>
      </c>
      <c r="I291">
        <f>IFERROR(__xludf.DUMMYFUNCTION("""COMPUTED_VALUE"""),83.68)</f>
        <v>83.68</v>
      </c>
      <c r="J291">
        <f>IFERROR(__xludf.DUMMYFUNCTION("""COMPUTED_VALUE"""),15.0)</f>
        <v>15</v>
      </c>
      <c r="K291">
        <f>IFERROR(__xludf.DUMMYFUNCTION("""COMPUTED_VALUE"""),0.16)</f>
        <v>0.16</v>
      </c>
      <c r="L291">
        <f>IFERROR(__xludf.DUMMYFUNCTION("""COMPUTED_VALUE"""),0.16)</f>
        <v>0.16</v>
      </c>
      <c r="M291">
        <f>IFERROR(__xludf.DUMMYFUNCTION("""COMPUTED_VALUE"""),1.53)</f>
        <v>1.53</v>
      </c>
      <c r="N291">
        <f>IFERROR(__xludf.DUMMYFUNCTION("""COMPUTED_VALUE"""),0.42)</f>
        <v>0.42</v>
      </c>
      <c r="O291">
        <f>IFERROR(__xludf.DUMMYFUNCTION("""COMPUTED_VALUE"""),0.11)</f>
        <v>0.11</v>
      </c>
    </row>
    <row r="292">
      <c r="A292" t="str">
        <f>IFERROR(__xludf.DUMMYFUNCTION("""COMPUTED_VALUE"""),"Jourdan")</f>
        <v>Jourdan</v>
      </c>
      <c r="B292" t="str">
        <f>IFERROR(__xludf.DUMMYFUNCTION("""COMPUTED_VALUE"""),"Chantal Jourdan")</f>
        <v>Chantal Jourdan</v>
      </c>
      <c r="C292">
        <f>IFERROR(__xludf.DUMMYFUNCTION("""COMPUTED_VALUE"""),3.89)</f>
        <v>3.89</v>
      </c>
      <c r="D292">
        <f>IFERROR(__xludf.DUMMYFUNCTION("""COMPUTED_VALUE"""),8.32)</f>
        <v>8.32</v>
      </c>
      <c r="E292">
        <f>IFERROR(__xludf.DUMMYFUNCTION("""COMPUTED_VALUE"""),14.26)</f>
        <v>14.26</v>
      </c>
      <c r="F292">
        <f>IFERROR(__xludf.DUMMYFUNCTION("""COMPUTED_VALUE"""),9.05)</f>
        <v>9.05</v>
      </c>
      <c r="G292">
        <f>IFERROR(__xludf.DUMMYFUNCTION("""COMPUTED_VALUE"""),0.63)</f>
        <v>0.63</v>
      </c>
      <c r="H292">
        <f>IFERROR(__xludf.DUMMYFUNCTION("""COMPUTED_VALUE"""),22.11)</f>
        <v>22.11</v>
      </c>
      <c r="I292">
        <f>IFERROR(__xludf.DUMMYFUNCTION("""COMPUTED_VALUE"""),490.74)</f>
        <v>490.74</v>
      </c>
      <c r="J292">
        <f>IFERROR(__xludf.DUMMYFUNCTION("""COMPUTED_VALUE"""),27.0)</f>
        <v>27</v>
      </c>
      <c r="K292">
        <f>IFERROR(__xludf.DUMMYFUNCTION("""COMPUTED_VALUE"""),0.05)</f>
        <v>0.05</v>
      </c>
      <c r="L292">
        <f>IFERROR(__xludf.DUMMYFUNCTION("""COMPUTED_VALUE"""),0.21)</f>
        <v>0.21</v>
      </c>
      <c r="M292">
        <f>IFERROR(__xludf.DUMMYFUNCTION("""COMPUTED_VALUE"""),4.32)</f>
        <v>4.32</v>
      </c>
      <c r="N292">
        <f>IFERROR(__xludf.DUMMYFUNCTION("""COMPUTED_VALUE"""),1.74)</f>
        <v>1.74</v>
      </c>
      <c r="O292">
        <f>IFERROR(__xludf.DUMMYFUNCTION("""COMPUTED_VALUE"""),0.47)</f>
        <v>0.47</v>
      </c>
    </row>
    <row r="293">
      <c r="A293" t="str">
        <f>IFERROR(__xludf.DUMMYFUNCTION("""COMPUTED_VALUE"""),"Julien-Laferrière")</f>
        <v>Julien-Laferrière</v>
      </c>
      <c r="B293" t="str">
        <f>IFERROR(__xludf.DUMMYFUNCTION("""COMPUTED_VALUE"""),"Hubert Julien-Laferrière")</f>
        <v>Hubert Julien-Laferrière</v>
      </c>
      <c r="C293">
        <f>IFERROR(__xludf.DUMMYFUNCTION("""COMPUTED_VALUE"""),3.05)</f>
        <v>3.05</v>
      </c>
      <c r="D293">
        <f>IFERROR(__xludf.DUMMYFUNCTION("""COMPUTED_VALUE"""),4.16)</f>
        <v>4.16</v>
      </c>
      <c r="E293">
        <f>IFERROR(__xludf.DUMMYFUNCTION("""COMPUTED_VALUE"""),2.53)</f>
        <v>2.53</v>
      </c>
      <c r="F293">
        <f>IFERROR(__xludf.DUMMYFUNCTION("""COMPUTED_VALUE"""),3.05)</f>
        <v>3.05</v>
      </c>
      <c r="G293">
        <f>IFERROR(__xludf.DUMMYFUNCTION("""COMPUTED_VALUE"""),0.68)</f>
        <v>0.68</v>
      </c>
      <c r="H293">
        <f>IFERROR(__xludf.DUMMYFUNCTION("""COMPUTED_VALUE"""),8.42)</f>
        <v>8.42</v>
      </c>
      <c r="I293">
        <f>IFERROR(__xludf.DUMMYFUNCTION("""COMPUTED_VALUE"""),441.79)</f>
        <v>441.79</v>
      </c>
      <c r="J293">
        <f>IFERROR(__xludf.DUMMYFUNCTION("""COMPUTED_VALUE"""),16.32)</f>
        <v>16.32</v>
      </c>
      <c r="K293">
        <f>IFERROR(__xludf.DUMMYFUNCTION("""COMPUTED_VALUE"""),0.05)</f>
        <v>0.05</v>
      </c>
      <c r="L293">
        <f>IFERROR(__xludf.DUMMYFUNCTION("""COMPUTED_VALUE"""),0.26)</f>
        <v>0.26</v>
      </c>
      <c r="M293">
        <f>IFERROR(__xludf.DUMMYFUNCTION("""COMPUTED_VALUE"""),3.0)</f>
        <v>3</v>
      </c>
      <c r="N293">
        <f>IFERROR(__xludf.DUMMYFUNCTION("""COMPUTED_VALUE"""),1.21)</f>
        <v>1.21</v>
      </c>
      <c r="O293">
        <f>IFERROR(__xludf.DUMMYFUNCTION("""COMPUTED_VALUE"""),0.16)</f>
        <v>0.16</v>
      </c>
    </row>
    <row r="294">
      <c r="A294" t="str">
        <f>IFERROR(__xludf.DUMMYFUNCTION("""COMPUTED_VALUE"""),"Jumel")</f>
        <v>Jumel</v>
      </c>
      <c r="B294" t="str">
        <f>IFERROR(__xludf.DUMMYFUNCTION("""COMPUTED_VALUE"""),"Sébastien Jumel")</f>
        <v>Sébastien Jumel</v>
      </c>
      <c r="C294">
        <f>IFERROR(__xludf.DUMMYFUNCTION("""COMPUTED_VALUE"""),3.79)</f>
        <v>3.79</v>
      </c>
      <c r="D294">
        <f>IFERROR(__xludf.DUMMYFUNCTION("""COMPUTED_VALUE"""),5.37)</f>
        <v>5.37</v>
      </c>
      <c r="E294">
        <f>IFERROR(__xludf.DUMMYFUNCTION("""COMPUTED_VALUE"""),19.37)</f>
        <v>19.37</v>
      </c>
      <c r="F294">
        <f>IFERROR(__xludf.DUMMYFUNCTION("""COMPUTED_VALUE"""),45.53)</f>
        <v>45.53</v>
      </c>
      <c r="G294">
        <f>IFERROR(__xludf.DUMMYFUNCTION("""COMPUTED_VALUE"""),70.63)</f>
        <v>70.63</v>
      </c>
      <c r="H294">
        <f>IFERROR(__xludf.DUMMYFUNCTION("""COMPUTED_VALUE"""),40.42)</f>
        <v>40.42</v>
      </c>
      <c r="I294">
        <f>IFERROR(__xludf.DUMMYFUNCTION("""COMPUTED_VALUE"""),221.26)</f>
        <v>221.26</v>
      </c>
      <c r="J294">
        <f>IFERROR(__xludf.DUMMYFUNCTION("""COMPUTED_VALUE"""),14.05)</f>
        <v>14.05</v>
      </c>
      <c r="K294">
        <f>IFERROR(__xludf.DUMMYFUNCTION("""COMPUTED_VALUE"""),0.21)</f>
        <v>0.21</v>
      </c>
      <c r="L294">
        <f>IFERROR(__xludf.DUMMYFUNCTION("""COMPUTED_VALUE"""),0.47)</f>
        <v>0.47</v>
      </c>
      <c r="M294">
        <f>IFERROR(__xludf.DUMMYFUNCTION("""COMPUTED_VALUE"""),4.95)</f>
        <v>4.95</v>
      </c>
      <c r="N294">
        <f>IFERROR(__xludf.DUMMYFUNCTION("""COMPUTED_VALUE"""),0.68)</f>
        <v>0.68</v>
      </c>
      <c r="O294">
        <f>IFERROR(__xludf.DUMMYFUNCTION("""COMPUTED_VALUE"""),0.63)</f>
        <v>0.63</v>
      </c>
    </row>
    <row r="295">
      <c r="A295" t="str">
        <f>IFERROR(__xludf.DUMMYFUNCTION("""COMPUTED_VALUE"""),"Juvin")</f>
        <v>Juvin</v>
      </c>
      <c r="B295" t="str">
        <f>IFERROR(__xludf.DUMMYFUNCTION("""COMPUTED_VALUE"""),"Philippe Juvin")</f>
        <v>Philippe Juvin</v>
      </c>
      <c r="C295">
        <f>IFERROR(__xludf.DUMMYFUNCTION("""COMPUTED_VALUE"""),3.79)</f>
        <v>3.79</v>
      </c>
      <c r="D295">
        <f>IFERROR(__xludf.DUMMYFUNCTION("""COMPUTED_VALUE"""),5.79)</f>
        <v>5.79</v>
      </c>
      <c r="E295">
        <f>IFERROR(__xludf.DUMMYFUNCTION("""COMPUTED_VALUE"""),18.79)</f>
        <v>18.79</v>
      </c>
      <c r="F295">
        <f>IFERROR(__xludf.DUMMYFUNCTION("""COMPUTED_VALUE"""),15.74)</f>
        <v>15.74</v>
      </c>
      <c r="G295">
        <f>IFERROR(__xludf.DUMMYFUNCTION("""COMPUTED_VALUE"""),8.68)</f>
        <v>8.68</v>
      </c>
      <c r="H295">
        <f>IFERROR(__xludf.DUMMYFUNCTION("""COMPUTED_VALUE"""),45.47)</f>
        <v>45.47</v>
      </c>
      <c r="I295">
        <f>IFERROR(__xludf.DUMMYFUNCTION("""COMPUTED_VALUE"""),160.21)</f>
        <v>160.21</v>
      </c>
      <c r="J295">
        <f>IFERROR(__xludf.DUMMYFUNCTION("""COMPUTED_VALUE"""),6.0)</f>
        <v>6</v>
      </c>
      <c r="K295">
        <f>IFERROR(__xludf.DUMMYFUNCTION("""COMPUTED_VALUE"""),0.0)</f>
        <v>0</v>
      </c>
      <c r="L295">
        <f>IFERROR(__xludf.DUMMYFUNCTION("""COMPUTED_VALUE"""),1.05)</f>
        <v>1.05</v>
      </c>
      <c r="M295">
        <f>IFERROR(__xludf.DUMMYFUNCTION("""COMPUTED_VALUE"""),10.0)</f>
        <v>10</v>
      </c>
      <c r="N295">
        <f>IFERROR(__xludf.DUMMYFUNCTION("""COMPUTED_VALUE"""),4.63)</f>
        <v>4.63</v>
      </c>
      <c r="O295">
        <f>IFERROR(__xludf.DUMMYFUNCTION("""COMPUTED_VALUE"""),0.32)</f>
        <v>0.32</v>
      </c>
    </row>
    <row r="296">
      <c r="A296" t="str">
        <f>IFERROR(__xludf.DUMMYFUNCTION("""COMPUTED_VALUE"""),"K/Bidi")</f>
        <v>K/Bidi</v>
      </c>
      <c r="B296" t="str">
        <f>IFERROR(__xludf.DUMMYFUNCTION("""COMPUTED_VALUE"""),"Emeline K/Bidi")</f>
        <v>Emeline K/Bidi</v>
      </c>
      <c r="C296">
        <f>IFERROR(__xludf.DUMMYFUNCTION("""COMPUTED_VALUE"""),2.89)</f>
        <v>2.89</v>
      </c>
      <c r="D296">
        <f>IFERROR(__xludf.DUMMYFUNCTION("""COMPUTED_VALUE"""),4.05)</f>
        <v>4.05</v>
      </c>
      <c r="E296">
        <f>IFERROR(__xludf.DUMMYFUNCTION("""COMPUTED_VALUE"""),9.0)</f>
        <v>9</v>
      </c>
      <c r="F296">
        <f>IFERROR(__xludf.DUMMYFUNCTION("""COMPUTED_VALUE"""),15.53)</f>
        <v>15.53</v>
      </c>
      <c r="G296">
        <f>IFERROR(__xludf.DUMMYFUNCTION("""COMPUTED_VALUE"""),2.95)</f>
        <v>2.95</v>
      </c>
      <c r="H296">
        <f>IFERROR(__xludf.DUMMYFUNCTION("""COMPUTED_VALUE"""),17.95)</f>
        <v>17.95</v>
      </c>
      <c r="I296">
        <f>IFERROR(__xludf.DUMMYFUNCTION("""COMPUTED_VALUE"""),219.53)</f>
        <v>219.53</v>
      </c>
      <c r="J296">
        <f>IFERROR(__xludf.DUMMYFUNCTION("""COMPUTED_VALUE"""),13.26)</f>
        <v>13.26</v>
      </c>
      <c r="K296">
        <f>IFERROR(__xludf.DUMMYFUNCTION("""COMPUTED_VALUE"""),0.05)</f>
        <v>0.05</v>
      </c>
      <c r="L296">
        <f>IFERROR(__xludf.DUMMYFUNCTION("""COMPUTED_VALUE"""),0.16)</f>
        <v>0.16</v>
      </c>
      <c r="M296">
        <f>IFERROR(__xludf.DUMMYFUNCTION("""COMPUTED_VALUE"""),4.05)</f>
        <v>4.05</v>
      </c>
      <c r="N296">
        <f>IFERROR(__xludf.DUMMYFUNCTION("""COMPUTED_VALUE"""),0.05)</f>
        <v>0.05</v>
      </c>
      <c r="O296">
        <f>IFERROR(__xludf.DUMMYFUNCTION("""COMPUTED_VALUE"""),0.47)</f>
        <v>0.47</v>
      </c>
    </row>
    <row r="297">
      <c r="A297" t="str">
        <f>IFERROR(__xludf.DUMMYFUNCTION("""COMPUTED_VALUE"""),"Kamardine")</f>
        <v>Kamardine</v>
      </c>
      <c r="B297" t="str">
        <f>IFERROR(__xludf.DUMMYFUNCTION("""COMPUTED_VALUE"""),"Mansour Kamardine")</f>
        <v>Mansour Kamardine</v>
      </c>
      <c r="C297">
        <f>IFERROR(__xludf.DUMMYFUNCTION("""COMPUTED_VALUE"""),2.11)</f>
        <v>2.11</v>
      </c>
      <c r="D297">
        <f>IFERROR(__xludf.DUMMYFUNCTION("""COMPUTED_VALUE"""),2.32)</f>
        <v>2.32</v>
      </c>
      <c r="E297">
        <f>IFERROR(__xludf.DUMMYFUNCTION("""COMPUTED_VALUE"""),10.68)</f>
        <v>10.68</v>
      </c>
      <c r="F297">
        <f>IFERROR(__xludf.DUMMYFUNCTION("""COMPUTED_VALUE"""),5.68)</f>
        <v>5.68</v>
      </c>
      <c r="G297">
        <f>IFERROR(__xludf.DUMMYFUNCTION("""COMPUTED_VALUE"""),4.53)</f>
        <v>4.53</v>
      </c>
      <c r="H297">
        <f>IFERROR(__xludf.DUMMYFUNCTION("""COMPUTED_VALUE"""),9.74)</f>
        <v>9.74</v>
      </c>
      <c r="I297">
        <f>IFERROR(__xludf.DUMMYFUNCTION("""COMPUTED_VALUE"""),357.16)</f>
        <v>357.16</v>
      </c>
      <c r="J297">
        <f>IFERROR(__xludf.DUMMYFUNCTION("""COMPUTED_VALUE"""),12.37)</f>
        <v>12.37</v>
      </c>
      <c r="K297">
        <f>IFERROR(__xludf.DUMMYFUNCTION("""COMPUTED_VALUE"""),0.16)</f>
        <v>0.16</v>
      </c>
      <c r="L297">
        <f>IFERROR(__xludf.DUMMYFUNCTION("""COMPUTED_VALUE"""),0.05)</f>
        <v>0.05</v>
      </c>
      <c r="M297">
        <f>IFERROR(__xludf.DUMMYFUNCTION("""COMPUTED_VALUE"""),6.32)</f>
        <v>6.32</v>
      </c>
      <c r="N297">
        <f>IFERROR(__xludf.DUMMYFUNCTION("""COMPUTED_VALUE"""),3.47)</f>
        <v>3.47</v>
      </c>
      <c r="O297">
        <f>IFERROR(__xludf.DUMMYFUNCTION("""COMPUTED_VALUE"""),0.21)</f>
        <v>0.21</v>
      </c>
    </row>
    <row r="298">
      <c r="A298" t="str">
        <f>IFERROR(__xludf.DUMMYFUNCTION("""COMPUTED_VALUE"""),"Karamanli")</f>
        <v>Karamanli</v>
      </c>
      <c r="B298" t="str">
        <f>IFERROR(__xludf.DUMMYFUNCTION("""COMPUTED_VALUE"""),"Marietta Karamanli")</f>
        <v>Marietta Karamanli</v>
      </c>
      <c r="C298">
        <f>IFERROR(__xludf.DUMMYFUNCTION("""COMPUTED_VALUE"""),3.47)</f>
        <v>3.47</v>
      </c>
      <c r="D298">
        <f>IFERROR(__xludf.DUMMYFUNCTION("""COMPUTED_VALUE"""),6.42)</f>
        <v>6.42</v>
      </c>
      <c r="E298">
        <f>IFERROR(__xludf.DUMMYFUNCTION("""COMPUTED_VALUE"""),8.89)</f>
        <v>8.89</v>
      </c>
      <c r="F298">
        <f>IFERROR(__xludf.DUMMYFUNCTION("""COMPUTED_VALUE"""),6.11)</f>
        <v>6.11</v>
      </c>
      <c r="G298">
        <f>IFERROR(__xludf.DUMMYFUNCTION("""COMPUTED_VALUE"""),1.0)</f>
        <v>1</v>
      </c>
      <c r="H298">
        <f>IFERROR(__xludf.DUMMYFUNCTION("""COMPUTED_VALUE"""),6.21)</f>
        <v>6.21</v>
      </c>
      <c r="I298">
        <f>IFERROR(__xludf.DUMMYFUNCTION("""COMPUTED_VALUE"""),455.58)</f>
        <v>455.58</v>
      </c>
      <c r="J298">
        <f>IFERROR(__xludf.DUMMYFUNCTION("""COMPUTED_VALUE"""),23.53)</f>
        <v>23.53</v>
      </c>
      <c r="K298">
        <f>IFERROR(__xludf.DUMMYFUNCTION("""COMPUTED_VALUE"""),0.16)</f>
        <v>0.16</v>
      </c>
      <c r="L298">
        <f>IFERROR(__xludf.DUMMYFUNCTION("""COMPUTED_VALUE"""),0.26)</f>
        <v>0.26</v>
      </c>
      <c r="M298">
        <f>IFERROR(__xludf.DUMMYFUNCTION("""COMPUTED_VALUE"""),4.05)</f>
        <v>4.05</v>
      </c>
      <c r="N298">
        <f>IFERROR(__xludf.DUMMYFUNCTION("""COMPUTED_VALUE"""),2.47)</f>
        <v>2.47</v>
      </c>
      <c r="O298">
        <f>IFERROR(__xludf.DUMMYFUNCTION("""COMPUTED_VALUE"""),0.32)</f>
        <v>0.32</v>
      </c>
    </row>
    <row r="299">
      <c r="A299" t="str">
        <f>IFERROR(__xludf.DUMMYFUNCTION("""COMPUTED_VALUE"""),"Kasbarian")</f>
        <v>Kasbarian</v>
      </c>
      <c r="B299" t="str">
        <f>IFERROR(__xludf.DUMMYFUNCTION("""COMPUTED_VALUE"""),"Guillaume Kasbarian")</f>
        <v>Guillaume Kasbarian</v>
      </c>
      <c r="C299">
        <f>IFERROR(__xludf.DUMMYFUNCTION("""COMPUTED_VALUE"""),3.88)</f>
        <v>3.88</v>
      </c>
      <c r="D299">
        <f>IFERROR(__xludf.DUMMYFUNCTION("""COMPUTED_VALUE"""),12.56)</f>
        <v>12.56</v>
      </c>
      <c r="E299">
        <f>IFERROR(__xludf.DUMMYFUNCTION("""COMPUTED_VALUE"""),55.0)</f>
        <v>55</v>
      </c>
      <c r="F299">
        <f>IFERROR(__xludf.DUMMYFUNCTION("""COMPUTED_VALUE"""),34.5)</f>
        <v>34.5</v>
      </c>
      <c r="G299">
        <f>IFERROR(__xludf.DUMMYFUNCTION("""COMPUTED_VALUE"""),58.81)</f>
        <v>58.81</v>
      </c>
      <c r="H299">
        <f>IFERROR(__xludf.DUMMYFUNCTION("""COMPUTED_VALUE"""),1.63)</f>
        <v>1.63</v>
      </c>
      <c r="I299">
        <f>IFERROR(__xludf.DUMMYFUNCTION("""COMPUTED_VALUE"""),54.81)</f>
        <v>54.81</v>
      </c>
      <c r="J299">
        <f>IFERROR(__xludf.DUMMYFUNCTION("""COMPUTED_VALUE"""),19.06)</f>
        <v>19.06</v>
      </c>
      <c r="K299">
        <f>IFERROR(__xludf.DUMMYFUNCTION("""COMPUTED_VALUE"""),0.31)</f>
        <v>0.31</v>
      </c>
      <c r="L299">
        <f>IFERROR(__xludf.DUMMYFUNCTION("""COMPUTED_VALUE"""),0.19)</f>
        <v>0.19</v>
      </c>
      <c r="M299">
        <f>IFERROR(__xludf.DUMMYFUNCTION("""COMPUTED_VALUE"""),2.19)</f>
        <v>2.19</v>
      </c>
      <c r="N299">
        <f>IFERROR(__xludf.DUMMYFUNCTION("""COMPUTED_VALUE"""),0.19)</f>
        <v>0.19</v>
      </c>
      <c r="O299">
        <f>IFERROR(__xludf.DUMMYFUNCTION("""COMPUTED_VALUE"""),0.06)</f>
        <v>0.06</v>
      </c>
    </row>
    <row r="300">
      <c r="A300" t="str">
        <f>IFERROR(__xludf.DUMMYFUNCTION("""COMPUTED_VALUE"""),"Keke")</f>
        <v>Keke</v>
      </c>
      <c r="B300" t="str">
        <f>IFERROR(__xludf.DUMMYFUNCTION("""COMPUTED_VALUE"""),"Rachel Keke")</f>
        <v>Rachel Keke</v>
      </c>
      <c r="C300">
        <f>IFERROR(__xludf.DUMMYFUNCTION("""COMPUTED_VALUE"""),3.63)</f>
        <v>3.63</v>
      </c>
      <c r="D300">
        <f>IFERROR(__xludf.DUMMYFUNCTION("""COMPUTED_VALUE"""),5.0)</f>
        <v>5</v>
      </c>
      <c r="E300">
        <f>IFERROR(__xludf.DUMMYFUNCTION("""COMPUTED_VALUE"""),2.63)</f>
        <v>2.63</v>
      </c>
      <c r="F300">
        <f>IFERROR(__xludf.DUMMYFUNCTION("""COMPUTED_VALUE"""),5.21)</f>
        <v>5.21</v>
      </c>
      <c r="G300">
        <f>IFERROR(__xludf.DUMMYFUNCTION("""COMPUTED_VALUE"""),4.16)</f>
        <v>4.16</v>
      </c>
      <c r="H300">
        <f>IFERROR(__xludf.DUMMYFUNCTION("""COMPUTED_VALUE"""),43.05)</f>
        <v>43.05</v>
      </c>
      <c r="I300">
        <f>IFERROR(__xludf.DUMMYFUNCTION("""COMPUTED_VALUE"""),888.21)</f>
        <v>888.21</v>
      </c>
      <c r="J300">
        <f>IFERROR(__xludf.DUMMYFUNCTION("""COMPUTED_VALUE"""),28.79)</f>
        <v>28.79</v>
      </c>
      <c r="K300">
        <f>IFERROR(__xludf.DUMMYFUNCTION("""COMPUTED_VALUE"""),0.0)</f>
        <v>0</v>
      </c>
      <c r="L300">
        <f>IFERROR(__xludf.DUMMYFUNCTION("""COMPUTED_VALUE"""),0.11)</f>
        <v>0.11</v>
      </c>
      <c r="M300">
        <f>IFERROR(__xludf.DUMMYFUNCTION("""COMPUTED_VALUE"""),7.05)</f>
        <v>7.05</v>
      </c>
      <c r="N300">
        <f>IFERROR(__xludf.DUMMYFUNCTION("""COMPUTED_VALUE"""),0.42)</f>
        <v>0.42</v>
      </c>
      <c r="O300">
        <f>IFERROR(__xludf.DUMMYFUNCTION("""COMPUTED_VALUE"""),0.26)</f>
        <v>0.26</v>
      </c>
    </row>
    <row r="301">
      <c r="A301" t="str">
        <f>IFERROR(__xludf.DUMMYFUNCTION("""COMPUTED_VALUE"""),"Keloua Hachi")</f>
        <v>Keloua Hachi</v>
      </c>
      <c r="B301" t="str">
        <f>IFERROR(__xludf.DUMMYFUNCTION("""COMPUTED_VALUE"""),"Fatiha Keloua Hachi")</f>
        <v>Fatiha Keloua Hachi</v>
      </c>
      <c r="C301">
        <f>IFERROR(__xludf.DUMMYFUNCTION("""COMPUTED_VALUE"""),3.89)</f>
        <v>3.89</v>
      </c>
      <c r="D301">
        <f>IFERROR(__xludf.DUMMYFUNCTION("""COMPUTED_VALUE"""),6.21)</f>
        <v>6.21</v>
      </c>
      <c r="E301">
        <f>IFERROR(__xludf.DUMMYFUNCTION("""COMPUTED_VALUE"""),12.26)</f>
        <v>12.26</v>
      </c>
      <c r="F301">
        <f>IFERROR(__xludf.DUMMYFUNCTION("""COMPUTED_VALUE"""),11.26)</f>
        <v>11.26</v>
      </c>
      <c r="G301">
        <f>IFERROR(__xludf.DUMMYFUNCTION("""COMPUTED_VALUE"""),4.05)</f>
        <v>4.05</v>
      </c>
      <c r="H301">
        <f>IFERROR(__xludf.DUMMYFUNCTION("""COMPUTED_VALUE"""),15.74)</f>
        <v>15.74</v>
      </c>
      <c r="I301">
        <f>IFERROR(__xludf.DUMMYFUNCTION("""COMPUTED_VALUE"""),442.42)</f>
        <v>442.42</v>
      </c>
      <c r="J301">
        <f>IFERROR(__xludf.DUMMYFUNCTION("""COMPUTED_VALUE"""),21.79)</f>
        <v>21.79</v>
      </c>
      <c r="K301">
        <f>IFERROR(__xludf.DUMMYFUNCTION("""COMPUTED_VALUE"""),0.11)</f>
        <v>0.11</v>
      </c>
      <c r="L301">
        <f>IFERROR(__xludf.DUMMYFUNCTION("""COMPUTED_VALUE"""),0.37)</f>
        <v>0.37</v>
      </c>
      <c r="M301">
        <f>IFERROR(__xludf.DUMMYFUNCTION("""COMPUTED_VALUE"""),5.05)</f>
        <v>5.05</v>
      </c>
      <c r="N301">
        <f>IFERROR(__xludf.DUMMYFUNCTION("""COMPUTED_VALUE"""),1.21)</f>
        <v>1.21</v>
      </c>
      <c r="O301">
        <f>IFERROR(__xludf.DUMMYFUNCTION("""COMPUTED_VALUE"""),0.32)</f>
        <v>0.32</v>
      </c>
    </row>
    <row r="302">
      <c r="A302" t="str">
        <f>IFERROR(__xludf.DUMMYFUNCTION("""COMPUTED_VALUE"""),"Kerbrat")</f>
        <v>Kerbrat</v>
      </c>
      <c r="B302" t="str">
        <f>IFERROR(__xludf.DUMMYFUNCTION("""COMPUTED_VALUE"""),"Andy Kerbrat")</f>
        <v>Andy Kerbrat</v>
      </c>
      <c r="C302">
        <f>IFERROR(__xludf.DUMMYFUNCTION("""COMPUTED_VALUE"""),3.58)</f>
        <v>3.58</v>
      </c>
      <c r="D302">
        <f>IFERROR(__xludf.DUMMYFUNCTION("""COMPUTED_VALUE"""),4.79)</f>
        <v>4.79</v>
      </c>
      <c r="E302">
        <f>IFERROR(__xludf.DUMMYFUNCTION("""COMPUTED_VALUE"""),7.42)</f>
        <v>7.42</v>
      </c>
      <c r="F302">
        <f>IFERROR(__xludf.DUMMYFUNCTION("""COMPUTED_VALUE"""),14.11)</f>
        <v>14.11</v>
      </c>
      <c r="G302">
        <f>IFERROR(__xludf.DUMMYFUNCTION("""COMPUTED_VALUE"""),8.42)</f>
        <v>8.42</v>
      </c>
      <c r="H302">
        <f>IFERROR(__xludf.DUMMYFUNCTION("""COMPUTED_VALUE"""),20.58)</f>
        <v>20.58</v>
      </c>
      <c r="I302">
        <f>IFERROR(__xludf.DUMMYFUNCTION("""COMPUTED_VALUE"""),894.42)</f>
        <v>894.42</v>
      </c>
      <c r="J302">
        <f>IFERROR(__xludf.DUMMYFUNCTION("""COMPUTED_VALUE"""),28.84)</f>
        <v>28.84</v>
      </c>
      <c r="K302">
        <f>IFERROR(__xludf.DUMMYFUNCTION("""COMPUTED_VALUE"""),0.0)</f>
        <v>0</v>
      </c>
      <c r="L302">
        <f>IFERROR(__xludf.DUMMYFUNCTION("""COMPUTED_VALUE"""),0.11)</f>
        <v>0.11</v>
      </c>
      <c r="M302">
        <f>IFERROR(__xludf.DUMMYFUNCTION("""COMPUTED_VALUE"""),7.74)</f>
        <v>7.74</v>
      </c>
      <c r="N302">
        <f>IFERROR(__xludf.DUMMYFUNCTION("""COMPUTED_VALUE"""),0.53)</f>
        <v>0.53</v>
      </c>
      <c r="O302">
        <f>IFERROR(__xludf.DUMMYFUNCTION("""COMPUTED_VALUE"""),0.21)</f>
        <v>0.21</v>
      </c>
    </row>
    <row r="303">
      <c r="A303" t="str">
        <f>IFERROR(__xludf.DUMMYFUNCTION("""COMPUTED_VALUE"""),"Kervran")</f>
        <v>Kervran</v>
      </c>
      <c r="B303" t="str">
        <f>IFERROR(__xludf.DUMMYFUNCTION("""COMPUTED_VALUE"""),"Loïc Kervran")</f>
        <v>Loïc Kervran</v>
      </c>
      <c r="C303">
        <f>IFERROR(__xludf.DUMMYFUNCTION("""COMPUTED_VALUE"""),3.68)</f>
        <v>3.68</v>
      </c>
      <c r="D303">
        <f>IFERROR(__xludf.DUMMYFUNCTION("""COMPUTED_VALUE"""),7.58)</f>
        <v>7.58</v>
      </c>
      <c r="E303">
        <f>IFERROR(__xludf.DUMMYFUNCTION("""COMPUTED_VALUE"""),4.63)</f>
        <v>4.63</v>
      </c>
      <c r="F303">
        <f>IFERROR(__xludf.DUMMYFUNCTION("""COMPUTED_VALUE"""),2.89)</f>
        <v>2.89</v>
      </c>
      <c r="G303">
        <f>IFERROR(__xludf.DUMMYFUNCTION("""COMPUTED_VALUE"""),0.32)</f>
        <v>0.32</v>
      </c>
      <c r="H303">
        <f>IFERROR(__xludf.DUMMYFUNCTION("""COMPUTED_VALUE"""),2.79)</f>
        <v>2.79</v>
      </c>
      <c r="I303">
        <f>IFERROR(__xludf.DUMMYFUNCTION("""COMPUTED_VALUE"""),54.74)</f>
        <v>54.74</v>
      </c>
      <c r="J303">
        <f>IFERROR(__xludf.DUMMYFUNCTION("""COMPUTED_VALUE"""),13.53)</f>
        <v>13.53</v>
      </c>
      <c r="K303">
        <f>IFERROR(__xludf.DUMMYFUNCTION("""COMPUTED_VALUE"""),0.0)</f>
        <v>0</v>
      </c>
      <c r="L303">
        <f>IFERROR(__xludf.DUMMYFUNCTION("""COMPUTED_VALUE"""),0.0)</f>
        <v>0</v>
      </c>
      <c r="M303">
        <f>IFERROR(__xludf.DUMMYFUNCTION("""COMPUTED_VALUE"""),1.42)</f>
        <v>1.42</v>
      </c>
      <c r="N303">
        <f>IFERROR(__xludf.DUMMYFUNCTION("""COMPUTED_VALUE"""),1.79)</f>
        <v>1.79</v>
      </c>
      <c r="O303">
        <f>IFERROR(__xludf.DUMMYFUNCTION("""COMPUTED_VALUE"""),0.26)</f>
        <v>0.26</v>
      </c>
    </row>
    <row r="304">
      <c r="A304" t="str">
        <f>IFERROR(__xludf.DUMMYFUNCTION("""COMPUTED_VALUE"""),"Khattabi")</f>
        <v>Khattabi</v>
      </c>
      <c r="B304" t="str">
        <f>IFERROR(__xludf.DUMMYFUNCTION("""COMPUTED_VALUE"""),"Fadila Khattabi")</f>
        <v>Fadila Khattabi</v>
      </c>
      <c r="C304">
        <f>IFERROR(__xludf.DUMMYFUNCTION("""COMPUTED_VALUE"""),4.09)</f>
        <v>4.09</v>
      </c>
      <c r="D304">
        <f>IFERROR(__xludf.DUMMYFUNCTION("""COMPUTED_VALUE"""),12.73)</f>
        <v>12.73</v>
      </c>
      <c r="E304">
        <f>IFERROR(__xludf.DUMMYFUNCTION("""COMPUTED_VALUE"""),49.73)</f>
        <v>49.73</v>
      </c>
      <c r="F304">
        <f>IFERROR(__xludf.DUMMYFUNCTION("""COMPUTED_VALUE"""),9.18)</f>
        <v>9.18</v>
      </c>
      <c r="G304">
        <f>IFERROR(__xludf.DUMMYFUNCTION("""COMPUTED_VALUE"""),7.18)</f>
        <v>7.18</v>
      </c>
      <c r="H304">
        <f>IFERROR(__xludf.DUMMYFUNCTION("""COMPUTED_VALUE"""),3.0)</f>
        <v>3</v>
      </c>
      <c r="I304">
        <f>IFERROR(__xludf.DUMMYFUNCTION("""COMPUTED_VALUE"""),42.73)</f>
        <v>42.73</v>
      </c>
      <c r="J304">
        <f>IFERROR(__xludf.DUMMYFUNCTION("""COMPUTED_VALUE"""),17.55)</f>
        <v>17.55</v>
      </c>
      <c r="K304">
        <f>IFERROR(__xludf.DUMMYFUNCTION("""COMPUTED_VALUE"""),0.09)</f>
        <v>0.09</v>
      </c>
      <c r="L304">
        <f>IFERROR(__xludf.DUMMYFUNCTION("""COMPUTED_VALUE"""),0.18)</f>
        <v>0.18</v>
      </c>
      <c r="M304">
        <f>IFERROR(__xludf.DUMMYFUNCTION("""COMPUTED_VALUE"""),2.91)</f>
        <v>2.91</v>
      </c>
      <c r="N304">
        <f>IFERROR(__xludf.DUMMYFUNCTION("""COMPUTED_VALUE"""),0.0)</f>
        <v>0</v>
      </c>
      <c r="O304">
        <f>IFERROR(__xludf.DUMMYFUNCTION("""COMPUTED_VALUE"""),0.18)</f>
        <v>0.18</v>
      </c>
    </row>
    <row r="305">
      <c r="A305" t="str">
        <f>IFERROR(__xludf.DUMMYFUNCTION("""COMPUTED_VALUE"""),"Klinkert")</f>
        <v>Klinkert</v>
      </c>
      <c r="B305" t="str">
        <f>IFERROR(__xludf.DUMMYFUNCTION("""COMPUTED_VALUE"""),"Brigitte Klinkert")</f>
        <v>Brigitte Klinkert</v>
      </c>
      <c r="C305">
        <f>IFERROR(__xludf.DUMMYFUNCTION("""COMPUTED_VALUE"""),3.84)</f>
        <v>3.84</v>
      </c>
      <c r="D305">
        <f>IFERROR(__xludf.DUMMYFUNCTION("""COMPUTED_VALUE"""),8.21)</f>
        <v>8.21</v>
      </c>
      <c r="E305">
        <f>IFERROR(__xludf.DUMMYFUNCTION("""COMPUTED_VALUE"""),3.16)</f>
        <v>3.16</v>
      </c>
      <c r="F305">
        <f>IFERROR(__xludf.DUMMYFUNCTION("""COMPUTED_VALUE"""),2.26)</f>
        <v>2.26</v>
      </c>
      <c r="G305">
        <f>IFERROR(__xludf.DUMMYFUNCTION("""COMPUTED_VALUE"""),0.84)</f>
        <v>0.84</v>
      </c>
      <c r="H305">
        <f>IFERROR(__xludf.DUMMYFUNCTION("""COMPUTED_VALUE"""),1.84)</f>
        <v>1.84</v>
      </c>
      <c r="I305">
        <f>IFERROR(__xludf.DUMMYFUNCTION("""COMPUTED_VALUE"""),71.84)</f>
        <v>71.84</v>
      </c>
      <c r="J305">
        <f>IFERROR(__xludf.DUMMYFUNCTION("""COMPUTED_VALUE"""),14.84)</f>
        <v>14.84</v>
      </c>
      <c r="K305">
        <f>IFERROR(__xludf.DUMMYFUNCTION("""COMPUTED_VALUE"""),0.05)</f>
        <v>0.05</v>
      </c>
      <c r="L305">
        <f>IFERROR(__xludf.DUMMYFUNCTION("""COMPUTED_VALUE"""),0.05)</f>
        <v>0.05</v>
      </c>
      <c r="M305">
        <f>IFERROR(__xludf.DUMMYFUNCTION("""COMPUTED_VALUE"""),3.0)</f>
        <v>3</v>
      </c>
      <c r="N305">
        <f>IFERROR(__xludf.DUMMYFUNCTION("""COMPUTED_VALUE"""),0.79)</f>
        <v>0.79</v>
      </c>
      <c r="O305">
        <f>IFERROR(__xludf.DUMMYFUNCTION("""COMPUTED_VALUE"""),0.21)</f>
        <v>0.21</v>
      </c>
    </row>
    <row r="306">
      <c r="A306" t="str">
        <f>IFERROR(__xludf.DUMMYFUNCTION("""COMPUTED_VALUE"""),"Kochert")</f>
        <v>Kochert</v>
      </c>
      <c r="B306" t="str">
        <f>IFERROR(__xludf.DUMMYFUNCTION("""COMPUTED_VALUE"""),"Stéphanie Kochert")</f>
        <v>Stéphanie Kochert</v>
      </c>
      <c r="C306">
        <f>IFERROR(__xludf.DUMMYFUNCTION("""COMPUTED_VALUE"""),3.58)</f>
        <v>3.58</v>
      </c>
      <c r="D306">
        <f>IFERROR(__xludf.DUMMYFUNCTION("""COMPUTED_VALUE"""),5.95)</f>
        <v>5.95</v>
      </c>
      <c r="E306">
        <f>IFERROR(__xludf.DUMMYFUNCTION("""COMPUTED_VALUE"""),2.95)</f>
        <v>2.95</v>
      </c>
      <c r="F306">
        <f>IFERROR(__xludf.DUMMYFUNCTION("""COMPUTED_VALUE"""),2.53)</f>
        <v>2.53</v>
      </c>
      <c r="G306">
        <f>IFERROR(__xludf.DUMMYFUNCTION("""COMPUTED_VALUE"""),0.42)</f>
        <v>0.42</v>
      </c>
      <c r="H306">
        <f>IFERROR(__xludf.DUMMYFUNCTION("""COMPUTED_VALUE"""),0.26)</f>
        <v>0.26</v>
      </c>
      <c r="I306">
        <f>IFERROR(__xludf.DUMMYFUNCTION("""COMPUTED_VALUE"""),56.21)</f>
        <v>56.21</v>
      </c>
      <c r="J306">
        <f>IFERROR(__xludf.DUMMYFUNCTION("""COMPUTED_VALUE"""),13.26)</f>
        <v>13.26</v>
      </c>
      <c r="K306">
        <f>IFERROR(__xludf.DUMMYFUNCTION("""COMPUTED_VALUE"""),0.11)</f>
        <v>0.11</v>
      </c>
      <c r="L306">
        <f>IFERROR(__xludf.DUMMYFUNCTION("""COMPUTED_VALUE"""),0.0)</f>
        <v>0</v>
      </c>
      <c r="M306">
        <f>IFERROR(__xludf.DUMMYFUNCTION("""COMPUTED_VALUE"""),1.84)</f>
        <v>1.84</v>
      </c>
      <c r="N306">
        <f>IFERROR(__xludf.DUMMYFUNCTION("""COMPUTED_VALUE"""),1.05)</f>
        <v>1.05</v>
      </c>
      <c r="O306">
        <f>IFERROR(__xludf.DUMMYFUNCTION("""COMPUTED_VALUE"""),0.26)</f>
        <v>0.26</v>
      </c>
    </row>
    <row r="307">
      <c r="A307" t="str">
        <f>IFERROR(__xludf.DUMMYFUNCTION("""COMPUTED_VALUE"""),"Labaronne")</f>
        <v>Labaronne</v>
      </c>
      <c r="B307" t="str">
        <f>IFERROR(__xludf.DUMMYFUNCTION("""COMPUTED_VALUE"""),"Daniel Labaronne")</f>
        <v>Daniel Labaronne</v>
      </c>
      <c r="C307">
        <f>IFERROR(__xludf.DUMMYFUNCTION("""COMPUTED_VALUE"""),3.89)</f>
        <v>3.89</v>
      </c>
      <c r="D307">
        <f>IFERROR(__xludf.DUMMYFUNCTION("""COMPUTED_VALUE"""),8.53)</f>
        <v>8.53</v>
      </c>
      <c r="E307">
        <f>IFERROR(__xludf.DUMMYFUNCTION("""COMPUTED_VALUE"""),13.68)</f>
        <v>13.68</v>
      </c>
      <c r="F307">
        <f>IFERROR(__xludf.DUMMYFUNCTION("""COMPUTED_VALUE"""),14.37)</f>
        <v>14.37</v>
      </c>
      <c r="G307">
        <f>IFERROR(__xludf.DUMMYFUNCTION("""COMPUTED_VALUE"""),9.58)</f>
        <v>9.58</v>
      </c>
      <c r="H307">
        <f>IFERROR(__xludf.DUMMYFUNCTION("""COMPUTED_VALUE"""),13.47)</f>
        <v>13.47</v>
      </c>
      <c r="I307">
        <f>IFERROR(__xludf.DUMMYFUNCTION("""COMPUTED_VALUE"""),67.26)</f>
        <v>67.26</v>
      </c>
      <c r="J307">
        <f>IFERROR(__xludf.DUMMYFUNCTION("""COMPUTED_VALUE"""),20.89)</f>
        <v>20.89</v>
      </c>
      <c r="K307">
        <f>IFERROR(__xludf.DUMMYFUNCTION("""COMPUTED_VALUE"""),0.37)</f>
        <v>0.37</v>
      </c>
      <c r="L307">
        <f>IFERROR(__xludf.DUMMYFUNCTION("""COMPUTED_VALUE"""),0.05)</f>
        <v>0.05</v>
      </c>
      <c r="M307">
        <f>IFERROR(__xludf.DUMMYFUNCTION("""COMPUTED_VALUE"""),2.11)</f>
        <v>2.11</v>
      </c>
      <c r="N307">
        <f>IFERROR(__xludf.DUMMYFUNCTION("""COMPUTED_VALUE"""),2.11)</f>
        <v>2.11</v>
      </c>
      <c r="O307">
        <f>IFERROR(__xludf.DUMMYFUNCTION("""COMPUTED_VALUE"""),0.16)</f>
        <v>0.16</v>
      </c>
    </row>
    <row r="308">
      <c r="A308" t="str">
        <f>IFERROR(__xludf.DUMMYFUNCTION("""COMPUTED_VALUE"""),"Lachaud")</f>
        <v>Lachaud</v>
      </c>
      <c r="B308" t="str">
        <f>IFERROR(__xludf.DUMMYFUNCTION("""COMPUTED_VALUE"""),"Bastien Lachaud")</f>
        <v>Bastien Lachaud</v>
      </c>
      <c r="C308">
        <f>IFERROR(__xludf.DUMMYFUNCTION("""COMPUTED_VALUE"""),3.47)</f>
        <v>3.47</v>
      </c>
      <c r="D308">
        <f>IFERROR(__xludf.DUMMYFUNCTION("""COMPUTED_VALUE"""),5.32)</f>
        <v>5.32</v>
      </c>
      <c r="E308">
        <f>IFERROR(__xludf.DUMMYFUNCTION("""COMPUTED_VALUE"""),18.68)</f>
        <v>18.68</v>
      </c>
      <c r="F308">
        <f>IFERROR(__xludf.DUMMYFUNCTION("""COMPUTED_VALUE"""),31.21)</f>
        <v>31.21</v>
      </c>
      <c r="G308">
        <f>IFERROR(__xludf.DUMMYFUNCTION("""COMPUTED_VALUE"""),21.42)</f>
        <v>21.42</v>
      </c>
      <c r="H308">
        <f>IFERROR(__xludf.DUMMYFUNCTION("""COMPUTED_VALUE"""),49.21)</f>
        <v>49.21</v>
      </c>
      <c r="I308">
        <f>IFERROR(__xludf.DUMMYFUNCTION("""COMPUTED_VALUE"""),900.26)</f>
        <v>900.26</v>
      </c>
      <c r="J308">
        <f>IFERROR(__xludf.DUMMYFUNCTION("""COMPUTED_VALUE"""),29.0)</f>
        <v>29</v>
      </c>
      <c r="K308">
        <f>IFERROR(__xludf.DUMMYFUNCTION("""COMPUTED_VALUE"""),0.21)</f>
        <v>0.21</v>
      </c>
      <c r="L308">
        <f>IFERROR(__xludf.DUMMYFUNCTION("""COMPUTED_VALUE"""),0.47)</f>
        <v>0.47</v>
      </c>
      <c r="M308">
        <f>IFERROR(__xludf.DUMMYFUNCTION("""COMPUTED_VALUE"""),7.42)</f>
        <v>7.42</v>
      </c>
      <c r="N308">
        <f>IFERROR(__xludf.DUMMYFUNCTION("""COMPUTED_VALUE"""),4.58)</f>
        <v>4.58</v>
      </c>
      <c r="O308">
        <f>IFERROR(__xludf.DUMMYFUNCTION("""COMPUTED_VALUE"""),0.32)</f>
        <v>0.32</v>
      </c>
    </row>
    <row r="309">
      <c r="A309" t="str">
        <f>IFERROR(__xludf.DUMMYFUNCTION("""COMPUTED_VALUE"""),"Lacresse")</f>
        <v>Lacresse</v>
      </c>
      <c r="B309" t="str">
        <f>IFERROR(__xludf.DUMMYFUNCTION("""COMPUTED_VALUE"""),"Emmanuel Lacresse")</f>
        <v>Emmanuel Lacresse</v>
      </c>
      <c r="C309">
        <f>IFERROR(__xludf.DUMMYFUNCTION("""COMPUTED_VALUE"""),3.89)</f>
        <v>3.89</v>
      </c>
      <c r="D309">
        <f>IFERROR(__xludf.DUMMYFUNCTION("""COMPUTED_VALUE"""),8.05)</f>
        <v>8.05</v>
      </c>
      <c r="E309">
        <f>IFERROR(__xludf.DUMMYFUNCTION("""COMPUTED_VALUE"""),7.42)</f>
        <v>7.42</v>
      </c>
      <c r="F309">
        <f>IFERROR(__xludf.DUMMYFUNCTION("""COMPUTED_VALUE"""),4.84)</f>
        <v>4.84</v>
      </c>
      <c r="G309">
        <f>IFERROR(__xludf.DUMMYFUNCTION("""COMPUTED_VALUE"""),1.84)</f>
        <v>1.84</v>
      </c>
      <c r="H309">
        <f>IFERROR(__xludf.DUMMYFUNCTION("""COMPUTED_VALUE"""),4.26)</f>
        <v>4.26</v>
      </c>
      <c r="I309">
        <f>IFERROR(__xludf.DUMMYFUNCTION("""COMPUTED_VALUE"""),59.26)</f>
        <v>59.26</v>
      </c>
      <c r="J309">
        <f>IFERROR(__xludf.DUMMYFUNCTION("""COMPUTED_VALUE"""),16.42)</f>
        <v>16.42</v>
      </c>
      <c r="K309">
        <f>IFERROR(__xludf.DUMMYFUNCTION("""COMPUTED_VALUE"""),0.21)</f>
        <v>0.21</v>
      </c>
      <c r="L309">
        <f>IFERROR(__xludf.DUMMYFUNCTION("""COMPUTED_VALUE"""),0.05)</f>
        <v>0.05</v>
      </c>
      <c r="M309">
        <f>IFERROR(__xludf.DUMMYFUNCTION("""COMPUTED_VALUE"""),1.95)</f>
        <v>1.95</v>
      </c>
      <c r="N309">
        <f>IFERROR(__xludf.DUMMYFUNCTION("""COMPUTED_VALUE"""),0.47)</f>
        <v>0.47</v>
      </c>
      <c r="O309">
        <f>IFERROR(__xludf.DUMMYFUNCTION("""COMPUTED_VALUE"""),0.37)</f>
        <v>0.37</v>
      </c>
    </row>
    <row r="310">
      <c r="A310" t="str">
        <f>IFERROR(__xludf.DUMMYFUNCTION("""COMPUTED_VALUE"""),"Laernoes")</f>
        <v>Laernoes</v>
      </c>
      <c r="B310" t="str">
        <f>IFERROR(__xludf.DUMMYFUNCTION("""COMPUTED_VALUE"""),"Julie Laernoes")</f>
        <v>Julie Laernoes</v>
      </c>
      <c r="C310">
        <f>IFERROR(__xludf.DUMMYFUNCTION("""COMPUTED_VALUE"""),3.26)</f>
        <v>3.26</v>
      </c>
      <c r="D310">
        <f>IFERROR(__xludf.DUMMYFUNCTION("""COMPUTED_VALUE"""),7.26)</f>
        <v>7.26</v>
      </c>
      <c r="E310">
        <f>IFERROR(__xludf.DUMMYFUNCTION("""COMPUTED_VALUE"""),26.47)</f>
        <v>26.47</v>
      </c>
      <c r="F310">
        <f>IFERROR(__xludf.DUMMYFUNCTION("""COMPUTED_VALUE"""),25.58)</f>
        <v>25.58</v>
      </c>
      <c r="G310">
        <f>IFERROR(__xludf.DUMMYFUNCTION("""COMPUTED_VALUE"""),29.68)</f>
        <v>29.68</v>
      </c>
      <c r="H310">
        <f>IFERROR(__xludf.DUMMYFUNCTION("""COMPUTED_VALUE"""),23.42)</f>
        <v>23.42</v>
      </c>
      <c r="I310">
        <f>IFERROR(__xludf.DUMMYFUNCTION("""COMPUTED_VALUE"""),529.32)</f>
        <v>529.32</v>
      </c>
      <c r="J310">
        <f>IFERROR(__xludf.DUMMYFUNCTION("""COMPUTED_VALUE"""),19.26)</f>
        <v>19.26</v>
      </c>
      <c r="K310">
        <f>IFERROR(__xludf.DUMMYFUNCTION("""COMPUTED_VALUE"""),0.21)</f>
        <v>0.21</v>
      </c>
      <c r="L310">
        <f>IFERROR(__xludf.DUMMYFUNCTION("""COMPUTED_VALUE"""),0.26)</f>
        <v>0.26</v>
      </c>
      <c r="M310">
        <f>IFERROR(__xludf.DUMMYFUNCTION("""COMPUTED_VALUE"""),3.42)</f>
        <v>3.42</v>
      </c>
      <c r="N310">
        <f>IFERROR(__xludf.DUMMYFUNCTION("""COMPUTED_VALUE"""),0.84)</f>
        <v>0.84</v>
      </c>
      <c r="O310">
        <f>IFERROR(__xludf.DUMMYFUNCTION("""COMPUTED_VALUE"""),0.37)</f>
        <v>0.37</v>
      </c>
    </row>
    <row r="311">
      <c r="A311" t="str">
        <f>IFERROR(__xludf.DUMMYFUNCTION("""COMPUTED_VALUE"""),"Lainé")</f>
        <v>Lainé</v>
      </c>
      <c r="B311" t="str">
        <f>IFERROR(__xludf.DUMMYFUNCTION("""COMPUTED_VALUE"""),"Fabien Lainé")</f>
        <v>Fabien Lainé</v>
      </c>
      <c r="C311">
        <f>IFERROR(__xludf.DUMMYFUNCTION("""COMPUTED_VALUE"""),3.44)</f>
        <v>3.44</v>
      </c>
      <c r="D311">
        <f>IFERROR(__xludf.DUMMYFUNCTION("""COMPUTED_VALUE"""),6.78)</f>
        <v>6.78</v>
      </c>
      <c r="E311">
        <f>IFERROR(__xludf.DUMMYFUNCTION("""COMPUTED_VALUE"""),4.78)</f>
        <v>4.78</v>
      </c>
      <c r="F311">
        <f>IFERROR(__xludf.DUMMYFUNCTION("""COMPUTED_VALUE"""),1.56)</f>
        <v>1.56</v>
      </c>
      <c r="G311">
        <f>IFERROR(__xludf.DUMMYFUNCTION("""COMPUTED_VALUE"""),0.0)</f>
        <v>0</v>
      </c>
      <c r="H311">
        <f>IFERROR(__xludf.DUMMYFUNCTION("""COMPUTED_VALUE"""),6.44)</f>
        <v>6.44</v>
      </c>
      <c r="I311">
        <f>IFERROR(__xludf.DUMMYFUNCTION("""COMPUTED_VALUE"""),103.67)</f>
        <v>103.67</v>
      </c>
      <c r="J311">
        <f>IFERROR(__xludf.DUMMYFUNCTION("""COMPUTED_VALUE"""),19.78)</f>
        <v>19.78</v>
      </c>
      <c r="K311">
        <f>IFERROR(__xludf.DUMMYFUNCTION("""COMPUTED_VALUE"""),0.0)</f>
        <v>0</v>
      </c>
      <c r="L311">
        <f>IFERROR(__xludf.DUMMYFUNCTION("""COMPUTED_VALUE"""),0.0)</f>
        <v>0</v>
      </c>
      <c r="M311">
        <f>IFERROR(__xludf.DUMMYFUNCTION("""COMPUTED_VALUE"""),0.78)</f>
        <v>0.78</v>
      </c>
      <c r="N311">
        <f>IFERROR(__xludf.DUMMYFUNCTION("""COMPUTED_VALUE"""),1.33)</f>
        <v>1.33</v>
      </c>
      <c r="O311">
        <f>IFERROR(__xludf.DUMMYFUNCTION("""COMPUTED_VALUE"""),0.11)</f>
        <v>0.11</v>
      </c>
    </row>
    <row r="312">
      <c r="A312" t="str">
        <f>IFERROR(__xludf.DUMMYFUNCTION("""COMPUTED_VALUE"""),"Laisney")</f>
        <v>Laisney</v>
      </c>
      <c r="B312" t="str">
        <f>IFERROR(__xludf.DUMMYFUNCTION("""COMPUTED_VALUE"""),"Maxime Laisney")</f>
        <v>Maxime Laisney</v>
      </c>
      <c r="C312">
        <f>IFERROR(__xludf.DUMMYFUNCTION("""COMPUTED_VALUE"""),3.95)</f>
        <v>3.95</v>
      </c>
      <c r="D312">
        <f>IFERROR(__xludf.DUMMYFUNCTION("""COMPUTED_VALUE"""),6.63)</f>
        <v>6.63</v>
      </c>
      <c r="E312">
        <f>IFERROR(__xludf.DUMMYFUNCTION("""COMPUTED_VALUE"""),11.11)</f>
        <v>11.11</v>
      </c>
      <c r="F312">
        <f>IFERROR(__xludf.DUMMYFUNCTION("""COMPUTED_VALUE"""),19.05)</f>
        <v>19.05</v>
      </c>
      <c r="G312">
        <f>IFERROR(__xludf.DUMMYFUNCTION("""COMPUTED_VALUE"""),9.58)</f>
        <v>9.58</v>
      </c>
      <c r="H312">
        <f>IFERROR(__xludf.DUMMYFUNCTION("""COMPUTED_VALUE"""),21.21)</f>
        <v>21.21</v>
      </c>
      <c r="I312">
        <f>IFERROR(__xludf.DUMMYFUNCTION("""COMPUTED_VALUE"""),889.42)</f>
        <v>889.42</v>
      </c>
      <c r="J312">
        <f>IFERROR(__xludf.DUMMYFUNCTION("""COMPUTED_VALUE"""),28.79)</f>
        <v>28.79</v>
      </c>
      <c r="K312">
        <f>IFERROR(__xludf.DUMMYFUNCTION("""COMPUTED_VALUE"""),0.05)</f>
        <v>0.05</v>
      </c>
      <c r="L312">
        <f>IFERROR(__xludf.DUMMYFUNCTION("""COMPUTED_VALUE"""),0.16)</f>
        <v>0.16</v>
      </c>
      <c r="M312">
        <f>IFERROR(__xludf.DUMMYFUNCTION("""COMPUTED_VALUE"""),8.05)</f>
        <v>8.05</v>
      </c>
      <c r="N312">
        <f>IFERROR(__xludf.DUMMYFUNCTION("""COMPUTED_VALUE"""),0.74)</f>
        <v>0.74</v>
      </c>
      <c r="O312">
        <f>IFERROR(__xludf.DUMMYFUNCTION("""COMPUTED_VALUE"""),0.21)</f>
        <v>0.21</v>
      </c>
    </row>
    <row r="313">
      <c r="A313" t="str">
        <f>IFERROR(__xludf.DUMMYFUNCTION("""COMPUTED_VALUE"""),"Lakrafi")</f>
        <v>Lakrafi</v>
      </c>
      <c r="B313" t="str">
        <f>IFERROR(__xludf.DUMMYFUNCTION("""COMPUTED_VALUE"""),"Amélia Lakrafi")</f>
        <v>Amélia Lakrafi</v>
      </c>
      <c r="C313">
        <f>IFERROR(__xludf.DUMMYFUNCTION("""COMPUTED_VALUE"""),2.84)</f>
        <v>2.84</v>
      </c>
      <c r="D313">
        <f>IFERROR(__xludf.DUMMYFUNCTION("""COMPUTED_VALUE"""),4.58)</f>
        <v>4.58</v>
      </c>
      <c r="E313">
        <f>IFERROR(__xludf.DUMMYFUNCTION("""COMPUTED_VALUE"""),3.0)</f>
        <v>3</v>
      </c>
      <c r="F313">
        <f>IFERROR(__xludf.DUMMYFUNCTION("""COMPUTED_VALUE"""),2.58)</f>
        <v>2.58</v>
      </c>
      <c r="G313">
        <f>IFERROR(__xludf.DUMMYFUNCTION("""COMPUTED_VALUE"""),2.05)</f>
        <v>2.05</v>
      </c>
      <c r="H313">
        <f>IFERROR(__xludf.DUMMYFUNCTION("""COMPUTED_VALUE"""),0.42)</f>
        <v>0.42</v>
      </c>
      <c r="I313">
        <f>IFERROR(__xludf.DUMMYFUNCTION("""COMPUTED_VALUE"""),47.47)</f>
        <v>47.47</v>
      </c>
      <c r="J313">
        <f>IFERROR(__xludf.DUMMYFUNCTION("""COMPUTED_VALUE"""),12.84)</f>
        <v>12.84</v>
      </c>
      <c r="K313">
        <f>IFERROR(__xludf.DUMMYFUNCTION("""COMPUTED_VALUE"""),0.11)</f>
        <v>0.11</v>
      </c>
      <c r="L313">
        <f>IFERROR(__xludf.DUMMYFUNCTION("""COMPUTED_VALUE"""),0.0)</f>
        <v>0</v>
      </c>
      <c r="M313">
        <f>IFERROR(__xludf.DUMMYFUNCTION("""COMPUTED_VALUE"""),2.11)</f>
        <v>2.11</v>
      </c>
      <c r="N313">
        <f>IFERROR(__xludf.DUMMYFUNCTION("""COMPUTED_VALUE"""),1.89)</f>
        <v>1.89</v>
      </c>
      <c r="O313">
        <f>IFERROR(__xludf.DUMMYFUNCTION("""COMPUTED_VALUE"""),0.16)</f>
        <v>0.16</v>
      </c>
    </row>
    <row r="314">
      <c r="A314" t="str">
        <f>IFERROR(__xludf.DUMMYFUNCTION("""COMPUTED_VALUE"""),"Lamirault")</f>
        <v>Lamirault</v>
      </c>
      <c r="B314" t="str">
        <f>IFERROR(__xludf.DUMMYFUNCTION("""COMPUTED_VALUE"""),"Luc Lamirault")</f>
        <v>Luc Lamirault</v>
      </c>
      <c r="C314">
        <f>IFERROR(__xludf.DUMMYFUNCTION("""COMPUTED_VALUE"""),3.89)</f>
        <v>3.89</v>
      </c>
      <c r="D314">
        <f>IFERROR(__xludf.DUMMYFUNCTION("""COMPUTED_VALUE"""),5.95)</f>
        <v>5.95</v>
      </c>
      <c r="E314">
        <f>IFERROR(__xludf.DUMMYFUNCTION("""COMPUTED_VALUE"""),7.53)</f>
        <v>7.53</v>
      </c>
      <c r="F314">
        <f>IFERROR(__xludf.DUMMYFUNCTION("""COMPUTED_VALUE"""),7.42)</f>
        <v>7.42</v>
      </c>
      <c r="G314">
        <f>IFERROR(__xludf.DUMMYFUNCTION("""COMPUTED_VALUE"""),2.79)</f>
        <v>2.79</v>
      </c>
      <c r="H314">
        <f>IFERROR(__xludf.DUMMYFUNCTION("""COMPUTED_VALUE"""),9.84)</f>
        <v>9.84</v>
      </c>
      <c r="I314">
        <f>IFERROR(__xludf.DUMMYFUNCTION("""COMPUTED_VALUE"""),113.53)</f>
        <v>113.53</v>
      </c>
      <c r="J314">
        <f>IFERROR(__xludf.DUMMYFUNCTION("""COMPUTED_VALUE"""),19.0)</f>
        <v>19</v>
      </c>
      <c r="K314">
        <f>IFERROR(__xludf.DUMMYFUNCTION("""COMPUTED_VALUE"""),0.21)</f>
        <v>0.21</v>
      </c>
      <c r="L314">
        <f>IFERROR(__xludf.DUMMYFUNCTION("""COMPUTED_VALUE"""),0.21)</f>
        <v>0.21</v>
      </c>
      <c r="M314">
        <f>IFERROR(__xludf.DUMMYFUNCTION("""COMPUTED_VALUE"""),3.42)</f>
        <v>3.42</v>
      </c>
      <c r="N314">
        <f>IFERROR(__xludf.DUMMYFUNCTION("""COMPUTED_VALUE"""),0.37)</f>
        <v>0.37</v>
      </c>
      <c r="O314">
        <f>IFERROR(__xludf.DUMMYFUNCTION("""COMPUTED_VALUE"""),0.05)</f>
        <v>0.05</v>
      </c>
    </row>
    <row r="315">
      <c r="A315" t="str">
        <f>IFERROR(__xludf.DUMMYFUNCTION("""COMPUTED_VALUE"""),"Lanlo")</f>
        <v>Lanlo</v>
      </c>
      <c r="B315" t="str">
        <f>IFERROR(__xludf.DUMMYFUNCTION("""COMPUTED_VALUE"""),"Virginie Lanlo")</f>
        <v>Virginie Lanlo</v>
      </c>
      <c r="C315">
        <f>IFERROR(__xludf.DUMMYFUNCTION("""COMPUTED_VALUE"""),3.78)</f>
        <v>3.78</v>
      </c>
      <c r="D315">
        <f>IFERROR(__xludf.DUMMYFUNCTION("""COMPUTED_VALUE"""),7.0)</f>
        <v>7</v>
      </c>
      <c r="E315">
        <f>IFERROR(__xludf.DUMMYFUNCTION("""COMPUTED_VALUE"""),4.78)</f>
        <v>4.78</v>
      </c>
      <c r="F315">
        <f>IFERROR(__xludf.DUMMYFUNCTION("""COMPUTED_VALUE"""),2.11)</f>
        <v>2.11</v>
      </c>
      <c r="G315">
        <f>IFERROR(__xludf.DUMMYFUNCTION("""COMPUTED_VALUE"""),0.33)</f>
        <v>0.33</v>
      </c>
      <c r="H315">
        <f>IFERROR(__xludf.DUMMYFUNCTION("""COMPUTED_VALUE"""),4.0)</f>
        <v>4</v>
      </c>
      <c r="I315">
        <f>IFERROR(__xludf.DUMMYFUNCTION("""COMPUTED_VALUE"""),67.67)</f>
        <v>67.67</v>
      </c>
      <c r="J315">
        <f>IFERROR(__xludf.DUMMYFUNCTION("""COMPUTED_VALUE"""),14.89)</f>
        <v>14.89</v>
      </c>
      <c r="K315">
        <f>IFERROR(__xludf.DUMMYFUNCTION("""COMPUTED_VALUE"""),0.22)</f>
        <v>0.22</v>
      </c>
      <c r="L315">
        <f>IFERROR(__xludf.DUMMYFUNCTION("""COMPUTED_VALUE"""),0.0)</f>
        <v>0</v>
      </c>
      <c r="M315">
        <f>IFERROR(__xludf.DUMMYFUNCTION("""COMPUTED_VALUE"""),1.89)</f>
        <v>1.89</v>
      </c>
      <c r="N315">
        <f>IFERROR(__xludf.DUMMYFUNCTION("""COMPUTED_VALUE"""),0.44)</f>
        <v>0.44</v>
      </c>
      <c r="O315">
        <f>IFERROR(__xludf.DUMMYFUNCTION("""COMPUTED_VALUE"""),0.22)</f>
        <v>0.22</v>
      </c>
    </row>
    <row r="316">
      <c r="A316" t="str">
        <f>IFERROR(__xludf.DUMMYFUNCTION("""COMPUTED_VALUE"""),"Laporte")</f>
        <v>Laporte</v>
      </c>
      <c r="B316" t="str">
        <f>IFERROR(__xludf.DUMMYFUNCTION("""COMPUTED_VALUE"""),"Hélène Laporte")</f>
        <v>Hélène Laporte</v>
      </c>
      <c r="C316">
        <f>IFERROR(__xludf.DUMMYFUNCTION("""COMPUTED_VALUE"""),3.42)</f>
        <v>3.42</v>
      </c>
      <c r="D316">
        <f>IFERROR(__xludf.DUMMYFUNCTION("""COMPUTED_VALUE"""),5.0)</f>
        <v>5</v>
      </c>
      <c r="E316">
        <f>IFERROR(__xludf.DUMMYFUNCTION("""COMPUTED_VALUE"""),1.37)</f>
        <v>1.37</v>
      </c>
      <c r="F316">
        <f>IFERROR(__xludf.DUMMYFUNCTION("""COMPUTED_VALUE"""),117.11)</f>
        <v>117.11</v>
      </c>
      <c r="G316">
        <f>IFERROR(__xludf.DUMMYFUNCTION("""COMPUTED_VALUE"""),474.79)</f>
        <v>474.79</v>
      </c>
      <c r="H316">
        <f>IFERROR(__xludf.DUMMYFUNCTION("""COMPUTED_VALUE"""),10.16)</f>
        <v>10.16</v>
      </c>
      <c r="I316">
        <f>IFERROR(__xludf.DUMMYFUNCTION("""COMPUTED_VALUE"""),460.37)</f>
        <v>460.37</v>
      </c>
      <c r="J316">
        <f>IFERROR(__xludf.DUMMYFUNCTION("""COMPUTED_VALUE"""),6.05)</f>
        <v>6.05</v>
      </c>
      <c r="K316">
        <f>IFERROR(__xludf.DUMMYFUNCTION("""COMPUTED_VALUE"""),0.11)</f>
        <v>0.11</v>
      </c>
      <c r="L316">
        <f>IFERROR(__xludf.DUMMYFUNCTION("""COMPUTED_VALUE"""),0.11)</f>
        <v>0.11</v>
      </c>
      <c r="M316">
        <f>IFERROR(__xludf.DUMMYFUNCTION("""COMPUTED_VALUE"""),5.21)</f>
        <v>5.21</v>
      </c>
      <c r="N316">
        <f>IFERROR(__xludf.DUMMYFUNCTION("""COMPUTED_VALUE"""),4.42)</f>
        <v>4.42</v>
      </c>
      <c r="O316">
        <f>IFERROR(__xludf.DUMMYFUNCTION("""COMPUTED_VALUE"""),0.26)</f>
        <v>0.26</v>
      </c>
    </row>
    <row r="317">
      <c r="A317" t="str">
        <f>IFERROR(__xludf.DUMMYFUNCTION("""COMPUTED_VALUE"""),"Laqhila")</f>
        <v>Laqhila</v>
      </c>
      <c r="B317" t="str">
        <f>IFERROR(__xludf.DUMMYFUNCTION("""COMPUTED_VALUE"""),"Mohamed Laqhila")</f>
        <v>Mohamed Laqhila</v>
      </c>
      <c r="C317">
        <f>IFERROR(__xludf.DUMMYFUNCTION("""COMPUTED_VALUE"""),3.53)</f>
        <v>3.53</v>
      </c>
      <c r="D317">
        <f>IFERROR(__xludf.DUMMYFUNCTION("""COMPUTED_VALUE"""),8.63)</f>
        <v>8.63</v>
      </c>
      <c r="E317">
        <f>IFERROR(__xludf.DUMMYFUNCTION("""COMPUTED_VALUE"""),6.68)</f>
        <v>6.68</v>
      </c>
      <c r="F317">
        <f>IFERROR(__xludf.DUMMYFUNCTION("""COMPUTED_VALUE"""),4.0)</f>
        <v>4</v>
      </c>
      <c r="G317">
        <f>IFERROR(__xludf.DUMMYFUNCTION("""COMPUTED_VALUE"""),2.74)</f>
        <v>2.74</v>
      </c>
      <c r="H317">
        <f>IFERROR(__xludf.DUMMYFUNCTION("""COMPUTED_VALUE"""),10.26)</f>
        <v>10.26</v>
      </c>
      <c r="I317">
        <f>IFERROR(__xludf.DUMMYFUNCTION("""COMPUTED_VALUE"""),74.26)</f>
        <v>74.26</v>
      </c>
      <c r="J317">
        <f>IFERROR(__xludf.DUMMYFUNCTION("""COMPUTED_VALUE"""),15.37)</f>
        <v>15.37</v>
      </c>
      <c r="K317">
        <f>IFERROR(__xludf.DUMMYFUNCTION("""COMPUTED_VALUE"""),0.16)</f>
        <v>0.16</v>
      </c>
      <c r="L317">
        <f>IFERROR(__xludf.DUMMYFUNCTION("""COMPUTED_VALUE"""),0.05)</f>
        <v>0.05</v>
      </c>
      <c r="M317">
        <f>IFERROR(__xludf.DUMMYFUNCTION("""COMPUTED_VALUE"""),1.05)</f>
        <v>1.05</v>
      </c>
      <c r="N317">
        <f>IFERROR(__xludf.DUMMYFUNCTION("""COMPUTED_VALUE"""),0.26)</f>
        <v>0.26</v>
      </c>
      <c r="O317">
        <f>IFERROR(__xludf.DUMMYFUNCTION("""COMPUTED_VALUE"""),0.26)</f>
        <v>0.26</v>
      </c>
    </row>
    <row r="318">
      <c r="A318" t="str">
        <f>IFERROR(__xludf.DUMMYFUNCTION("""COMPUTED_VALUE"""),"Larsonneur")</f>
        <v>Larsonneur</v>
      </c>
      <c r="B318" t="str">
        <f>IFERROR(__xludf.DUMMYFUNCTION("""COMPUTED_VALUE"""),"Jean-Charles Larsonneur")</f>
        <v>Jean-Charles Larsonneur</v>
      </c>
      <c r="C318">
        <f>IFERROR(__xludf.DUMMYFUNCTION("""COMPUTED_VALUE"""),3.16)</f>
        <v>3.16</v>
      </c>
      <c r="D318">
        <f>IFERROR(__xludf.DUMMYFUNCTION("""COMPUTED_VALUE"""),4.95)</f>
        <v>4.95</v>
      </c>
      <c r="E318">
        <f>IFERROR(__xludf.DUMMYFUNCTION("""COMPUTED_VALUE"""),5.74)</f>
        <v>5.74</v>
      </c>
      <c r="F318">
        <f>IFERROR(__xludf.DUMMYFUNCTION("""COMPUTED_VALUE"""),2.11)</f>
        <v>2.11</v>
      </c>
      <c r="G318">
        <f>IFERROR(__xludf.DUMMYFUNCTION("""COMPUTED_VALUE"""),3.84)</f>
        <v>3.84</v>
      </c>
      <c r="H318">
        <f>IFERROR(__xludf.DUMMYFUNCTION("""COMPUTED_VALUE"""),3.37)</f>
        <v>3.37</v>
      </c>
      <c r="I318">
        <f>IFERROR(__xludf.DUMMYFUNCTION("""COMPUTED_VALUE"""),86.79)</f>
        <v>86.79</v>
      </c>
      <c r="J318">
        <f>IFERROR(__xludf.DUMMYFUNCTION("""COMPUTED_VALUE"""),13.58)</f>
        <v>13.58</v>
      </c>
      <c r="K318">
        <f>IFERROR(__xludf.DUMMYFUNCTION("""COMPUTED_VALUE"""),0.21)</f>
        <v>0.21</v>
      </c>
      <c r="L318">
        <f>IFERROR(__xludf.DUMMYFUNCTION("""COMPUTED_VALUE"""),0.05)</f>
        <v>0.05</v>
      </c>
      <c r="M318">
        <f>IFERROR(__xludf.DUMMYFUNCTION("""COMPUTED_VALUE"""),1.58)</f>
        <v>1.58</v>
      </c>
      <c r="N318">
        <f>IFERROR(__xludf.DUMMYFUNCTION("""COMPUTED_VALUE"""),2.84)</f>
        <v>2.84</v>
      </c>
      <c r="O318">
        <f>IFERROR(__xludf.DUMMYFUNCTION("""COMPUTED_VALUE"""),0.32)</f>
        <v>0.32</v>
      </c>
    </row>
    <row r="319">
      <c r="A319" t="str">
        <f>IFERROR(__xludf.DUMMYFUNCTION("""COMPUTED_VALUE"""),"Lasserre")</f>
        <v>Lasserre</v>
      </c>
      <c r="B319" t="str">
        <f>IFERROR(__xludf.DUMMYFUNCTION("""COMPUTED_VALUE"""),"Florence Lasserre")</f>
        <v>Florence Lasserre</v>
      </c>
      <c r="C319">
        <f>IFERROR(__xludf.DUMMYFUNCTION("""COMPUTED_VALUE"""),3.47)</f>
        <v>3.47</v>
      </c>
      <c r="D319">
        <f>IFERROR(__xludf.DUMMYFUNCTION("""COMPUTED_VALUE"""),4.89)</f>
        <v>4.89</v>
      </c>
      <c r="E319">
        <f>IFERROR(__xludf.DUMMYFUNCTION("""COMPUTED_VALUE"""),1.63)</f>
        <v>1.63</v>
      </c>
      <c r="F319">
        <f>IFERROR(__xludf.DUMMYFUNCTION("""COMPUTED_VALUE"""),0.47)</f>
        <v>0.47</v>
      </c>
      <c r="G319">
        <f>IFERROR(__xludf.DUMMYFUNCTION("""COMPUTED_VALUE"""),0.37)</f>
        <v>0.37</v>
      </c>
      <c r="H319">
        <f>IFERROR(__xludf.DUMMYFUNCTION("""COMPUTED_VALUE"""),5.42)</f>
        <v>5.42</v>
      </c>
      <c r="I319">
        <f>IFERROR(__xludf.DUMMYFUNCTION("""COMPUTED_VALUE"""),72.32)</f>
        <v>72.32</v>
      </c>
      <c r="J319">
        <f>IFERROR(__xludf.DUMMYFUNCTION("""COMPUTED_VALUE"""),15.05)</f>
        <v>15.05</v>
      </c>
      <c r="K319">
        <f>IFERROR(__xludf.DUMMYFUNCTION("""COMPUTED_VALUE"""),0.0)</f>
        <v>0</v>
      </c>
      <c r="L319">
        <f>IFERROR(__xludf.DUMMYFUNCTION("""COMPUTED_VALUE"""),0.05)</f>
        <v>0.05</v>
      </c>
      <c r="M319">
        <f>IFERROR(__xludf.DUMMYFUNCTION("""COMPUTED_VALUE"""),0.68)</f>
        <v>0.68</v>
      </c>
      <c r="N319">
        <f>IFERROR(__xludf.DUMMYFUNCTION("""COMPUTED_VALUE"""),2.89)</f>
        <v>2.89</v>
      </c>
      <c r="O319">
        <f>IFERROR(__xludf.DUMMYFUNCTION("""COMPUTED_VALUE"""),0.16)</f>
        <v>0.16</v>
      </c>
    </row>
    <row r="320">
      <c r="A320" t="str">
        <f>IFERROR(__xludf.DUMMYFUNCTION("""COMPUTED_VALUE"""),"Latombe")</f>
        <v>Latombe</v>
      </c>
      <c r="B320" t="str">
        <f>IFERROR(__xludf.DUMMYFUNCTION("""COMPUTED_VALUE"""),"Philippe Latombe")</f>
        <v>Philippe Latombe</v>
      </c>
      <c r="C320">
        <f>IFERROR(__xludf.DUMMYFUNCTION("""COMPUTED_VALUE"""),3.42)</f>
        <v>3.42</v>
      </c>
      <c r="D320">
        <f>IFERROR(__xludf.DUMMYFUNCTION("""COMPUTED_VALUE"""),4.37)</f>
        <v>4.37</v>
      </c>
      <c r="E320">
        <f>IFERROR(__xludf.DUMMYFUNCTION("""COMPUTED_VALUE"""),8.95)</f>
        <v>8.95</v>
      </c>
      <c r="F320">
        <f>IFERROR(__xludf.DUMMYFUNCTION("""COMPUTED_VALUE"""),8.37)</f>
        <v>8.37</v>
      </c>
      <c r="G320">
        <f>IFERROR(__xludf.DUMMYFUNCTION("""COMPUTED_VALUE"""),1.84)</f>
        <v>1.84</v>
      </c>
      <c r="H320">
        <f>IFERROR(__xludf.DUMMYFUNCTION("""COMPUTED_VALUE"""),8.26)</f>
        <v>8.26</v>
      </c>
      <c r="I320">
        <f>IFERROR(__xludf.DUMMYFUNCTION("""COMPUTED_VALUE"""),73.53)</f>
        <v>73.53</v>
      </c>
      <c r="J320">
        <f>IFERROR(__xludf.DUMMYFUNCTION("""COMPUTED_VALUE"""),17.95)</f>
        <v>17.95</v>
      </c>
      <c r="K320">
        <f>IFERROR(__xludf.DUMMYFUNCTION("""COMPUTED_VALUE"""),0.05)</f>
        <v>0.05</v>
      </c>
      <c r="L320">
        <f>IFERROR(__xludf.DUMMYFUNCTION("""COMPUTED_VALUE"""),0.21)</f>
        <v>0.21</v>
      </c>
      <c r="M320">
        <f>IFERROR(__xludf.DUMMYFUNCTION("""COMPUTED_VALUE"""),1.0)</f>
        <v>1</v>
      </c>
      <c r="N320">
        <f>IFERROR(__xludf.DUMMYFUNCTION("""COMPUTED_VALUE"""),3.84)</f>
        <v>3.84</v>
      </c>
      <c r="O320">
        <f>IFERROR(__xludf.DUMMYFUNCTION("""COMPUTED_VALUE"""),0.11)</f>
        <v>0.11</v>
      </c>
    </row>
    <row r="321">
      <c r="A321" t="str">
        <f>IFERROR(__xludf.DUMMYFUNCTION("""COMPUTED_VALUE"""),"Lauzzana")</f>
        <v>Lauzzana</v>
      </c>
      <c r="B321" t="str">
        <f>IFERROR(__xludf.DUMMYFUNCTION("""COMPUTED_VALUE"""),"Michel Lauzzana")</f>
        <v>Michel Lauzzana</v>
      </c>
      <c r="C321">
        <f>IFERROR(__xludf.DUMMYFUNCTION("""COMPUTED_VALUE"""),3.84)</f>
        <v>3.84</v>
      </c>
      <c r="D321">
        <f>IFERROR(__xludf.DUMMYFUNCTION("""COMPUTED_VALUE"""),7.89)</f>
        <v>7.89</v>
      </c>
      <c r="E321">
        <f>IFERROR(__xludf.DUMMYFUNCTION("""COMPUTED_VALUE"""),5.05)</f>
        <v>5.05</v>
      </c>
      <c r="F321">
        <f>IFERROR(__xludf.DUMMYFUNCTION("""COMPUTED_VALUE"""),2.05)</f>
        <v>2.05</v>
      </c>
      <c r="G321">
        <f>IFERROR(__xludf.DUMMYFUNCTION("""COMPUTED_VALUE"""),2.37)</f>
        <v>2.37</v>
      </c>
      <c r="H321">
        <f>IFERROR(__xludf.DUMMYFUNCTION("""COMPUTED_VALUE"""),3.21)</f>
        <v>3.21</v>
      </c>
      <c r="I321">
        <f>IFERROR(__xludf.DUMMYFUNCTION("""COMPUTED_VALUE"""),58.63)</f>
        <v>58.63</v>
      </c>
      <c r="J321">
        <f>IFERROR(__xludf.DUMMYFUNCTION("""COMPUTED_VALUE"""),17.37)</f>
        <v>17.37</v>
      </c>
      <c r="K321">
        <f>IFERROR(__xludf.DUMMYFUNCTION("""COMPUTED_VALUE"""),0.37)</f>
        <v>0.37</v>
      </c>
      <c r="L321">
        <f>IFERROR(__xludf.DUMMYFUNCTION("""COMPUTED_VALUE"""),0.16)</f>
        <v>0.16</v>
      </c>
      <c r="M321">
        <f>IFERROR(__xludf.DUMMYFUNCTION("""COMPUTED_VALUE"""),2.53)</f>
        <v>2.53</v>
      </c>
      <c r="N321">
        <f>IFERROR(__xludf.DUMMYFUNCTION("""COMPUTED_VALUE"""),1.0)</f>
        <v>1</v>
      </c>
      <c r="O321">
        <f>IFERROR(__xludf.DUMMYFUNCTION("""COMPUTED_VALUE"""),0.16)</f>
        <v>0.16</v>
      </c>
    </row>
    <row r="322">
      <c r="A322" t="str">
        <f>IFERROR(__xludf.DUMMYFUNCTION("""COMPUTED_VALUE"""),"Lavalette")</f>
        <v>Lavalette</v>
      </c>
      <c r="B322" t="str">
        <f>IFERROR(__xludf.DUMMYFUNCTION("""COMPUTED_VALUE"""),"Laure Lavalette")</f>
        <v>Laure Lavalette</v>
      </c>
      <c r="C322">
        <f>IFERROR(__xludf.DUMMYFUNCTION("""COMPUTED_VALUE"""),3.32)</f>
        <v>3.32</v>
      </c>
      <c r="D322">
        <f>IFERROR(__xludf.DUMMYFUNCTION("""COMPUTED_VALUE"""),4.16)</f>
        <v>4.16</v>
      </c>
      <c r="E322">
        <f>IFERROR(__xludf.DUMMYFUNCTION("""COMPUTED_VALUE"""),5.0)</f>
        <v>5</v>
      </c>
      <c r="F322">
        <f>IFERROR(__xludf.DUMMYFUNCTION("""COMPUTED_VALUE"""),13.32)</f>
        <v>13.32</v>
      </c>
      <c r="G322">
        <f>IFERROR(__xludf.DUMMYFUNCTION("""COMPUTED_VALUE"""),16.89)</f>
        <v>16.89</v>
      </c>
      <c r="H322">
        <f>IFERROR(__xludf.DUMMYFUNCTION("""COMPUTED_VALUE"""),14.42)</f>
        <v>14.42</v>
      </c>
      <c r="I322">
        <f>IFERROR(__xludf.DUMMYFUNCTION("""COMPUTED_VALUE"""),499.32)</f>
        <v>499.32</v>
      </c>
      <c r="J322">
        <f>IFERROR(__xludf.DUMMYFUNCTION("""COMPUTED_VALUE"""),6.0)</f>
        <v>6</v>
      </c>
      <c r="K322">
        <f>IFERROR(__xludf.DUMMYFUNCTION("""COMPUTED_VALUE"""),0.05)</f>
        <v>0.05</v>
      </c>
      <c r="L322">
        <f>IFERROR(__xludf.DUMMYFUNCTION("""COMPUTED_VALUE"""),0.42)</f>
        <v>0.42</v>
      </c>
      <c r="M322">
        <f>IFERROR(__xludf.DUMMYFUNCTION("""COMPUTED_VALUE"""),6.89)</f>
        <v>6.89</v>
      </c>
      <c r="N322">
        <f>IFERROR(__xludf.DUMMYFUNCTION("""COMPUTED_VALUE"""),1.79)</f>
        <v>1.79</v>
      </c>
      <c r="O322">
        <f>IFERROR(__xludf.DUMMYFUNCTION("""COMPUTED_VALUE"""),0.21)</f>
        <v>0.21</v>
      </c>
    </row>
    <row r="323">
      <c r="A323" t="str">
        <f>IFERROR(__xludf.DUMMYFUNCTION("""COMPUTED_VALUE"""),"Lavergne")</f>
        <v>Lavergne</v>
      </c>
      <c r="B323" t="str">
        <f>IFERROR(__xludf.DUMMYFUNCTION("""COMPUTED_VALUE"""),"Pascal Lavergne")</f>
        <v>Pascal Lavergne</v>
      </c>
      <c r="C323">
        <f>IFERROR(__xludf.DUMMYFUNCTION("""COMPUTED_VALUE"""),3.68)</f>
        <v>3.68</v>
      </c>
      <c r="D323">
        <f>IFERROR(__xludf.DUMMYFUNCTION("""COMPUTED_VALUE"""),6.32)</f>
        <v>6.32</v>
      </c>
      <c r="E323">
        <f>IFERROR(__xludf.DUMMYFUNCTION("""COMPUTED_VALUE"""),9.21)</f>
        <v>9.21</v>
      </c>
      <c r="F323">
        <f>IFERROR(__xludf.DUMMYFUNCTION("""COMPUTED_VALUE"""),14.79)</f>
        <v>14.79</v>
      </c>
      <c r="G323">
        <f>IFERROR(__xludf.DUMMYFUNCTION("""COMPUTED_VALUE"""),9.58)</f>
        <v>9.58</v>
      </c>
      <c r="H323">
        <f>IFERROR(__xludf.DUMMYFUNCTION("""COMPUTED_VALUE"""),2.47)</f>
        <v>2.47</v>
      </c>
      <c r="I323">
        <f>IFERROR(__xludf.DUMMYFUNCTION("""COMPUTED_VALUE"""),61.84)</f>
        <v>61.84</v>
      </c>
      <c r="J323">
        <f>IFERROR(__xludf.DUMMYFUNCTION("""COMPUTED_VALUE"""),22.21)</f>
        <v>22.21</v>
      </c>
      <c r="K323">
        <f>IFERROR(__xludf.DUMMYFUNCTION("""COMPUTED_VALUE"""),0.11)</f>
        <v>0.11</v>
      </c>
      <c r="L323">
        <f>IFERROR(__xludf.DUMMYFUNCTION("""COMPUTED_VALUE"""),0.05)</f>
        <v>0.05</v>
      </c>
      <c r="M323">
        <f>IFERROR(__xludf.DUMMYFUNCTION("""COMPUTED_VALUE"""),2.37)</f>
        <v>2.37</v>
      </c>
      <c r="N323">
        <f>IFERROR(__xludf.DUMMYFUNCTION("""COMPUTED_VALUE"""),0.0)</f>
        <v>0</v>
      </c>
      <c r="O323">
        <f>IFERROR(__xludf.DUMMYFUNCTION("""COMPUTED_VALUE"""),0.11)</f>
        <v>0.11</v>
      </c>
    </row>
    <row r="324">
      <c r="A324" t="str">
        <f>IFERROR(__xludf.DUMMYFUNCTION("""COMPUTED_VALUE"""),"Le Feur")</f>
        <v>Le Feur</v>
      </c>
      <c r="B324" t="str">
        <f>IFERROR(__xludf.DUMMYFUNCTION("""COMPUTED_VALUE"""),"Sandrine Le Feur")</f>
        <v>Sandrine Le Feur</v>
      </c>
      <c r="C324">
        <f>IFERROR(__xludf.DUMMYFUNCTION("""COMPUTED_VALUE"""),3.32)</f>
        <v>3.32</v>
      </c>
      <c r="D324">
        <f>IFERROR(__xludf.DUMMYFUNCTION("""COMPUTED_VALUE"""),5.63)</f>
        <v>5.63</v>
      </c>
      <c r="E324">
        <f>IFERROR(__xludf.DUMMYFUNCTION("""COMPUTED_VALUE"""),13.63)</f>
        <v>13.63</v>
      </c>
      <c r="F324">
        <f>IFERROR(__xludf.DUMMYFUNCTION("""COMPUTED_VALUE"""),1.11)</f>
        <v>1.11</v>
      </c>
      <c r="G324">
        <f>IFERROR(__xludf.DUMMYFUNCTION("""COMPUTED_VALUE"""),0.11)</f>
        <v>0.11</v>
      </c>
      <c r="H324">
        <f>IFERROR(__xludf.DUMMYFUNCTION("""COMPUTED_VALUE"""),5.16)</f>
        <v>5.16</v>
      </c>
      <c r="I324">
        <f>IFERROR(__xludf.DUMMYFUNCTION("""COMPUTED_VALUE"""),71.37)</f>
        <v>71.37</v>
      </c>
      <c r="J324">
        <f>IFERROR(__xludf.DUMMYFUNCTION("""COMPUTED_VALUE"""),18.21)</f>
        <v>18.21</v>
      </c>
      <c r="K324">
        <f>IFERROR(__xludf.DUMMYFUNCTION("""COMPUTED_VALUE"""),0.0)</f>
        <v>0</v>
      </c>
      <c r="L324">
        <f>IFERROR(__xludf.DUMMYFUNCTION("""COMPUTED_VALUE"""),0.0)</f>
        <v>0</v>
      </c>
      <c r="M324">
        <f>IFERROR(__xludf.DUMMYFUNCTION("""COMPUTED_VALUE"""),2.63)</f>
        <v>2.63</v>
      </c>
      <c r="N324">
        <f>IFERROR(__xludf.DUMMYFUNCTION("""COMPUTED_VALUE"""),1.58)</f>
        <v>1.58</v>
      </c>
      <c r="O324">
        <f>IFERROR(__xludf.DUMMYFUNCTION("""COMPUTED_VALUE"""),0.16)</f>
        <v>0.16</v>
      </c>
    </row>
    <row r="325">
      <c r="A325" t="str">
        <f>IFERROR(__xludf.DUMMYFUNCTION("""COMPUTED_VALUE"""),"Le Fur")</f>
        <v>Le Fur</v>
      </c>
      <c r="B325" t="str">
        <f>IFERROR(__xludf.DUMMYFUNCTION("""COMPUTED_VALUE"""),"Marc Le Fur")</f>
        <v>Marc Le Fur</v>
      </c>
      <c r="C325">
        <f>IFERROR(__xludf.DUMMYFUNCTION("""COMPUTED_VALUE"""),3.37)</f>
        <v>3.37</v>
      </c>
      <c r="D325">
        <f>IFERROR(__xludf.DUMMYFUNCTION("""COMPUTED_VALUE"""),5.32)</f>
        <v>5.32</v>
      </c>
      <c r="E325">
        <f>IFERROR(__xludf.DUMMYFUNCTION("""COMPUTED_VALUE"""),7.58)</f>
        <v>7.58</v>
      </c>
      <c r="F325">
        <f>IFERROR(__xludf.DUMMYFUNCTION("""COMPUTED_VALUE"""),28.26)</f>
        <v>28.26</v>
      </c>
      <c r="G325">
        <f>IFERROR(__xludf.DUMMYFUNCTION("""COMPUTED_VALUE"""),32.11)</f>
        <v>32.11</v>
      </c>
      <c r="H325">
        <f>IFERROR(__xludf.DUMMYFUNCTION("""COMPUTED_VALUE"""),47.37)</f>
        <v>47.37</v>
      </c>
      <c r="I325">
        <f>IFERROR(__xludf.DUMMYFUNCTION("""COMPUTED_VALUE"""),178.53)</f>
        <v>178.53</v>
      </c>
      <c r="J325">
        <f>IFERROR(__xludf.DUMMYFUNCTION("""COMPUTED_VALUE"""),6.63)</f>
        <v>6.63</v>
      </c>
      <c r="K325">
        <f>IFERROR(__xludf.DUMMYFUNCTION("""COMPUTED_VALUE"""),0.21)</f>
        <v>0.21</v>
      </c>
      <c r="L325">
        <f>IFERROR(__xludf.DUMMYFUNCTION("""COMPUTED_VALUE"""),0.42)</f>
        <v>0.42</v>
      </c>
      <c r="M325">
        <f>IFERROR(__xludf.DUMMYFUNCTION("""COMPUTED_VALUE"""),6.74)</f>
        <v>6.74</v>
      </c>
      <c r="N325">
        <f>IFERROR(__xludf.DUMMYFUNCTION("""COMPUTED_VALUE"""),4.68)</f>
        <v>4.68</v>
      </c>
      <c r="O325">
        <f>IFERROR(__xludf.DUMMYFUNCTION("""COMPUTED_VALUE"""),0.16)</f>
        <v>0.16</v>
      </c>
    </row>
    <row r="326">
      <c r="A326" t="str">
        <f>IFERROR(__xludf.DUMMYFUNCTION("""COMPUTED_VALUE"""),"Le Gac")</f>
        <v>Le Gac</v>
      </c>
      <c r="B326" t="str">
        <f>IFERROR(__xludf.DUMMYFUNCTION("""COMPUTED_VALUE"""),"Didier Le Gac")</f>
        <v>Didier Le Gac</v>
      </c>
      <c r="C326">
        <f>IFERROR(__xludf.DUMMYFUNCTION("""COMPUTED_VALUE"""),3.58)</f>
        <v>3.58</v>
      </c>
      <c r="D326">
        <f>IFERROR(__xludf.DUMMYFUNCTION("""COMPUTED_VALUE"""),8.74)</f>
        <v>8.74</v>
      </c>
      <c r="E326">
        <f>IFERROR(__xludf.DUMMYFUNCTION("""COMPUTED_VALUE"""),13.26)</f>
        <v>13.26</v>
      </c>
      <c r="F326">
        <f>IFERROR(__xludf.DUMMYFUNCTION("""COMPUTED_VALUE"""),7.05)</f>
        <v>7.05</v>
      </c>
      <c r="G326">
        <f>IFERROR(__xludf.DUMMYFUNCTION("""COMPUTED_VALUE"""),2.58)</f>
        <v>2.58</v>
      </c>
      <c r="H326">
        <f>IFERROR(__xludf.DUMMYFUNCTION("""COMPUTED_VALUE"""),8.68)</f>
        <v>8.68</v>
      </c>
      <c r="I326">
        <f>IFERROR(__xludf.DUMMYFUNCTION("""COMPUTED_VALUE"""),71.68)</f>
        <v>71.68</v>
      </c>
      <c r="J326">
        <f>IFERROR(__xludf.DUMMYFUNCTION("""COMPUTED_VALUE"""),18.89)</f>
        <v>18.89</v>
      </c>
      <c r="K326">
        <f>IFERROR(__xludf.DUMMYFUNCTION("""COMPUTED_VALUE"""),0.21)</f>
        <v>0.21</v>
      </c>
      <c r="L326">
        <f>IFERROR(__xludf.DUMMYFUNCTION("""COMPUTED_VALUE"""),0.05)</f>
        <v>0.05</v>
      </c>
      <c r="M326">
        <f>IFERROR(__xludf.DUMMYFUNCTION("""COMPUTED_VALUE"""),2.42)</f>
        <v>2.42</v>
      </c>
      <c r="N326">
        <f>IFERROR(__xludf.DUMMYFUNCTION("""COMPUTED_VALUE"""),5.42)</f>
        <v>5.42</v>
      </c>
      <c r="O326">
        <f>IFERROR(__xludf.DUMMYFUNCTION("""COMPUTED_VALUE"""),0.32)</f>
        <v>0.32</v>
      </c>
    </row>
    <row r="327">
      <c r="A327" t="str">
        <f>IFERROR(__xludf.DUMMYFUNCTION("""COMPUTED_VALUE"""),"Le Gall")</f>
        <v>Le Gall</v>
      </c>
      <c r="B327" t="str">
        <f>IFERROR(__xludf.DUMMYFUNCTION("""COMPUTED_VALUE"""),"Arnaud Le Gall")</f>
        <v>Arnaud Le Gall</v>
      </c>
      <c r="C327">
        <f>IFERROR(__xludf.DUMMYFUNCTION("""COMPUTED_VALUE"""),3.79)</f>
        <v>3.79</v>
      </c>
      <c r="D327">
        <f>IFERROR(__xludf.DUMMYFUNCTION("""COMPUTED_VALUE"""),5.21)</f>
        <v>5.21</v>
      </c>
      <c r="E327">
        <f>IFERROR(__xludf.DUMMYFUNCTION("""COMPUTED_VALUE"""),4.0)</f>
        <v>4</v>
      </c>
      <c r="F327">
        <f>IFERROR(__xludf.DUMMYFUNCTION("""COMPUTED_VALUE"""),10.47)</f>
        <v>10.47</v>
      </c>
      <c r="G327">
        <f>IFERROR(__xludf.DUMMYFUNCTION("""COMPUTED_VALUE"""),13.74)</f>
        <v>13.74</v>
      </c>
      <c r="H327">
        <f>IFERROR(__xludf.DUMMYFUNCTION("""COMPUTED_VALUE"""),10.37)</f>
        <v>10.37</v>
      </c>
      <c r="I327">
        <f>IFERROR(__xludf.DUMMYFUNCTION("""COMPUTED_VALUE"""),889.37)</f>
        <v>889.37</v>
      </c>
      <c r="J327">
        <f>IFERROR(__xludf.DUMMYFUNCTION("""COMPUTED_VALUE"""),28.74)</f>
        <v>28.74</v>
      </c>
      <c r="K327">
        <f>IFERROR(__xludf.DUMMYFUNCTION("""COMPUTED_VALUE"""),0.11)</f>
        <v>0.11</v>
      </c>
      <c r="L327">
        <f>IFERROR(__xludf.DUMMYFUNCTION("""COMPUTED_VALUE"""),0.21)</f>
        <v>0.21</v>
      </c>
      <c r="M327">
        <f>IFERROR(__xludf.DUMMYFUNCTION("""COMPUTED_VALUE"""),7.53)</f>
        <v>7.53</v>
      </c>
      <c r="N327">
        <f>IFERROR(__xludf.DUMMYFUNCTION("""COMPUTED_VALUE"""),1.11)</f>
        <v>1.11</v>
      </c>
      <c r="O327">
        <f>IFERROR(__xludf.DUMMYFUNCTION("""COMPUTED_VALUE"""),0.26)</f>
        <v>0.26</v>
      </c>
    </row>
    <row r="328">
      <c r="A328" t="str">
        <f>IFERROR(__xludf.DUMMYFUNCTION("""COMPUTED_VALUE"""),"Le Gayic")</f>
        <v>Le Gayic</v>
      </c>
      <c r="B328" t="str">
        <f>IFERROR(__xludf.DUMMYFUNCTION("""COMPUTED_VALUE"""),"Tematai Le Gayic")</f>
        <v>Tematai Le Gayic</v>
      </c>
      <c r="C328">
        <f>IFERROR(__xludf.DUMMYFUNCTION("""COMPUTED_VALUE"""),2.11)</f>
        <v>2.11</v>
      </c>
      <c r="D328">
        <f>IFERROR(__xludf.DUMMYFUNCTION("""COMPUTED_VALUE"""),1.21)</f>
        <v>1.21</v>
      </c>
      <c r="E328">
        <f>IFERROR(__xludf.DUMMYFUNCTION("""COMPUTED_VALUE"""),3.74)</f>
        <v>3.74</v>
      </c>
      <c r="F328">
        <f>IFERROR(__xludf.DUMMYFUNCTION("""COMPUTED_VALUE"""),5.58)</f>
        <v>5.58</v>
      </c>
      <c r="G328">
        <f>IFERROR(__xludf.DUMMYFUNCTION("""COMPUTED_VALUE"""),1.58)</f>
        <v>1.58</v>
      </c>
      <c r="H328">
        <f>IFERROR(__xludf.DUMMYFUNCTION("""COMPUTED_VALUE"""),9.16)</f>
        <v>9.16</v>
      </c>
      <c r="I328">
        <f>IFERROR(__xludf.DUMMYFUNCTION("""COMPUTED_VALUE"""),215.0)</f>
        <v>215</v>
      </c>
      <c r="J328">
        <f>IFERROR(__xludf.DUMMYFUNCTION("""COMPUTED_VALUE"""),13.21)</f>
        <v>13.21</v>
      </c>
      <c r="K328">
        <f>IFERROR(__xludf.DUMMYFUNCTION("""COMPUTED_VALUE"""),0.05)</f>
        <v>0.05</v>
      </c>
      <c r="L328">
        <f>IFERROR(__xludf.DUMMYFUNCTION("""COMPUTED_VALUE"""),0.21)</f>
        <v>0.21</v>
      </c>
      <c r="M328">
        <f>IFERROR(__xludf.DUMMYFUNCTION("""COMPUTED_VALUE"""),5.37)</f>
        <v>5.37</v>
      </c>
      <c r="N328">
        <f>IFERROR(__xludf.DUMMYFUNCTION("""COMPUTED_VALUE"""),1.0)</f>
        <v>1</v>
      </c>
      <c r="O328">
        <f>IFERROR(__xludf.DUMMYFUNCTION("""COMPUTED_VALUE"""),0.16)</f>
        <v>0.16</v>
      </c>
    </row>
    <row r="329">
      <c r="A329" t="str">
        <f>IFERROR(__xludf.DUMMYFUNCTION("""COMPUTED_VALUE"""),"Le Gendre")</f>
        <v>Le Gendre</v>
      </c>
      <c r="B329" t="str">
        <f>IFERROR(__xludf.DUMMYFUNCTION("""COMPUTED_VALUE"""),"Gilles Le Gendre")</f>
        <v>Gilles Le Gendre</v>
      </c>
      <c r="C329">
        <f>IFERROR(__xludf.DUMMYFUNCTION("""COMPUTED_VALUE"""),4.21)</f>
        <v>4.21</v>
      </c>
      <c r="D329">
        <f>IFERROR(__xludf.DUMMYFUNCTION("""COMPUTED_VALUE"""),8.53)</f>
        <v>8.53</v>
      </c>
      <c r="E329">
        <f>IFERROR(__xludf.DUMMYFUNCTION("""COMPUTED_VALUE"""),2.89)</f>
        <v>2.89</v>
      </c>
      <c r="F329">
        <f>IFERROR(__xludf.DUMMYFUNCTION("""COMPUTED_VALUE"""),3.89)</f>
        <v>3.89</v>
      </c>
      <c r="G329">
        <f>IFERROR(__xludf.DUMMYFUNCTION("""COMPUTED_VALUE"""),2.26)</f>
        <v>2.26</v>
      </c>
      <c r="H329">
        <f>IFERROR(__xludf.DUMMYFUNCTION("""COMPUTED_VALUE"""),1.53)</f>
        <v>1.53</v>
      </c>
      <c r="I329">
        <f>IFERROR(__xludf.DUMMYFUNCTION("""COMPUTED_VALUE"""),56.0)</f>
        <v>56</v>
      </c>
      <c r="J329">
        <f>IFERROR(__xludf.DUMMYFUNCTION("""COMPUTED_VALUE"""),18.53)</f>
        <v>18.53</v>
      </c>
      <c r="K329">
        <f>IFERROR(__xludf.DUMMYFUNCTION("""COMPUTED_VALUE"""),0.0)</f>
        <v>0</v>
      </c>
      <c r="L329">
        <f>IFERROR(__xludf.DUMMYFUNCTION("""COMPUTED_VALUE"""),0.05)</f>
        <v>0.05</v>
      </c>
      <c r="M329">
        <f>IFERROR(__xludf.DUMMYFUNCTION("""COMPUTED_VALUE"""),2.21)</f>
        <v>2.21</v>
      </c>
      <c r="N329">
        <f>IFERROR(__xludf.DUMMYFUNCTION("""COMPUTED_VALUE"""),0.11)</f>
        <v>0.11</v>
      </c>
      <c r="O329">
        <f>IFERROR(__xludf.DUMMYFUNCTION("""COMPUTED_VALUE"""),0.05)</f>
        <v>0.05</v>
      </c>
    </row>
    <row r="330">
      <c r="A330" t="str">
        <f>IFERROR(__xludf.DUMMYFUNCTION("""COMPUTED_VALUE"""),"Le Grip")</f>
        <v>Le Grip</v>
      </c>
      <c r="B330" t="str">
        <f>IFERROR(__xludf.DUMMYFUNCTION("""COMPUTED_VALUE"""),"Constance Le Grip")</f>
        <v>Constance Le Grip</v>
      </c>
      <c r="C330">
        <f>IFERROR(__xludf.DUMMYFUNCTION("""COMPUTED_VALUE"""),4.0)</f>
        <v>4</v>
      </c>
      <c r="D330">
        <f>IFERROR(__xludf.DUMMYFUNCTION("""COMPUTED_VALUE"""),15.0)</f>
        <v>15</v>
      </c>
      <c r="E330">
        <f>IFERROR(__xludf.DUMMYFUNCTION("""COMPUTED_VALUE"""),19.68)</f>
        <v>19.68</v>
      </c>
      <c r="F330">
        <f>IFERROR(__xludf.DUMMYFUNCTION("""COMPUTED_VALUE"""),4.79)</f>
        <v>4.79</v>
      </c>
      <c r="G330">
        <f>IFERROR(__xludf.DUMMYFUNCTION("""COMPUTED_VALUE"""),6.11)</f>
        <v>6.11</v>
      </c>
      <c r="H330">
        <f>IFERROR(__xludf.DUMMYFUNCTION("""COMPUTED_VALUE"""),0.89)</f>
        <v>0.89</v>
      </c>
      <c r="I330">
        <f>IFERROR(__xludf.DUMMYFUNCTION("""COMPUTED_VALUE"""),59.42)</f>
        <v>59.42</v>
      </c>
      <c r="J330">
        <f>IFERROR(__xludf.DUMMYFUNCTION("""COMPUTED_VALUE"""),17.47)</f>
        <v>17.47</v>
      </c>
      <c r="K330">
        <f>IFERROR(__xludf.DUMMYFUNCTION("""COMPUTED_VALUE"""),0.32)</f>
        <v>0.32</v>
      </c>
      <c r="L330">
        <f>IFERROR(__xludf.DUMMYFUNCTION("""COMPUTED_VALUE"""),0.11)</f>
        <v>0.11</v>
      </c>
      <c r="M330">
        <f>IFERROR(__xludf.DUMMYFUNCTION("""COMPUTED_VALUE"""),2.74)</f>
        <v>2.74</v>
      </c>
      <c r="N330">
        <f>IFERROR(__xludf.DUMMYFUNCTION("""COMPUTED_VALUE"""),1.16)</f>
        <v>1.16</v>
      </c>
      <c r="O330">
        <f>IFERROR(__xludf.DUMMYFUNCTION("""COMPUTED_VALUE"""),0.32)</f>
        <v>0.32</v>
      </c>
    </row>
    <row r="331">
      <c r="A331" t="str">
        <f>IFERROR(__xludf.DUMMYFUNCTION("""COMPUTED_VALUE"""),"Le Hénanff")</f>
        <v>Le Hénanff</v>
      </c>
      <c r="B331" t="str">
        <f>IFERROR(__xludf.DUMMYFUNCTION("""COMPUTED_VALUE"""),"Anne Le Hénanff")</f>
        <v>Anne Le Hénanff</v>
      </c>
      <c r="C331">
        <f>IFERROR(__xludf.DUMMYFUNCTION("""COMPUTED_VALUE"""),3.58)</f>
        <v>3.58</v>
      </c>
      <c r="D331">
        <f>IFERROR(__xludf.DUMMYFUNCTION("""COMPUTED_VALUE"""),5.58)</f>
        <v>5.58</v>
      </c>
      <c r="E331">
        <f>IFERROR(__xludf.DUMMYFUNCTION("""COMPUTED_VALUE"""),6.21)</f>
        <v>6.21</v>
      </c>
      <c r="F331">
        <f>IFERROR(__xludf.DUMMYFUNCTION("""COMPUTED_VALUE"""),5.26)</f>
        <v>5.26</v>
      </c>
      <c r="G331">
        <f>IFERROR(__xludf.DUMMYFUNCTION("""COMPUTED_VALUE"""),4.68)</f>
        <v>4.68</v>
      </c>
      <c r="H331">
        <f>IFERROR(__xludf.DUMMYFUNCTION("""COMPUTED_VALUE"""),6.16)</f>
        <v>6.16</v>
      </c>
      <c r="I331">
        <f>IFERROR(__xludf.DUMMYFUNCTION("""COMPUTED_VALUE"""),64.16)</f>
        <v>64.16</v>
      </c>
      <c r="J331">
        <f>IFERROR(__xludf.DUMMYFUNCTION("""COMPUTED_VALUE"""),16.11)</f>
        <v>16.11</v>
      </c>
      <c r="K331">
        <f>IFERROR(__xludf.DUMMYFUNCTION("""COMPUTED_VALUE"""),0.11)</f>
        <v>0.11</v>
      </c>
      <c r="L331">
        <f>IFERROR(__xludf.DUMMYFUNCTION("""COMPUTED_VALUE"""),0.0)</f>
        <v>0</v>
      </c>
      <c r="M331">
        <f>IFERROR(__xludf.DUMMYFUNCTION("""COMPUTED_VALUE"""),1.68)</f>
        <v>1.68</v>
      </c>
      <c r="N331">
        <f>IFERROR(__xludf.DUMMYFUNCTION("""COMPUTED_VALUE"""),1.42)</f>
        <v>1.42</v>
      </c>
      <c r="O331">
        <f>IFERROR(__xludf.DUMMYFUNCTION("""COMPUTED_VALUE"""),0.26)</f>
        <v>0.26</v>
      </c>
    </row>
    <row r="332">
      <c r="A332" t="str">
        <f>IFERROR(__xludf.DUMMYFUNCTION("""COMPUTED_VALUE"""),"Le Meur")</f>
        <v>Le Meur</v>
      </c>
      <c r="B332" t="str">
        <f>IFERROR(__xludf.DUMMYFUNCTION("""COMPUTED_VALUE"""),"Annaïg Le Meur")</f>
        <v>Annaïg Le Meur</v>
      </c>
      <c r="C332">
        <f>IFERROR(__xludf.DUMMYFUNCTION("""COMPUTED_VALUE"""),3.74)</f>
        <v>3.74</v>
      </c>
      <c r="D332">
        <f>IFERROR(__xludf.DUMMYFUNCTION("""COMPUTED_VALUE"""),5.84)</f>
        <v>5.84</v>
      </c>
      <c r="E332">
        <f>IFERROR(__xludf.DUMMYFUNCTION("""COMPUTED_VALUE"""),5.95)</f>
        <v>5.95</v>
      </c>
      <c r="F332">
        <f>IFERROR(__xludf.DUMMYFUNCTION("""COMPUTED_VALUE"""),3.16)</f>
        <v>3.16</v>
      </c>
      <c r="G332">
        <f>IFERROR(__xludf.DUMMYFUNCTION("""COMPUTED_VALUE"""),1.68)</f>
        <v>1.68</v>
      </c>
      <c r="H332">
        <f>IFERROR(__xludf.DUMMYFUNCTION("""COMPUTED_VALUE"""),3.26)</f>
        <v>3.26</v>
      </c>
      <c r="I332">
        <f>IFERROR(__xludf.DUMMYFUNCTION("""COMPUTED_VALUE"""),60.21)</f>
        <v>60.21</v>
      </c>
      <c r="J332">
        <f>IFERROR(__xludf.DUMMYFUNCTION("""COMPUTED_VALUE"""),19.95)</f>
        <v>19.95</v>
      </c>
      <c r="K332">
        <f>IFERROR(__xludf.DUMMYFUNCTION("""COMPUTED_VALUE"""),0.26)</f>
        <v>0.26</v>
      </c>
      <c r="L332">
        <f>IFERROR(__xludf.DUMMYFUNCTION("""COMPUTED_VALUE"""),0.05)</f>
        <v>0.05</v>
      </c>
      <c r="M332">
        <f>IFERROR(__xludf.DUMMYFUNCTION("""COMPUTED_VALUE"""),2.0)</f>
        <v>2</v>
      </c>
      <c r="N332">
        <f>IFERROR(__xludf.DUMMYFUNCTION("""COMPUTED_VALUE"""),3.21)</f>
        <v>3.21</v>
      </c>
      <c r="O332">
        <f>IFERROR(__xludf.DUMMYFUNCTION("""COMPUTED_VALUE"""),0.05)</f>
        <v>0.05</v>
      </c>
    </row>
    <row r="333">
      <c r="A333" t="str">
        <f>IFERROR(__xludf.DUMMYFUNCTION("""COMPUTED_VALUE"""),"Le Nabour")</f>
        <v>Le Nabour</v>
      </c>
      <c r="B333" t="str">
        <f>IFERROR(__xludf.DUMMYFUNCTION("""COMPUTED_VALUE"""),"Christine Le Nabour")</f>
        <v>Christine Le Nabour</v>
      </c>
      <c r="C333">
        <f>IFERROR(__xludf.DUMMYFUNCTION("""COMPUTED_VALUE"""),3.79)</f>
        <v>3.79</v>
      </c>
      <c r="D333">
        <f>IFERROR(__xludf.DUMMYFUNCTION("""COMPUTED_VALUE"""),7.21)</f>
        <v>7.21</v>
      </c>
      <c r="E333">
        <f>IFERROR(__xludf.DUMMYFUNCTION("""COMPUTED_VALUE"""),8.0)</f>
        <v>8</v>
      </c>
      <c r="F333">
        <f>IFERROR(__xludf.DUMMYFUNCTION("""COMPUTED_VALUE"""),9.63)</f>
        <v>9.63</v>
      </c>
      <c r="G333">
        <f>IFERROR(__xludf.DUMMYFUNCTION("""COMPUTED_VALUE"""),6.89)</f>
        <v>6.89</v>
      </c>
      <c r="H333">
        <f>IFERROR(__xludf.DUMMYFUNCTION("""COMPUTED_VALUE"""),5.47)</f>
        <v>5.47</v>
      </c>
      <c r="I333">
        <f>IFERROR(__xludf.DUMMYFUNCTION("""COMPUTED_VALUE"""),58.79)</f>
        <v>58.79</v>
      </c>
      <c r="J333">
        <f>IFERROR(__xludf.DUMMYFUNCTION("""COMPUTED_VALUE"""),19.32)</f>
        <v>19.32</v>
      </c>
      <c r="K333">
        <f>IFERROR(__xludf.DUMMYFUNCTION("""COMPUTED_VALUE"""),0.26)</f>
        <v>0.26</v>
      </c>
      <c r="L333">
        <f>IFERROR(__xludf.DUMMYFUNCTION("""COMPUTED_VALUE"""),0.0)</f>
        <v>0</v>
      </c>
      <c r="M333">
        <f>IFERROR(__xludf.DUMMYFUNCTION("""COMPUTED_VALUE"""),1.95)</f>
        <v>1.95</v>
      </c>
      <c r="N333">
        <f>IFERROR(__xludf.DUMMYFUNCTION("""COMPUTED_VALUE"""),0.16)</f>
        <v>0.16</v>
      </c>
      <c r="O333">
        <f>IFERROR(__xludf.DUMMYFUNCTION("""COMPUTED_VALUE"""),0.26)</f>
        <v>0.26</v>
      </c>
    </row>
    <row r="334">
      <c r="A334" t="str">
        <f>IFERROR(__xludf.DUMMYFUNCTION("""COMPUTED_VALUE"""),"Le Peih")</f>
        <v>Le Peih</v>
      </c>
      <c r="B334" t="str">
        <f>IFERROR(__xludf.DUMMYFUNCTION("""COMPUTED_VALUE"""),"Nicole Le Peih")</f>
        <v>Nicole Le Peih</v>
      </c>
      <c r="C334">
        <f>IFERROR(__xludf.DUMMYFUNCTION("""COMPUTED_VALUE"""),3.74)</f>
        <v>3.74</v>
      </c>
      <c r="D334">
        <f>IFERROR(__xludf.DUMMYFUNCTION("""COMPUTED_VALUE"""),9.74)</f>
        <v>9.74</v>
      </c>
      <c r="E334">
        <f>IFERROR(__xludf.DUMMYFUNCTION("""COMPUTED_VALUE"""),21.21)</f>
        <v>21.21</v>
      </c>
      <c r="F334">
        <f>IFERROR(__xludf.DUMMYFUNCTION("""COMPUTED_VALUE"""),10.95)</f>
        <v>10.95</v>
      </c>
      <c r="G334">
        <f>IFERROR(__xludf.DUMMYFUNCTION("""COMPUTED_VALUE"""),6.05)</f>
        <v>6.05</v>
      </c>
      <c r="H334">
        <f>IFERROR(__xludf.DUMMYFUNCTION("""COMPUTED_VALUE"""),0.89)</f>
        <v>0.89</v>
      </c>
      <c r="I334">
        <f>IFERROR(__xludf.DUMMYFUNCTION("""COMPUTED_VALUE"""),64.05)</f>
        <v>64.05</v>
      </c>
      <c r="J334">
        <f>IFERROR(__xludf.DUMMYFUNCTION("""COMPUTED_VALUE"""),21.89)</f>
        <v>21.89</v>
      </c>
      <c r="K334">
        <f>IFERROR(__xludf.DUMMYFUNCTION("""COMPUTED_VALUE"""),0.21)</f>
        <v>0.21</v>
      </c>
      <c r="L334">
        <f>IFERROR(__xludf.DUMMYFUNCTION("""COMPUTED_VALUE"""),0.11)</f>
        <v>0.11</v>
      </c>
      <c r="M334">
        <f>IFERROR(__xludf.DUMMYFUNCTION("""COMPUTED_VALUE"""),2.26)</f>
        <v>2.26</v>
      </c>
      <c r="N334">
        <f>IFERROR(__xludf.DUMMYFUNCTION("""COMPUTED_VALUE"""),0.21)</f>
        <v>0.21</v>
      </c>
      <c r="O334">
        <f>IFERROR(__xludf.DUMMYFUNCTION("""COMPUTED_VALUE"""),0.05)</f>
        <v>0.05</v>
      </c>
    </row>
    <row r="335">
      <c r="A335" t="str">
        <f>IFERROR(__xludf.DUMMYFUNCTION("""COMPUTED_VALUE"""),"Le Pen")</f>
        <v>Le Pen</v>
      </c>
      <c r="B335" t="str">
        <f>IFERROR(__xludf.DUMMYFUNCTION("""COMPUTED_VALUE"""),"Marine Le Pen")</f>
        <v>Marine Le Pen</v>
      </c>
      <c r="C335">
        <f>IFERROR(__xludf.DUMMYFUNCTION("""COMPUTED_VALUE"""),3.68)</f>
        <v>3.68</v>
      </c>
      <c r="D335">
        <f>IFERROR(__xludf.DUMMYFUNCTION("""COMPUTED_VALUE"""),5.11)</f>
        <v>5.11</v>
      </c>
      <c r="E335">
        <f>IFERROR(__xludf.DUMMYFUNCTION("""COMPUTED_VALUE"""),5.0)</f>
        <v>5</v>
      </c>
      <c r="F335">
        <f>IFERROR(__xludf.DUMMYFUNCTION("""COMPUTED_VALUE"""),28.68)</f>
        <v>28.68</v>
      </c>
      <c r="G335">
        <f>IFERROR(__xludf.DUMMYFUNCTION("""COMPUTED_VALUE"""),22.16)</f>
        <v>22.16</v>
      </c>
      <c r="H335">
        <f>IFERROR(__xludf.DUMMYFUNCTION("""COMPUTED_VALUE"""),5.32)</f>
        <v>5.32</v>
      </c>
      <c r="I335">
        <f>IFERROR(__xludf.DUMMYFUNCTION("""COMPUTED_VALUE"""),427.68)</f>
        <v>427.68</v>
      </c>
      <c r="J335">
        <f>IFERROR(__xludf.DUMMYFUNCTION("""COMPUTED_VALUE"""),5.11)</f>
        <v>5.11</v>
      </c>
      <c r="K335">
        <f>IFERROR(__xludf.DUMMYFUNCTION("""COMPUTED_VALUE"""),0.0)</f>
        <v>0</v>
      </c>
      <c r="L335">
        <f>IFERROR(__xludf.DUMMYFUNCTION("""COMPUTED_VALUE"""),0.32)</f>
        <v>0.32</v>
      </c>
      <c r="M335">
        <f>IFERROR(__xludf.DUMMYFUNCTION("""COMPUTED_VALUE"""),2.47)</f>
        <v>2.47</v>
      </c>
      <c r="N335">
        <f>IFERROR(__xludf.DUMMYFUNCTION("""COMPUTED_VALUE"""),0.68)</f>
        <v>0.68</v>
      </c>
      <c r="O335">
        <f>IFERROR(__xludf.DUMMYFUNCTION("""COMPUTED_VALUE"""),0.79)</f>
        <v>0.79</v>
      </c>
    </row>
    <row r="336">
      <c r="A336" t="str">
        <f>IFERROR(__xludf.DUMMYFUNCTION("""COMPUTED_VALUE"""),"Le Vigoureux")</f>
        <v>Le Vigoureux</v>
      </c>
      <c r="B336" t="str">
        <f>IFERROR(__xludf.DUMMYFUNCTION("""COMPUTED_VALUE"""),"Fabrice Le Vigoureux")</f>
        <v>Fabrice Le Vigoureux</v>
      </c>
      <c r="C336">
        <f>IFERROR(__xludf.DUMMYFUNCTION("""COMPUTED_VALUE"""),3.89)</f>
        <v>3.89</v>
      </c>
      <c r="D336">
        <f>IFERROR(__xludf.DUMMYFUNCTION("""COMPUTED_VALUE"""),5.0)</f>
        <v>5</v>
      </c>
      <c r="E336">
        <f>IFERROR(__xludf.DUMMYFUNCTION("""COMPUTED_VALUE"""),2.0)</f>
        <v>2</v>
      </c>
      <c r="F336">
        <f>IFERROR(__xludf.DUMMYFUNCTION("""COMPUTED_VALUE"""),2.0)</f>
        <v>2</v>
      </c>
      <c r="G336">
        <f>IFERROR(__xludf.DUMMYFUNCTION("""COMPUTED_VALUE"""),0.58)</f>
        <v>0.58</v>
      </c>
      <c r="H336">
        <f>IFERROR(__xludf.DUMMYFUNCTION("""COMPUTED_VALUE"""),0.68)</f>
        <v>0.68</v>
      </c>
      <c r="I336">
        <f>IFERROR(__xludf.DUMMYFUNCTION("""COMPUTED_VALUE"""),45.42)</f>
        <v>45.42</v>
      </c>
      <c r="J336">
        <f>IFERROR(__xludf.DUMMYFUNCTION("""COMPUTED_VALUE"""),13.84)</f>
        <v>13.84</v>
      </c>
      <c r="K336">
        <f>IFERROR(__xludf.DUMMYFUNCTION("""COMPUTED_VALUE"""),0.05)</f>
        <v>0.05</v>
      </c>
      <c r="L336">
        <f>IFERROR(__xludf.DUMMYFUNCTION("""COMPUTED_VALUE"""),0.0)</f>
        <v>0</v>
      </c>
      <c r="M336">
        <f>IFERROR(__xludf.DUMMYFUNCTION("""COMPUTED_VALUE"""),1.95)</f>
        <v>1.95</v>
      </c>
      <c r="N336">
        <f>IFERROR(__xludf.DUMMYFUNCTION("""COMPUTED_VALUE"""),0.21)</f>
        <v>0.21</v>
      </c>
      <c r="O336">
        <f>IFERROR(__xludf.DUMMYFUNCTION("""COMPUTED_VALUE"""),0.11)</f>
        <v>0.11</v>
      </c>
    </row>
    <row r="337">
      <c r="A337" t="str">
        <f>IFERROR(__xludf.DUMMYFUNCTION("""COMPUTED_VALUE"""),"Léaument")</f>
        <v>Léaument</v>
      </c>
      <c r="B337" t="str">
        <f>IFERROR(__xludf.DUMMYFUNCTION("""COMPUTED_VALUE"""),"Antoine Léaument")</f>
        <v>Antoine Léaument</v>
      </c>
      <c r="C337">
        <f>IFERROR(__xludf.DUMMYFUNCTION("""COMPUTED_VALUE"""),4.05)</f>
        <v>4.05</v>
      </c>
      <c r="D337">
        <f>IFERROR(__xludf.DUMMYFUNCTION("""COMPUTED_VALUE"""),6.16)</f>
        <v>6.16</v>
      </c>
      <c r="E337">
        <f>IFERROR(__xludf.DUMMYFUNCTION("""COMPUTED_VALUE"""),14.68)</f>
        <v>14.68</v>
      </c>
      <c r="F337">
        <f>IFERROR(__xludf.DUMMYFUNCTION("""COMPUTED_VALUE"""),68.21)</f>
        <v>68.21</v>
      </c>
      <c r="G337">
        <f>IFERROR(__xludf.DUMMYFUNCTION("""COMPUTED_VALUE"""),77.79)</f>
        <v>77.79</v>
      </c>
      <c r="H337">
        <f>IFERROR(__xludf.DUMMYFUNCTION("""COMPUTED_VALUE"""),29.37)</f>
        <v>29.37</v>
      </c>
      <c r="I337">
        <f>IFERROR(__xludf.DUMMYFUNCTION("""COMPUTED_VALUE"""),900.42)</f>
        <v>900.42</v>
      </c>
      <c r="J337">
        <f>IFERROR(__xludf.DUMMYFUNCTION("""COMPUTED_VALUE"""),28.58)</f>
        <v>28.58</v>
      </c>
      <c r="K337">
        <f>IFERROR(__xludf.DUMMYFUNCTION("""COMPUTED_VALUE"""),0.0)</f>
        <v>0</v>
      </c>
      <c r="L337">
        <f>IFERROR(__xludf.DUMMYFUNCTION("""COMPUTED_VALUE"""),0.21)</f>
        <v>0.21</v>
      </c>
      <c r="M337">
        <f>IFERROR(__xludf.DUMMYFUNCTION("""COMPUTED_VALUE"""),7.32)</f>
        <v>7.32</v>
      </c>
      <c r="N337">
        <f>IFERROR(__xludf.DUMMYFUNCTION("""COMPUTED_VALUE"""),1.68)</f>
        <v>1.68</v>
      </c>
      <c r="O337">
        <f>IFERROR(__xludf.DUMMYFUNCTION("""COMPUTED_VALUE"""),0.26)</f>
        <v>0.26</v>
      </c>
    </row>
    <row r="338">
      <c r="A338" t="str">
        <f>IFERROR(__xludf.DUMMYFUNCTION("""COMPUTED_VALUE"""),"Lebec")</f>
        <v>Lebec</v>
      </c>
      <c r="B338" t="str">
        <f>IFERROR(__xludf.DUMMYFUNCTION("""COMPUTED_VALUE"""),"Marie Lebec")</f>
        <v>Marie Lebec</v>
      </c>
      <c r="C338">
        <f>IFERROR(__xludf.DUMMYFUNCTION("""COMPUTED_VALUE"""),3.73)</f>
        <v>3.73</v>
      </c>
      <c r="D338">
        <f>IFERROR(__xludf.DUMMYFUNCTION("""COMPUTED_VALUE"""),6.87)</f>
        <v>6.87</v>
      </c>
      <c r="E338">
        <f>IFERROR(__xludf.DUMMYFUNCTION("""COMPUTED_VALUE"""),0.87)</f>
        <v>0.87</v>
      </c>
      <c r="F338">
        <f>IFERROR(__xludf.DUMMYFUNCTION("""COMPUTED_VALUE"""),3.87)</f>
        <v>3.87</v>
      </c>
      <c r="G338">
        <f>IFERROR(__xludf.DUMMYFUNCTION("""COMPUTED_VALUE"""),2.53)</f>
        <v>2.53</v>
      </c>
      <c r="H338">
        <f>IFERROR(__xludf.DUMMYFUNCTION("""COMPUTED_VALUE"""),3.07)</f>
        <v>3.07</v>
      </c>
      <c r="I338">
        <f>IFERROR(__xludf.DUMMYFUNCTION("""COMPUTED_VALUE"""),62.27)</f>
        <v>62.27</v>
      </c>
      <c r="J338">
        <f>IFERROR(__xludf.DUMMYFUNCTION("""COMPUTED_VALUE"""),19.73)</f>
        <v>19.73</v>
      </c>
      <c r="K338">
        <f>IFERROR(__xludf.DUMMYFUNCTION("""COMPUTED_VALUE"""),0.0)</f>
        <v>0</v>
      </c>
      <c r="L338">
        <f>IFERROR(__xludf.DUMMYFUNCTION("""COMPUTED_VALUE"""),0.0)</f>
        <v>0</v>
      </c>
      <c r="M338">
        <f>IFERROR(__xludf.DUMMYFUNCTION("""COMPUTED_VALUE"""),2.27)</f>
        <v>2.27</v>
      </c>
      <c r="N338">
        <f>IFERROR(__xludf.DUMMYFUNCTION("""COMPUTED_VALUE"""),0.0)</f>
        <v>0</v>
      </c>
      <c r="O338">
        <f>IFERROR(__xludf.DUMMYFUNCTION("""COMPUTED_VALUE"""),0.07)</f>
        <v>0.07</v>
      </c>
    </row>
    <row r="339">
      <c r="A339" t="str">
        <f>IFERROR(__xludf.DUMMYFUNCTION("""COMPUTED_VALUE"""),"Lebon")</f>
        <v>Lebon</v>
      </c>
      <c r="B339" t="str">
        <f>IFERROR(__xludf.DUMMYFUNCTION("""COMPUTED_VALUE"""),"Karine Lebon")</f>
        <v>Karine Lebon</v>
      </c>
      <c r="C339">
        <f>IFERROR(__xludf.DUMMYFUNCTION("""COMPUTED_VALUE"""),2.84)</f>
        <v>2.84</v>
      </c>
      <c r="D339">
        <f>IFERROR(__xludf.DUMMYFUNCTION("""COMPUTED_VALUE"""),4.37)</f>
        <v>4.37</v>
      </c>
      <c r="E339">
        <f>IFERROR(__xludf.DUMMYFUNCTION("""COMPUTED_VALUE"""),6.05)</f>
        <v>6.05</v>
      </c>
      <c r="F339">
        <f>IFERROR(__xludf.DUMMYFUNCTION("""COMPUTED_VALUE"""),7.89)</f>
        <v>7.89</v>
      </c>
      <c r="G339">
        <f>IFERROR(__xludf.DUMMYFUNCTION("""COMPUTED_VALUE"""),4.58)</f>
        <v>4.58</v>
      </c>
      <c r="H339">
        <f>IFERROR(__xludf.DUMMYFUNCTION("""COMPUTED_VALUE"""),12.89)</f>
        <v>12.89</v>
      </c>
      <c r="I339">
        <f>IFERROR(__xludf.DUMMYFUNCTION("""COMPUTED_VALUE"""),221.16)</f>
        <v>221.16</v>
      </c>
      <c r="J339">
        <f>IFERROR(__xludf.DUMMYFUNCTION("""COMPUTED_VALUE"""),13.53)</f>
        <v>13.53</v>
      </c>
      <c r="K339">
        <f>IFERROR(__xludf.DUMMYFUNCTION("""COMPUTED_VALUE"""),0.21)</f>
        <v>0.21</v>
      </c>
      <c r="L339">
        <f>IFERROR(__xludf.DUMMYFUNCTION("""COMPUTED_VALUE"""),0.37)</f>
        <v>0.37</v>
      </c>
      <c r="M339">
        <f>IFERROR(__xludf.DUMMYFUNCTION("""COMPUTED_VALUE"""),4.79)</f>
        <v>4.79</v>
      </c>
      <c r="N339">
        <f>IFERROR(__xludf.DUMMYFUNCTION("""COMPUTED_VALUE"""),2.74)</f>
        <v>2.74</v>
      </c>
      <c r="O339">
        <f>IFERROR(__xludf.DUMMYFUNCTION("""COMPUTED_VALUE"""),0.37)</f>
        <v>0.37</v>
      </c>
    </row>
    <row r="340">
      <c r="A340" t="str">
        <f>IFERROR(__xludf.DUMMYFUNCTION("""COMPUTED_VALUE"""),"Leboucher")</f>
        <v>Leboucher</v>
      </c>
      <c r="B340" t="str">
        <f>IFERROR(__xludf.DUMMYFUNCTION("""COMPUTED_VALUE"""),"Élise Leboucher")</f>
        <v>Élise Leboucher</v>
      </c>
      <c r="C340">
        <f>IFERROR(__xludf.DUMMYFUNCTION("""COMPUTED_VALUE"""),3.37)</f>
        <v>3.37</v>
      </c>
      <c r="D340">
        <f>IFERROR(__xludf.DUMMYFUNCTION("""COMPUTED_VALUE"""),5.68)</f>
        <v>5.68</v>
      </c>
      <c r="E340">
        <f>IFERROR(__xludf.DUMMYFUNCTION("""COMPUTED_VALUE"""),7.16)</f>
        <v>7.16</v>
      </c>
      <c r="F340">
        <f>IFERROR(__xludf.DUMMYFUNCTION("""COMPUTED_VALUE"""),6.32)</f>
        <v>6.32</v>
      </c>
      <c r="G340">
        <f>IFERROR(__xludf.DUMMYFUNCTION("""COMPUTED_VALUE"""),2.89)</f>
        <v>2.89</v>
      </c>
      <c r="H340">
        <f>IFERROR(__xludf.DUMMYFUNCTION("""COMPUTED_VALUE"""),21.11)</f>
        <v>21.11</v>
      </c>
      <c r="I340">
        <f>IFERROR(__xludf.DUMMYFUNCTION("""COMPUTED_VALUE"""),892.68)</f>
        <v>892.68</v>
      </c>
      <c r="J340">
        <f>IFERROR(__xludf.DUMMYFUNCTION("""COMPUTED_VALUE"""),28.74)</f>
        <v>28.74</v>
      </c>
      <c r="K340">
        <f>IFERROR(__xludf.DUMMYFUNCTION("""COMPUTED_VALUE"""),0.11)</f>
        <v>0.11</v>
      </c>
      <c r="L340">
        <f>IFERROR(__xludf.DUMMYFUNCTION("""COMPUTED_VALUE"""),0.11)</f>
        <v>0.11</v>
      </c>
      <c r="M340">
        <f>IFERROR(__xludf.DUMMYFUNCTION("""COMPUTED_VALUE"""),7.68)</f>
        <v>7.68</v>
      </c>
      <c r="N340">
        <f>IFERROR(__xludf.DUMMYFUNCTION("""COMPUTED_VALUE"""),1.42)</f>
        <v>1.42</v>
      </c>
      <c r="O340">
        <f>IFERROR(__xludf.DUMMYFUNCTION("""COMPUTED_VALUE"""),0.21)</f>
        <v>0.21</v>
      </c>
    </row>
    <row r="341">
      <c r="A341" t="str">
        <f>IFERROR(__xludf.DUMMYFUNCTION("""COMPUTED_VALUE"""),"Lecamp")</f>
        <v>Lecamp</v>
      </c>
      <c r="B341" t="str">
        <f>IFERROR(__xludf.DUMMYFUNCTION("""COMPUTED_VALUE"""),"Pascal Lecamp")</f>
        <v>Pascal Lecamp</v>
      </c>
      <c r="C341">
        <f>IFERROR(__xludf.DUMMYFUNCTION("""COMPUTED_VALUE"""),4.21)</f>
        <v>4.21</v>
      </c>
      <c r="D341">
        <f>IFERROR(__xludf.DUMMYFUNCTION("""COMPUTED_VALUE"""),9.95)</f>
        <v>9.95</v>
      </c>
      <c r="E341">
        <f>IFERROR(__xludf.DUMMYFUNCTION("""COMPUTED_VALUE"""),21.32)</f>
        <v>21.32</v>
      </c>
      <c r="F341">
        <f>IFERROR(__xludf.DUMMYFUNCTION("""COMPUTED_VALUE"""),16.84)</f>
        <v>16.84</v>
      </c>
      <c r="G341">
        <f>IFERROR(__xludf.DUMMYFUNCTION("""COMPUTED_VALUE"""),6.26)</f>
        <v>6.26</v>
      </c>
      <c r="H341">
        <f>IFERROR(__xludf.DUMMYFUNCTION("""COMPUTED_VALUE"""),6.47)</f>
        <v>6.47</v>
      </c>
      <c r="I341">
        <f>IFERROR(__xludf.DUMMYFUNCTION("""COMPUTED_VALUE"""),72.53)</f>
        <v>72.53</v>
      </c>
      <c r="J341">
        <f>IFERROR(__xludf.DUMMYFUNCTION("""COMPUTED_VALUE"""),19.26)</f>
        <v>19.26</v>
      </c>
      <c r="K341">
        <f>IFERROR(__xludf.DUMMYFUNCTION("""COMPUTED_VALUE"""),0.21)</f>
        <v>0.21</v>
      </c>
      <c r="L341">
        <f>IFERROR(__xludf.DUMMYFUNCTION("""COMPUTED_VALUE"""),0.05)</f>
        <v>0.05</v>
      </c>
      <c r="M341">
        <f>IFERROR(__xludf.DUMMYFUNCTION("""COMPUTED_VALUE"""),1.26)</f>
        <v>1.26</v>
      </c>
      <c r="N341">
        <f>IFERROR(__xludf.DUMMYFUNCTION("""COMPUTED_VALUE"""),0.53)</f>
        <v>0.53</v>
      </c>
      <c r="O341">
        <f>IFERROR(__xludf.DUMMYFUNCTION("""COMPUTED_VALUE"""),0.16)</f>
        <v>0.16</v>
      </c>
    </row>
    <row r="342">
      <c r="A342" t="str">
        <f>IFERROR(__xludf.DUMMYFUNCTION("""COMPUTED_VALUE"""),"Lechanteux")</f>
        <v>Lechanteux</v>
      </c>
      <c r="B342" t="str">
        <f>IFERROR(__xludf.DUMMYFUNCTION("""COMPUTED_VALUE"""),"Julie Lechanteux")</f>
        <v>Julie Lechanteux</v>
      </c>
      <c r="C342">
        <f>IFERROR(__xludf.DUMMYFUNCTION("""COMPUTED_VALUE"""),3.26)</f>
        <v>3.26</v>
      </c>
      <c r="D342">
        <f>IFERROR(__xludf.DUMMYFUNCTION("""COMPUTED_VALUE"""),4.58)</f>
        <v>4.58</v>
      </c>
      <c r="E342">
        <f>IFERROR(__xludf.DUMMYFUNCTION("""COMPUTED_VALUE"""),4.58)</f>
        <v>4.58</v>
      </c>
      <c r="F342">
        <f>IFERROR(__xludf.DUMMYFUNCTION("""COMPUTED_VALUE"""),4.42)</f>
        <v>4.42</v>
      </c>
      <c r="G342">
        <f>IFERROR(__xludf.DUMMYFUNCTION("""COMPUTED_VALUE"""),5.63)</f>
        <v>5.63</v>
      </c>
      <c r="H342">
        <f>IFERROR(__xludf.DUMMYFUNCTION("""COMPUTED_VALUE"""),10.53)</f>
        <v>10.53</v>
      </c>
      <c r="I342">
        <f>IFERROR(__xludf.DUMMYFUNCTION("""COMPUTED_VALUE"""),466.21)</f>
        <v>466.21</v>
      </c>
      <c r="J342">
        <f>IFERROR(__xludf.DUMMYFUNCTION("""COMPUTED_VALUE"""),5.58)</f>
        <v>5.58</v>
      </c>
      <c r="K342">
        <f>IFERROR(__xludf.DUMMYFUNCTION("""COMPUTED_VALUE"""),0.0)</f>
        <v>0</v>
      </c>
      <c r="L342">
        <f>IFERROR(__xludf.DUMMYFUNCTION("""COMPUTED_VALUE"""),0.05)</f>
        <v>0.05</v>
      </c>
      <c r="M342">
        <f>IFERROR(__xludf.DUMMYFUNCTION("""COMPUTED_VALUE"""),6.84)</f>
        <v>6.84</v>
      </c>
      <c r="N342">
        <f>IFERROR(__xludf.DUMMYFUNCTION("""COMPUTED_VALUE"""),1.37)</f>
        <v>1.37</v>
      </c>
      <c r="O342">
        <f>IFERROR(__xludf.DUMMYFUNCTION("""COMPUTED_VALUE"""),0.21)</f>
        <v>0.21</v>
      </c>
    </row>
    <row r="343">
      <c r="A343" t="str">
        <f>IFERROR(__xludf.DUMMYFUNCTION("""COMPUTED_VALUE"""),"Lecoq")</f>
        <v>Lecoq</v>
      </c>
      <c r="B343" t="str">
        <f>IFERROR(__xludf.DUMMYFUNCTION("""COMPUTED_VALUE"""),"Jean-Paul Lecoq")</f>
        <v>Jean-Paul Lecoq</v>
      </c>
      <c r="C343">
        <f>IFERROR(__xludf.DUMMYFUNCTION("""COMPUTED_VALUE"""),3.84)</f>
        <v>3.84</v>
      </c>
      <c r="D343">
        <f>IFERROR(__xludf.DUMMYFUNCTION("""COMPUTED_VALUE"""),7.11)</f>
        <v>7.11</v>
      </c>
      <c r="E343">
        <f>IFERROR(__xludf.DUMMYFUNCTION("""COMPUTED_VALUE"""),12.58)</f>
        <v>12.58</v>
      </c>
      <c r="F343">
        <f>IFERROR(__xludf.DUMMYFUNCTION("""COMPUTED_VALUE"""),12.37)</f>
        <v>12.37</v>
      </c>
      <c r="G343">
        <f>IFERROR(__xludf.DUMMYFUNCTION("""COMPUTED_VALUE"""),52.21)</f>
        <v>52.21</v>
      </c>
      <c r="H343">
        <f>IFERROR(__xludf.DUMMYFUNCTION("""COMPUTED_VALUE"""),6.58)</f>
        <v>6.58</v>
      </c>
      <c r="I343">
        <f>IFERROR(__xludf.DUMMYFUNCTION("""COMPUTED_VALUE"""),206.16)</f>
        <v>206.16</v>
      </c>
      <c r="J343">
        <f>IFERROR(__xludf.DUMMYFUNCTION("""COMPUTED_VALUE"""),12.26)</f>
        <v>12.26</v>
      </c>
      <c r="K343">
        <f>IFERROR(__xludf.DUMMYFUNCTION("""COMPUTED_VALUE"""),0.21)</f>
        <v>0.21</v>
      </c>
      <c r="L343">
        <f>IFERROR(__xludf.DUMMYFUNCTION("""COMPUTED_VALUE"""),0.26)</f>
        <v>0.26</v>
      </c>
      <c r="M343">
        <f>IFERROR(__xludf.DUMMYFUNCTION("""COMPUTED_VALUE"""),4.42)</f>
        <v>4.42</v>
      </c>
      <c r="N343">
        <f>IFERROR(__xludf.DUMMYFUNCTION("""COMPUTED_VALUE"""),0.47)</f>
        <v>0.47</v>
      </c>
      <c r="O343">
        <f>IFERROR(__xludf.DUMMYFUNCTION("""COMPUTED_VALUE"""),0.37)</f>
        <v>0.37</v>
      </c>
    </row>
    <row r="344">
      <c r="A344" t="str">
        <f>IFERROR(__xludf.DUMMYFUNCTION("""COMPUTED_VALUE"""),"Ledoux")</f>
        <v>Ledoux</v>
      </c>
      <c r="B344" t="str">
        <f>IFERROR(__xludf.DUMMYFUNCTION("""COMPUTED_VALUE"""),"Vincent Ledoux")</f>
        <v>Vincent Ledoux</v>
      </c>
      <c r="C344">
        <f>IFERROR(__xludf.DUMMYFUNCTION("""COMPUTED_VALUE"""),1.94)</f>
        <v>1.94</v>
      </c>
      <c r="D344">
        <f>IFERROR(__xludf.DUMMYFUNCTION("""COMPUTED_VALUE"""),2.33)</f>
        <v>2.33</v>
      </c>
      <c r="E344">
        <f>IFERROR(__xludf.DUMMYFUNCTION("""COMPUTED_VALUE"""),1.22)</f>
        <v>1.22</v>
      </c>
      <c r="F344">
        <f>IFERROR(__xludf.DUMMYFUNCTION("""COMPUTED_VALUE"""),0.89)</f>
        <v>0.89</v>
      </c>
      <c r="G344">
        <f>IFERROR(__xludf.DUMMYFUNCTION("""COMPUTED_VALUE"""),0.22)</f>
        <v>0.22</v>
      </c>
      <c r="H344">
        <f>IFERROR(__xludf.DUMMYFUNCTION("""COMPUTED_VALUE"""),0.11)</f>
        <v>0.11</v>
      </c>
      <c r="I344">
        <f>IFERROR(__xludf.DUMMYFUNCTION("""COMPUTED_VALUE"""),95.33)</f>
        <v>95.33</v>
      </c>
      <c r="J344">
        <f>IFERROR(__xludf.DUMMYFUNCTION("""COMPUTED_VALUE"""),18.0)</f>
        <v>18</v>
      </c>
      <c r="K344">
        <f>IFERROR(__xludf.DUMMYFUNCTION("""COMPUTED_VALUE"""),0.06)</f>
        <v>0.06</v>
      </c>
      <c r="L344">
        <f>IFERROR(__xludf.DUMMYFUNCTION("""COMPUTED_VALUE"""),0.28)</f>
        <v>0.28</v>
      </c>
      <c r="M344">
        <f>IFERROR(__xludf.DUMMYFUNCTION("""COMPUTED_VALUE"""),3.39)</f>
        <v>3.39</v>
      </c>
      <c r="N344">
        <f>IFERROR(__xludf.DUMMYFUNCTION("""COMPUTED_VALUE"""),6.17)</f>
        <v>6.17</v>
      </c>
      <c r="O344">
        <f>IFERROR(__xludf.DUMMYFUNCTION("""COMPUTED_VALUE"""),0.11)</f>
        <v>0.11</v>
      </c>
    </row>
    <row r="345">
      <c r="A345" t="str">
        <f>IFERROR(__xludf.DUMMYFUNCTION("""COMPUTED_VALUE"""),"Leduc")</f>
        <v>Leduc</v>
      </c>
      <c r="B345" t="str">
        <f>IFERROR(__xludf.DUMMYFUNCTION("""COMPUTED_VALUE"""),"Charlotte Leduc")</f>
        <v>Charlotte Leduc</v>
      </c>
      <c r="C345">
        <f>IFERROR(__xludf.DUMMYFUNCTION("""COMPUTED_VALUE"""),3.84)</f>
        <v>3.84</v>
      </c>
      <c r="D345">
        <f>IFERROR(__xludf.DUMMYFUNCTION("""COMPUTED_VALUE"""),7.37)</f>
        <v>7.37</v>
      </c>
      <c r="E345">
        <f>IFERROR(__xludf.DUMMYFUNCTION("""COMPUTED_VALUE"""),10.47)</f>
        <v>10.47</v>
      </c>
      <c r="F345">
        <f>IFERROR(__xludf.DUMMYFUNCTION("""COMPUTED_VALUE"""),12.79)</f>
        <v>12.79</v>
      </c>
      <c r="G345">
        <f>IFERROR(__xludf.DUMMYFUNCTION("""COMPUTED_VALUE"""),1.74)</f>
        <v>1.74</v>
      </c>
      <c r="H345">
        <f>IFERROR(__xludf.DUMMYFUNCTION("""COMPUTED_VALUE"""),30.79)</f>
        <v>30.79</v>
      </c>
      <c r="I345">
        <f>IFERROR(__xludf.DUMMYFUNCTION("""COMPUTED_VALUE"""),891.68)</f>
        <v>891.68</v>
      </c>
      <c r="J345">
        <f>IFERROR(__xludf.DUMMYFUNCTION("""COMPUTED_VALUE"""),28.89)</f>
        <v>28.89</v>
      </c>
      <c r="K345">
        <f>IFERROR(__xludf.DUMMYFUNCTION("""COMPUTED_VALUE"""),0.16)</f>
        <v>0.16</v>
      </c>
      <c r="L345">
        <f>IFERROR(__xludf.DUMMYFUNCTION("""COMPUTED_VALUE"""),0.21)</f>
        <v>0.21</v>
      </c>
      <c r="M345">
        <f>IFERROR(__xludf.DUMMYFUNCTION("""COMPUTED_VALUE"""),7.89)</f>
        <v>7.89</v>
      </c>
      <c r="N345">
        <f>IFERROR(__xludf.DUMMYFUNCTION("""COMPUTED_VALUE"""),3.21)</f>
        <v>3.21</v>
      </c>
      <c r="O345">
        <f>IFERROR(__xludf.DUMMYFUNCTION("""COMPUTED_VALUE"""),0.32)</f>
        <v>0.32</v>
      </c>
    </row>
    <row r="346">
      <c r="A346" t="str">
        <f>IFERROR(__xludf.DUMMYFUNCTION("""COMPUTED_VALUE"""),"Lefèvre")</f>
        <v>Lefèvre</v>
      </c>
      <c r="B346" t="str">
        <f>IFERROR(__xludf.DUMMYFUNCTION("""COMPUTED_VALUE"""),"Mathieu Lefèvre")</f>
        <v>Mathieu Lefèvre</v>
      </c>
      <c r="C346">
        <f>IFERROR(__xludf.DUMMYFUNCTION("""COMPUTED_VALUE"""),4.05)</f>
        <v>4.05</v>
      </c>
      <c r="D346">
        <f>IFERROR(__xludf.DUMMYFUNCTION("""COMPUTED_VALUE"""),9.21)</f>
        <v>9.21</v>
      </c>
      <c r="E346">
        <f>IFERROR(__xludf.DUMMYFUNCTION("""COMPUTED_VALUE"""),26.32)</f>
        <v>26.32</v>
      </c>
      <c r="F346">
        <f>IFERROR(__xludf.DUMMYFUNCTION("""COMPUTED_VALUE"""),35.84)</f>
        <v>35.84</v>
      </c>
      <c r="G346">
        <f>IFERROR(__xludf.DUMMYFUNCTION("""COMPUTED_VALUE"""),20.37)</f>
        <v>20.37</v>
      </c>
      <c r="H346">
        <f>IFERROR(__xludf.DUMMYFUNCTION("""COMPUTED_VALUE"""),22.47)</f>
        <v>22.47</v>
      </c>
      <c r="I346">
        <f>IFERROR(__xludf.DUMMYFUNCTION("""COMPUTED_VALUE"""),77.84)</f>
        <v>77.84</v>
      </c>
      <c r="J346">
        <f>IFERROR(__xludf.DUMMYFUNCTION("""COMPUTED_VALUE"""),20.42)</f>
        <v>20.42</v>
      </c>
      <c r="K346">
        <f>IFERROR(__xludf.DUMMYFUNCTION("""COMPUTED_VALUE"""),0.32)</f>
        <v>0.32</v>
      </c>
      <c r="L346">
        <f>IFERROR(__xludf.DUMMYFUNCTION("""COMPUTED_VALUE"""),0.11)</f>
        <v>0.11</v>
      </c>
      <c r="M346">
        <f>IFERROR(__xludf.DUMMYFUNCTION("""COMPUTED_VALUE"""),2.21)</f>
        <v>2.21</v>
      </c>
      <c r="N346">
        <f>IFERROR(__xludf.DUMMYFUNCTION("""COMPUTED_VALUE"""),5.05)</f>
        <v>5.05</v>
      </c>
      <c r="O346">
        <f>IFERROR(__xludf.DUMMYFUNCTION("""COMPUTED_VALUE"""),0.32)</f>
        <v>0.32</v>
      </c>
    </row>
    <row r="347">
      <c r="A347" t="str">
        <f>IFERROR(__xludf.DUMMYFUNCTION("""COMPUTED_VALUE"""),"Legavre")</f>
        <v>Legavre</v>
      </c>
      <c r="B347" t="str">
        <f>IFERROR(__xludf.DUMMYFUNCTION("""COMPUTED_VALUE"""),"Jérôme Legavre")</f>
        <v>Jérôme Legavre</v>
      </c>
      <c r="C347">
        <f>IFERROR(__xludf.DUMMYFUNCTION("""COMPUTED_VALUE"""),3.84)</f>
        <v>3.84</v>
      </c>
      <c r="D347">
        <f>IFERROR(__xludf.DUMMYFUNCTION("""COMPUTED_VALUE"""),4.58)</f>
        <v>4.58</v>
      </c>
      <c r="E347">
        <f>IFERROR(__xludf.DUMMYFUNCTION("""COMPUTED_VALUE"""),4.74)</f>
        <v>4.74</v>
      </c>
      <c r="F347">
        <f>IFERROR(__xludf.DUMMYFUNCTION("""COMPUTED_VALUE"""),5.21)</f>
        <v>5.21</v>
      </c>
      <c r="G347">
        <f>IFERROR(__xludf.DUMMYFUNCTION("""COMPUTED_VALUE"""),5.47)</f>
        <v>5.47</v>
      </c>
      <c r="H347">
        <f>IFERROR(__xludf.DUMMYFUNCTION("""COMPUTED_VALUE"""),17.47)</f>
        <v>17.47</v>
      </c>
      <c r="I347">
        <f>IFERROR(__xludf.DUMMYFUNCTION("""COMPUTED_VALUE"""),889.37)</f>
        <v>889.37</v>
      </c>
      <c r="J347">
        <f>IFERROR(__xludf.DUMMYFUNCTION("""COMPUTED_VALUE"""),28.47)</f>
        <v>28.47</v>
      </c>
      <c r="K347">
        <f>IFERROR(__xludf.DUMMYFUNCTION("""COMPUTED_VALUE"""),0.05)</f>
        <v>0.05</v>
      </c>
      <c r="L347">
        <f>IFERROR(__xludf.DUMMYFUNCTION("""COMPUTED_VALUE"""),0.16)</f>
        <v>0.16</v>
      </c>
      <c r="M347">
        <f>IFERROR(__xludf.DUMMYFUNCTION("""COMPUTED_VALUE"""),7.11)</f>
        <v>7.11</v>
      </c>
      <c r="N347">
        <f>IFERROR(__xludf.DUMMYFUNCTION("""COMPUTED_VALUE"""),0.53)</f>
        <v>0.53</v>
      </c>
      <c r="O347">
        <f>IFERROR(__xludf.DUMMYFUNCTION("""COMPUTED_VALUE"""),0.26)</f>
        <v>0.26</v>
      </c>
    </row>
    <row r="348">
      <c r="A348" t="str">
        <f>IFERROR(__xludf.DUMMYFUNCTION("""COMPUTED_VALUE"""),"Legrain")</f>
        <v>Legrain</v>
      </c>
      <c r="B348" t="str">
        <f>IFERROR(__xludf.DUMMYFUNCTION("""COMPUTED_VALUE"""),"Sarah Legrain")</f>
        <v>Sarah Legrain</v>
      </c>
      <c r="C348">
        <f>IFERROR(__xludf.DUMMYFUNCTION("""COMPUTED_VALUE"""),3.95)</f>
        <v>3.95</v>
      </c>
      <c r="D348">
        <f>IFERROR(__xludf.DUMMYFUNCTION("""COMPUTED_VALUE"""),6.47)</f>
        <v>6.47</v>
      </c>
      <c r="E348">
        <f>IFERROR(__xludf.DUMMYFUNCTION("""COMPUTED_VALUE"""),12.74)</f>
        <v>12.74</v>
      </c>
      <c r="F348">
        <f>IFERROR(__xludf.DUMMYFUNCTION("""COMPUTED_VALUE"""),10.74)</f>
        <v>10.74</v>
      </c>
      <c r="G348">
        <f>IFERROR(__xludf.DUMMYFUNCTION("""COMPUTED_VALUE"""),12.26)</f>
        <v>12.26</v>
      </c>
      <c r="H348">
        <f>IFERROR(__xludf.DUMMYFUNCTION("""COMPUTED_VALUE"""),27.89)</f>
        <v>27.89</v>
      </c>
      <c r="I348">
        <f>IFERROR(__xludf.DUMMYFUNCTION("""COMPUTED_VALUE"""),895.32)</f>
        <v>895.32</v>
      </c>
      <c r="J348">
        <f>IFERROR(__xludf.DUMMYFUNCTION("""COMPUTED_VALUE"""),28.74)</f>
        <v>28.74</v>
      </c>
      <c r="K348">
        <f>IFERROR(__xludf.DUMMYFUNCTION("""COMPUTED_VALUE"""),0.0)</f>
        <v>0</v>
      </c>
      <c r="L348">
        <f>IFERROR(__xludf.DUMMYFUNCTION("""COMPUTED_VALUE"""),0.42)</f>
        <v>0.42</v>
      </c>
      <c r="M348">
        <f>IFERROR(__xludf.DUMMYFUNCTION("""COMPUTED_VALUE"""),7.53)</f>
        <v>7.53</v>
      </c>
      <c r="N348">
        <f>IFERROR(__xludf.DUMMYFUNCTION("""COMPUTED_VALUE"""),0.89)</f>
        <v>0.89</v>
      </c>
      <c r="O348">
        <f>IFERROR(__xludf.DUMMYFUNCTION("""COMPUTED_VALUE"""),0.26)</f>
        <v>0.26</v>
      </c>
    </row>
    <row r="349">
      <c r="A349" t="str">
        <f>IFERROR(__xludf.DUMMYFUNCTION("""COMPUTED_VALUE"""),"Lelouis")</f>
        <v>Lelouis</v>
      </c>
      <c r="B349" t="str">
        <f>IFERROR(__xludf.DUMMYFUNCTION("""COMPUTED_VALUE"""),"Gisèle Lelouis")</f>
        <v>Gisèle Lelouis</v>
      </c>
      <c r="C349">
        <f>IFERROR(__xludf.DUMMYFUNCTION("""COMPUTED_VALUE"""),3.58)</f>
        <v>3.58</v>
      </c>
      <c r="D349">
        <f>IFERROR(__xludf.DUMMYFUNCTION("""COMPUTED_VALUE"""),5.16)</f>
        <v>5.16</v>
      </c>
      <c r="E349">
        <f>IFERROR(__xludf.DUMMYFUNCTION("""COMPUTED_VALUE"""),1.95)</f>
        <v>1.95</v>
      </c>
      <c r="F349">
        <f>IFERROR(__xludf.DUMMYFUNCTION("""COMPUTED_VALUE"""),2.95)</f>
        <v>2.95</v>
      </c>
      <c r="G349">
        <f>IFERROR(__xludf.DUMMYFUNCTION("""COMPUTED_VALUE"""),0.11)</f>
        <v>0.11</v>
      </c>
      <c r="H349">
        <f>IFERROR(__xludf.DUMMYFUNCTION("""COMPUTED_VALUE"""),6.42)</f>
        <v>6.42</v>
      </c>
      <c r="I349">
        <f>IFERROR(__xludf.DUMMYFUNCTION("""COMPUTED_VALUE"""),466.47)</f>
        <v>466.47</v>
      </c>
      <c r="J349">
        <f>IFERROR(__xludf.DUMMYFUNCTION("""COMPUTED_VALUE"""),6.47)</f>
        <v>6.47</v>
      </c>
      <c r="K349">
        <f>IFERROR(__xludf.DUMMYFUNCTION("""COMPUTED_VALUE"""),0.0)</f>
        <v>0</v>
      </c>
      <c r="L349">
        <f>IFERROR(__xludf.DUMMYFUNCTION("""COMPUTED_VALUE"""),0.11)</f>
        <v>0.11</v>
      </c>
      <c r="M349">
        <f>IFERROR(__xludf.DUMMYFUNCTION("""COMPUTED_VALUE"""),6.42)</f>
        <v>6.42</v>
      </c>
      <c r="N349">
        <f>IFERROR(__xludf.DUMMYFUNCTION("""COMPUTED_VALUE"""),4.26)</f>
        <v>4.26</v>
      </c>
      <c r="O349">
        <f>IFERROR(__xludf.DUMMYFUNCTION("""COMPUTED_VALUE"""),0.16)</f>
        <v>0.16</v>
      </c>
    </row>
    <row r="350">
      <c r="A350" t="str">
        <f>IFERROR(__xludf.DUMMYFUNCTION("""COMPUTED_VALUE"""),"Lemaire")</f>
        <v>Lemaire</v>
      </c>
      <c r="B350" t="str">
        <f>IFERROR(__xludf.DUMMYFUNCTION("""COMPUTED_VALUE"""),"Didier Lemaire")</f>
        <v>Didier Lemaire</v>
      </c>
      <c r="C350">
        <f>IFERROR(__xludf.DUMMYFUNCTION("""COMPUTED_VALUE"""),3.68)</f>
        <v>3.68</v>
      </c>
      <c r="D350">
        <f>IFERROR(__xludf.DUMMYFUNCTION("""COMPUTED_VALUE"""),4.95)</f>
        <v>4.95</v>
      </c>
      <c r="E350">
        <f>IFERROR(__xludf.DUMMYFUNCTION("""COMPUTED_VALUE"""),15.42)</f>
        <v>15.42</v>
      </c>
      <c r="F350">
        <f>IFERROR(__xludf.DUMMYFUNCTION("""COMPUTED_VALUE"""),1.89)</f>
        <v>1.89</v>
      </c>
      <c r="G350">
        <f>IFERROR(__xludf.DUMMYFUNCTION("""COMPUTED_VALUE"""),0.47)</f>
        <v>0.47</v>
      </c>
      <c r="H350">
        <f>IFERROR(__xludf.DUMMYFUNCTION("""COMPUTED_VALUE"""),1.74)</f>
        <v>1.74</v>
      </c>
      <c r="I350">
        <f>IFERROR(__xludf.DUMMYFUNCTION("""COMPUTED_VALUE"""),63.37)</f>
        <v>63.37</v>
      </c>
      <c r="J350">
        <f>IFERROR(__xludf.DUMMYFUNCTION("""COMPUTED_VALUE"""),14.95)</f>
        <v>14.95</v>
      </c>
      <c r="K350">
        <f>IFERROR(__xludf.DUMMYFUNCTION("""COMPUTED_VALUE"""),0.21)</f>
        <v>0.21</v>
      </c>
      <c r="L350">
        <f>IFERROR(__xludf.DUMMYFUNCTION("""COMPUTED_VALUE"""),0.05)</f>
        <v>0.05</v>
      </c>
      <c r="M350">
        <f>IFERROR(__xludf.DUMMYFUNCTION("""COMPUTED_VALUE"""),2.0)</f>
        <v>2</v>
      </c>
      <c r="N350">
        <f>IFERROR(__xludf.DUMMYFUNCTION("""COMPUTED_VALUE"""),1.84)</f>
        <v>1.84</v>
      </c>
      <c r="O350">
        <f>IFERROR(__xludf.DUMMYFUNCTION("""COMPUTED_VALUE"""),0.53)</f>
        <v>0.53</v>
      </c>
    </row>
    <row r="351">
      <c r="A351" t="str">
        <f>IFERROR(__xludf.DUMMYFUNCTION("""COMPUTED_VALUE"""),"Lemoine")</f>
        <v>Lemoine</v>
      </c>
      <c r="B351" t="str">
        <f>IFERROR(__xludf.DUMMYFUNCTION("""COMPUTED_VALUE"""),"Patricia Lemoine")</f>
        <v>Patricia Lemoine</v>
      </c>
      <c r="C351">
        <f>IFERROR(__xludf.DUMMYFUNCTION("""COMPUTED_VALUE"""),3.89)</f>
        <v>3.89</v>
      </c>
      <c r="D351">
        <f>IFERROR(__xludf.DUMMYFUNCTION("""COMPUTED_VALUE"""),8.22)</f>
        <v>8.22</v>
      </c>
      <c r="E351">
        <f>IFERROR(__xludf.DUMMYFUNCTION("""COMPUTED_VALUE"""),3.5)</f>
        <v>3.5</v>
      </c>
      <c r="F351">
        <f>IFERROR(__xludf.DUMMYFUNCTION("""COMPUTED_VALUE"""),2.0)</f>
        <v>2</v>
      </c>
      <c r="G351">
        <f>IFERROR(__xludf.DUMMYFUNCTION("""COMPUTED_VALUE"""),0.56)</f>
        <v>0.56</v>
      </c>
      <c r="H351">
        <f>IFERROR(__xludf.DUMMYFUNCTION("""COMPUTED_VALUE"""),2.89)</f>
        <v>2.89</v>
      </c>
      <c r="I351">
        <f>IFERROR(__xludf.DUMMYFUNCTION("""COMPUTED_VALUE"""),75.22)</f>
        <v>75.22</v>
      </c>
      <c r="J351">
        <f>IFERROR(__xludf.DUMMYFUNCTION("""COMPUTED_VALUE"""),16.44)</f>
        <v>16.44</v>
      </c>
      <c r="K351">
        <f>IFERROR(__xludf.DUMMYFUNCTION("""COMPUTED_VALUE"""),0.06)</f>
        <v>0.06</v>
      </c>
      <c r="L351">
        <f>IFERROR(__xludf.DUMMYFUNCTION("""COMPUTED_VALUE"""),0.0)</f>
        <v>0</v>
      </c>
      <c r="M351">
        <f>IFERROR(__xludf.DUMMYFUNCTION("""COMPUTED_VALUE"""),2.44)</f>
        <v>2.44</v>
      </c>
      <c r="N351">
        <f>IFERROR(__xludf.DUMMYFUNCTION("""COMPUTED_VALUE"""),1.78)</f>
        <v>1.78</v>
      </c>
      <c r="O351">
        <f>IFERROR(__xludf.DUMMYFUNCTION("""COMPUTED_VALUE"""),0.39)</f>
        <v>0.39</v>
      </c>
    </row>
    <row r="352">
      <c r="A352" t="str">
        <f>IFERROR(__xludf.DUMMYFUNCTION("""COMPUTED_VALUE"""),"Lenormand")</f>
        <v>Lenormand</v>
      </c>
      <c r="B352" t="str">
        <f>IFERROR(__xludf.DUMMYFUNCTION("""COMPUTED_VALUE"""),"Stéphane Lenormand")</f>
        <v>Stéphane Lenormand</v>
      </c>
      <c r="C352">
        <f>IFERROR(__xludf.DUMMYFUNCTION("""COMPUTED_VALUE"""),3.05)</f>
        <v>3.05</v>
      </c>
      <c r="D352">
        <f>IFERROR(__xludf.DUMMYFUNCTION("""COMPUTED_VALUE"""),4.47)</f>
        <v>4.47</v>
      </c>
      <c r="E352">
        <f>IFERROR(__xludf.DUMMYFUNCTION("""COMPUTED_VALUE"""),6.53)</f>
        <v>6.53</v>
      </c>
      <c r="F352">
        <f>IFERROR(__xludf.DUMMYFUNCTION("""COMPUTED_VALUE"""),8.32)</f>
        <v>8.32</v>
      </c>
      <c r="G352">
        <f>IFERROR(__xludf.DUMMYFUNCTION("""COMPUTED_VALUE"""),0.63)</f>
        <v>0.63</v>
      </c>
      <c r="H352">
        <f>IFERROR(__xludf.DUMMYFUNCTION("""COMPUTED_VALUE"""),13.26)</f>
        <v>13.26</v>
      </c>
      <c r="I352">
        <f>IFERROR(__xludf.DUMMYFUNCTION("""COMPUTED_VALUE"""),229.58)</f>
        <v>229.58</v>
      </c>
      <c r="J352">
        <f>IFERROR(__xludf.DUMMYFUNCTION("""COMPUTED_VALUE"""),15.89)</f>
        <v>15.89</v>
      </c>
      <c r="K352">
        <f>IFERROR(__xludf.DUMMYFUNCTION("""COMPUTED_VALUE"""),0.0)</f>
        <v>0</v>
      </c>
      <c r="L352">
        <f>IFERROR(__xludf.DUMMYFUNCTION("""COMPUTED_VALUE"""),0.11)</f>
        <v>0.11</v>
      </c>
      <c r="M352">
        <f>IFERROR(__xludf.DUMMYFUNCTION("""COMPUTED_VALUE"""),2.74)</f>
        <v>2.74</v>
      </c>
      <c r="N352">
        <f>IFERROR(__xludf.DUMMYFUNCTION("""COMPUTED_VALUE"""),0.79)</f>
        <v>0.79</v>
      </c>
      <c r="O352">
        <f>IFERROR(__xludf.DUMMYFUNCTION("""COMPUTED_VALUE"""),0.26)</f>
        <v>0.26</v>
      </c>
    </row>
    <row r="353">
      <c r="A353" t="str">
        <f>IFERROR(__xludf.DUMMYFUNCTION("""COMPUTED_VALUE"""),"Lépinau")</f>
        <v>Lépinau</v>
      </c>
      <c r="B353" t="str">
        <f>IFERROR(__xludf.DUMMYFUNCTION("""COMPUTED_VALUE"""),"Hervé de Lépinau")</f>
        <v>Hervé de Lépinau</v>
      </c>
      <c r="C353">
        <f>IFERROR(__xludf.DUMMYFUNCTION("""COMPUTED_VALUE"""),3.79)</f>
        <v>3.79</v>
      </c>
      <c r="D353">
        <f>IFERROR(__xludf.DUMMYFUNCTION("""COMPUTED_VALUE"""),6.0)</f>
        <v>6</v>
      </c>
      <c r="E353">
        <f>IFERROR(__xludf.DUMMYFUNCTION("""COMPUTED_VALUE"""),8.95)</f>
        <v>8.95</v>
      </c>
      <c r="F353">
        <f>IFERROR(__xludf.DUMMYFUNCTION("""COMPUTED_VALUE"""),14.95)</f>
        <v>14.95</v>
      </c>
      <c r="G353">
        <f>IFERROR(__xludf.DUMMYFUNCTION("""COMPUTED_VALUE"""),7.68)</f>
        <v>7.68</v>
      </c>
      <c r="H353">
        <f>IFERROR(__xludf.DUMMYFUNCTION("""COMPUTED_VALUE"""),9.0)</f>
        <v>9</v>
      </c>
      <c r="I353">
        <f>IFERROR(__xludf.DUMMYFUNCTION("""COMPUTED_VALUE"""),473.68)</f>
        <v>473.68</v>
      </c>
      <c r="J353">
        <f>IFERROR(__xludf.DUMMYFUNCTION("""COMPUTED_VALUE"""),5.95)</f>
        <v>5.95</v>
      </c>
      <c r="K353">
        <f>IFERROR(__xludf.DUMMYFUNCTION("""COMPUTED_VALUE"""),0.11)</f>
        <v>0.11</v>
      </c>
      <c r="L353">
        <f>IFERROR(__xludf.DUMMYFUNCTION("""COMPUTED_VALUE"""),0.05)</f>
        <v>0.05</v>
      </c>
      <c r="M353">
        <f>IFERROR(__xludf.DUMMYFUNCTION("""COMPUTED_VALUE"""),6.95)</f>
        <v>6.95</v>
      </c>
      <c r="N353">
        <f>IFERROR(__xludf.DUMMYFUNCTION("""COMPUTED_VALUE"""),0.68)</f>
        <v>0.68</v>
      </c>
      <c r="O353">
        <f>IFERROR(__xludf.DUMMYFUNCTION("""COMPUTED_VALUE"""),0.21)</f>
        <v>0.21</v>
      </c>
    </row>
    <row r="354">
      <c r="A354" t="str">
        <f>IFERROR(__xludf.DUMMYFUNCTION("""COMPUTED_VALUE"""),"Lepvraud")</f>
        <v>Lepvraud</v>
      </c>
      <c r="B354" t="str">
        <f>IFERROR(__xludf.DUMMYFUNCTION("""COMPUTED_VALUE"""),"Murielle Lepvraud")</f>
        <v>Murielle Lepvraud</v>
      </c>
      <c r="C354">
        <f>IFERROR(__xludf.DUMMYFUNCTION("""COMPUTED_VALUE"""),3.58)</f>
        <v>3.58</v>
      </c>
      <c r="D354">
        <f>IFERROR(__xludf.DUMMYFUNCTION("""COMPUTED_VALUE"""),4.68)</f>
        <v>4.68</v>
      </c>
      <c r="E354">
        <f>IFERROR(__xludf.DUMMYFUNCTION("""COMPUTED_VALUE"""),2.63)</f>
        <v>2.63</v>
      </c>
      <c r="F354">
        <f>IFERROR(__xludf.DUMMYFUNCTION("""COMPUTED_VALUE"""),4.95)</f>
        <v>4.95</v>
      </c>
      <c r="G354">
        <f>IFERROR(__xludf.DUMMYFUNCTION("""COMPUTED_VALUE"""),0.68)</f>
        <v>0.68</v>
      </c>
      <c r="H354">
        <f>IFERROR(__xludf.DUMMYFUNCTION("""COMPUTED_VALUE"""),9.37)</f>
        <v>9.37</v>
      </c>
      <c r="I354">
        <f>IFERROR(__xludf.DUMMYFUNCTION("""COMPUTED_VALUE"""),889.42)</f>
        <v>889.42</v>
      </c>
      <c r="J354">
        <f>IFERROR(__xludf.DUMMYFUNCTION("""COMPUTED_VALUE"""),28.74)</f>
        <v>28.74</v>
      </c>
      <c r="K354">
        <f>IFERROR(__xludf.DUMMYFUNCTION("""COMPUTED_VALUE"""),0.0)</f>
        <v>0</v>
      </c>
      <c r="L354">
        <f>IFERROR(__xludf.DUMMYFUNCTION("""COMPUTED_VALUE"""),0.11)</f>
        <v>0.11</v>
      </c>
      <c r="M354">
        <f>IFERROR(__xludf.DUMMYFUNCTION("""COMPUTED_VALUE"""),7.68)</f>
        <v>7.68</v>
      </c>
      <c r="N354">
        <f>IFERROR(__xludf.DUMMYFUNCTION("""COMPUTED_VALUE"""),2.21)</f>
        <v>2.21</v>
      </c>
      <c r="O354">
        <f>IFERROR(__xludf.DUMMYFUNCTION("""COMPUTED_VALUE"""),0.32)</f>
        <v>0.32</v>
      </c>
    </row>
    <row r="355">
      <c r="A355" t="str">
        <f>IFERROR(__xludf.DUMMYFUNCTION("""COMPUTED_VALUE"""),"Leseul")</f>
        <v>Leseul</v>
      </c>
      <c r="B355" t="str">
        <f>IFERROR(__xludf.DUMMYFUNCTION("""COMPUTED_VALUE"""),"Gérard Leseul")</f>
        <v>Gérard Leseul</v>
      </c>
      <c r="C355">
        <f>IFERROR(__xludf.DUMMYFUNCTION("""COMPUTED_VALUE"""),3.68)</f>
        <v>3.68</v>
      </c>
      <c r="D355">
        <f>IFERROR(__xludf.DUMMYFUNCTION("""COMPUTED_VALUE"""),8.0)</f>
        <v>8</v>
      </c>
      <c r="E355">
        <f>IFERROR(__xludf.DUMMYFUNCTION("""COMPUTED_VALUE"""),25.26)</f>
        <v>25.26</v>
      </c>
      <c r="F355">
        <f>IFERROR(__xludf.DUMMYFUNCTION("""COMPUTED_VALUE"""),30.79)</f>
        <v>30.79</v>
      </c>
      <c r="G355">
        <f>IFERROR(__xludf.DUMMYFUNCTION("""COMPUTED_VALUE"""),7.68)</f>
        <v>7.68</v>
      </c>
      <c r="H355">
        <f>IFERROR(__xludf.DUMMYFUNCTION("""COMPUTED_VALUE"""),34.63)</f>
        <v>34.63</v>
      </c>
      <c r="I355">
        <f>IFERROR(__xludf.DUMMYFUNCTION("""COMPUTED_VALUE"""),480.37)</f>
        <v>480.37</v>
      </c>
      <c r="J355">
        <f>IFERROR(__xludf.DUMMYFUNCTION("""COMPUTED_VALUE"""),26.16)</f>
        <v>26.16</v>
      </c>
      <c r="K355">
        <f>IFERROR(__xludf.DUMMYFUNCTION("""COMPUTED_VALUE"""),0.26)</f>
        <v>0.26</v>
      </c>
      <c r="L355">
        <f>IFERROR(__xludf.DUMMYFUNCTION("""COMPUTED_VALUE"""),0.32)</f>
        <v>0.32</v>
      </c>
      <c r="M355">
        <f>IFERROR(__xludf.DUMMYFUNCTION("""COMPUTED_VALUE"""),3.89)</f>
        <v>3.89</v>
      </c>
      <c r="N355">
        <f>IFERROR(__xludf.DUMMYFUNCTION("""COMPUTED_VALUE"""),3.05)</f>
        <v>3.05</v>
      </c>
      <c r="O355">
        <f>IFERROR(__xludf.DUMMYFUNCTION("""COMPUTED_VALUE"""),0.37)</f>
        <v>0.37</v>
      </c>
    </row>
    <row r="356">
      <c r="A356" t="str">
        <f>IFERROR(__xludf.DUMMYFUNCTION("""COMPUTED_VALUE"""),"Levavasseur")</f>
        <v>Levavasseur</v>
      </c>
      <c r="B356" t="str">
        <f>IFERROR(__xludf.DUMMYFUNCTION("""COMPUTED_VALUE"""),"Katiana Levavasseur")</f>
        <v>Katiana Levavasseur</v>
      </c>
      <c r="C356">
        <f>IFERROR(__xludf.DUMMYFUNCTION("""COMPUTED_VALUE"""),3.37)</f>
        <v>3.37</v>
      </c>
      <c r="D356">
        <f>IFERROR(__xludf.DUMMYFUNCTION("""COMPUTED_VALUE"""),4.68)</f>
        <v>4.68</v>
      </c>
      <c r="E356">
        <f>IFERROR(__xludf.DUMMYFUNCTION("""COMPUTED_VALUE"""),2.89)</f>
        <v>2.89</v>
      </c>
      <c r="F356">
        <f>IFERROR(__xludf.DUMMYFUNCTION("""COMPUTED_VALUE"""),1.89)</f>
        <v>1.89</v>
      </c>
      <c r="G356">
        <f>IFERROR(__xludf.DUMMYFUNCTION("""COMPUTED_VALUE"""),0.53)</f>
        <v>0.53</v>
      </c>
      <c r="H356">
        <f>IFERROR(__xludf.DUMMYFUNCTION("""COMPUTED_VALUE"""),13.11)</f>
        <v>13.11</v>
      </c>
      <c r="I356">
        <f>IFERROR(__xludf.DUMMYFUNCTION("""COMPUTED_VALUE"""),484.0)</f>
        <v>484</v>
      </c>
      <c r="J356">
        <f>IFERROR(__xludf.DUMMYFUNCTION("""COMPUTED_VALUE"""),5.95)</f>
        <v>5.95</v>
      </c>
      <c r="K356">
        <f>IFERROR(__xludf.DUMMYFUNCTION("""COMPUTED_VALUE"""),0.0)</f>
        <v>0</v>
      </c>
      <c r="L356">
        <f>IFERROR(__xludf.DUMMYFUNCTION("""COMPUTED_VALUE"""),0.05)</f>
        <v>0.05</v>
      </c>
      <c r="M356">
        <f>IFERROR(__xludf.DUMMYFUNCTION("""COMPUTED_VALUE"""),7.05)</f>
        <v>7.05</v>
      </c>
      <c r="N356">
        <f>IFERROR(__xludf.DUMMYFUNCTION("""COMPUTED_VALUE"""),3.37)</f>
        <v>3.37</v>
      </c>
      <c r="O356">
        <f>IFERROR(__xludf.DUMMYFUNCTION("""COMPUTED_VALUE"""),0.21)</f>
        <v>0.21</v>
      </c>
    </row>
    <row r="357">
      <c r="A357" t="str">
        <f>IFERROR(__xludf.DUMMYFUNCTION("""COMPUTED_VALUE"""),"Lingemann")</f>
        <v>Lingemann</v>
      </c>
      <c r="B357" t="str">
        <f>IFERROR(__xludf.DUMMYFUNCTION("""COMPUTED_VALUE"""),"Delphine Lingemann")</f>
        <v>Delphine Lingemann</v>
      </c>
      <c r="C357">
        <f>IFERROR(__xludf.DUMMYFUNCTION("""COMPUTED_VALUE"""),3.63)</f>
        <v>3.63</v>
      </c>
      <c r="D357">
        <f>IFERROR(__xludf.DUMMYFUNCTION("""COMPUTED_VALUE"""),6.58)</f>
        <v>6.58</v>
      </c>
      <c r="E357">
        <f>IFERROR(__xludf.DUMMYFUNCTION("""COMPUTED_VALUE"""),5.53)</f>
        <v>5.53</v>
      </c>
      <c r="F357">
        <f>IFERROR(__xludf.DUMMYFUNCTION("""COMPUTED_VALUE"""),3.74)</f>
        <v>3.74</v>
      </c>
      <c r="G357">
        <f>IFERROR(__xludf.DUMMYFUNCTION("""COMPUTED_VALUE"""),2.53)</f>
        <v>2.53</v>
      </c>
      <c r="H357">
        <f>IFERROR(__xludf.DUMMYFUNCTION("""COMPUTED_VALUE"""),13.37)</f>
        <v>13.37</v>
      </c>
      <c r="I357">
        <f>IFERROR(__xludf.DUMMYFUNCTION("""COMPUTED_VALUE"""),95.42)</f>
        <v>95.42</v>
      </c>
      <c r="J357">
        <f>IFERROR(__xludf.DUMMYFUNCTION("""COMPUTED_VALUE"""),16.79)</f>
        <v>16.79</v>
      </c>
      <c r="K357">
        <f>IFERROR(__xludf.DUMMYFUNCTION("""COMPUTED_VALUE"""),0.05)</f>
        <v>0.05</v>
      </c>
      <c r="L357">
        <f>IFERROR(__xludf.DUMMYFUNCTION("""COMPUTED_VALUE"""),0.05)</f>
        <v>0.05</v>
      </c>
      <c r="M357">
        <f>IFERROR(__xludf.DUMMYFUNCTION("""COMPUTED_VALUE"""),1.53)</f>
        <v>1.53</v>
      </c>
      <c r="N357">
        <f>IFERROR(__xludf.DUMMYFUNCTION("""COMPUTED_VALUE"""),3.16)</f>
        <v>3.16</v>
      </c>
      <c r="O357">
        <f>IFERROR(__xludf.DUMMYFUNCTION("""COMPUTED_VALUE"""),0.26)</f>
        <v>0.26</v>
      </c>
    </row>
    <row r="358">
      <c r="A358" t="str">
        <f>IFERROR(__xludf.DUMMYFUNCTION("""COMPUTED_VALUE"""),"Liso")</f>
        <v>Liso</v>
      </c>
      <c r="B358" t="str">
        <f>IFERROR(__xludf.DUMMYFUNCTION("""COMPUTED_VALUE"""),"Brigitte Liso")</f>
        <v>Brigitte Liso</v>
      </c>
      <c r="C358">
        <f>IFERROR(__xludf.DUMMYFUNCTION("""COMPUTED_VALUE"""),3.89)</f>
        <v>3.89</v>
      </c>
      <c r="D358">
        <f>IFERROR(__xludf.DUMMYFUNCTION("""COMPUTED_VALUE"""),6.63)</f>
        <v>6.63</v>
      </c>
      <c r="E358">
        <f>IFERROR(__xludf.DUMMYFUNCTION("""COMPUTED_VALUE"""),6.74)</f>
        <v>6.74</v>
      </c>
      <c r="F358">
        <f>IFERROR(__xludf.DUMMYFUNCTION("""COMPUTED_VALUE"""),8.32)</f>
        <v>8.32</v>
      </c>
      <c r="G358">
        <f>IFERROR(__xludf.DUMMYFUNCTION("""COMPUTED_VALUE"""),3.26)</f>
        <v>3.26</v>
      </c>
      <c r="H358">
        <f>IFERROR(__xludf.DUMMYFUNCTION("""COMPUTED_VALUE"""),4.11)</f>
        <v>4.11</v>
      </c>
      <c r="I358">
        <f>IFERROR(__xludf.DUMMYFUNCTION("""COMPUTED_VALUE"""),61.42)</f>
        <v>61.42</v>
      </c>
      <c r="J358">
        <f>IFERROR(__xludf.DUMMYFUNCTION("""COMPUTED_VALUE"""),17.79)</f>
        <v>17.79</v>
      </c>
      <c r="K358">
        <f>IFERROR(__xludf.DUMMYFUNCTION("""COMPUTED_VALUE"""),0.26)</f>
        <v>0.26</v>
      </c>
      <c r="L358">
        <f>IFERROR(__xludf.DUMMYFUNCTION("""COMPUTED_VALUE"""),0.11)</f>
        <v>0.11</v>
      </c>
      <c r="M358">
        <f>IFERROR(__xludf.DUMMYFUNCTION("""COMPUTED_VALUE"""),2.21)</f>
        <v>2.21</v>
      </c>
      <c r="N358">
        <f>IFERROR(__xludf.DUMMYFUNCTION("""COMPUTED_VALUE"""),0.53)</f>
        <v>0.53</v>
      </c>
      <c r="O358">
        <f>IFERROR(__xludf.DUMMYFUNCTION("""COMPUTED_VALUE"""),0.26)</f>
        <v>0.26</v>
      </c>
    </row>
    <row r="359">
      <c r="A359" t="str">
        <f>IFERROR(__xludf.DUMMYFUNCTION("""COMPUTED_VALUE"""),"Loir")</f>
        <v>Loir</v>
      </c>
      <c r="B359" t="str">
        <f>IFERROR(__xludf.DUMMYFUNCTION("""COMPUTED_VALUE"""),"Christine Loir")</f>
        <v>Christine Loir</v>
      </c>
      <c r="C359">
        <f>IFERROR(__xludf.DUMMYFUNCTION("""COMPUTED_VALUE"""),3.79)</f>
        <v>3.79</v>
      </c>
      <c r="D359">
        <f>IFERROR(__xludf.DUMMYFUNCTION("""COMPUTED_VALUE"""),6.47)</f>
        <v>6.47</v>
      </c>
      <c r="E359">
        <f>IFERROR(__xludf.DUMMYFUNCTION("""COMPUTED_VALUE"""),3.37)</f>
        <v>3.37</v>
      </c>
      <c r="F359">
        <f>IFERROR(__xludf.DUMMYFUNCTION("""COMPUTED_VALUE"""),2.11)</f>
        <v>2.11</v>
      </c>
      <c r="G359">
        <f>IFERROR(__xludf.DUMMYFUNCTION("""COMPUTED_VALUE"""),0.32)</f>
        <v>0.32</v>
      </c>
      <c r="H359">
        <f>IFERROR(__xludf.DUMMYFUNCTION("""COMPUTED_VALUE"""),10.32)</f>
        <v>10.32</v>
      </c>
      <c r="I359">
        <f>IFERROR(__xludf.DUMMYFUNCTION("""COMPUTED_VALUE"""),477.32)</f>
        <v>477.32</v>
      </c>
      <c r="J359">
        <f>IFERROR(__xludf.DUMMYFUNCTION("""COMPUTED_VALUE"""),5.79)</f>
        <v>5.79</v>
      </c>
      <c r="K359">
        <f>IFERROR(__xludf.DUMMYFUNCTION("""COMPUTED_VALUE"""),0.05)</f>
        <v>0.05</v>
      </c>
      <c r="L359">
        <f>IFERROR(__xludf.DUMMYFUNCTION("""COMPUTED_VALUE"""),0.05)</f>
        <v>0.05</v>
      </c>
      <c r="M359">
        <f>IFERROR(__xludf.DUMMYFUNCTION("""COMPUTED_VALUE"""),5.47)</f>
        <v>5.47</v>
      </c>
      <c r="N359">
        <f>IFERROR(__xludf.DUMMYFUNCTION("""COMPUTED_VALUE"""),4.68)</f>
        <v>4.68</v>
      </c>
      <c r="O359">
        <f>IFERROR(__xludf.DUMMYFUNCTION("""COMPUTED_VALUE"""),0.16)</f>
        <v>0.16</v>
      </c>
    </row>
    <row r="360">
      <c r="A360" t="str">
        <f>IFERROR(__xludf.DUMMYFUNCTION("""COMPUTED_VALUE"""),"Lopez-Liguori")</f>
        <v>Lopez-Liguori</v>
      </c>
      <c r="B360" t="str">
        <f>IFERROR(__xludf.DUMMYFUNCTION("""COMPUTED_VALUE"""),"Aurélien Lopez-Liguori")</f>
        <v>Aurélien Lopez-Liguori</v>
      </c>
      <c r="C360">
        <f>IFERROR(__xludf.DUMMYFUNCTION("""COMPUTED_VALUE"""),3.79)</f>
        <v>3.79</v>
      </c>
      <c r="D360">
        <f>IFERROR(__xludf.DUMMYFUNCTION("""COMPUTED_VALUE"""),5.16)</f>
        <v>5.16</v>
      </c>
      <c r="E360">
        <f>IFERROR(__xludf.DUMMYFUNCTION("""COMPUTED_VALUE"""),6.0)</f>
        <v>6</v>
      </c>
      <c r="F360">
        <f>IFERROR(__xludf.DUMMYFUNCTION("""COMPUTED_VALUE"""),8.0)</f>
        <v>8</v>
      </c>
      <c r="G360">
        <f>IFERROR(__xludf.DUMMYFUNCTION("""COMPUTED_VALUE"""),2.05)</f>
        <v>2.05</v>
      </c>
      <c r="H360">
        <f>IFERROR(__xludf.DUMMYFUNCTION("""COMPUTED_VALUE"""),15.47)</f>
        <v>15.47</v>
      </c>
      <c r="I360">
        <f>IFERROR(__xludf.DUMMYFUNCTION("""COMPUTED_VALUE"""),448.05)</f>
        <v>448.05</v>
      </c>
      <c r="J360">
        <f>IFERROR(__xludf.DUMMYFUNCTION("""COMPUTED_VALUE"""),6.05)</f>
        <v>6.05</v>
      </c>
      <c r="K360">
        <f>IFERROR(__xludf.DUMMYFUNCTION("""COMPUTED_VALUE"""),0.26)</f>
        <v>0.26</v>
      </c>
      <c r="L360">
        <f>IFERROR(__xludf.DUMMYFUNCTION("""COMPUTED_VALUE"""),0.16)</f>
        <v>0.16</v>
      </c>
      <c r="M360">
        <f>IFERROR(__xludf.DUMMYFUNCTION("""COMPUTED_VALUE"""),5.26)</f>
        <v>5.26</v>
      </c>
      <c r="N360">
        <f>IFERROR(__xludf.DUMMYFUNCTION("""COMPUTED_VALUE"""),1.32)</f>
        <v>1.32</v>
      </c>
      <c r="O360">
        <f>IFERROR(__xludf.DUMMYFUNCTION("""COMPUTED_VALUE"""),0.21)</f>
        <v>0.21</v>
      </c>
    </row>
    <row r="361">
      <c r="A361" t="str">
        <f>IFERROR(__xludf.DUMMYFUNCTION("""COMPUTED_VALUE"""),"Lorho")</f>
        <v>Lorho</v>
      </c>
      <c r="B361" t="str">
        <f>IFERROR(__xludf.DUMMYFUNCTION("""COMPUTED_VALUE"""),"Marie-France Lorho")</f>
        <v>Marie-France Lorho</v>
      </c>
      <c r="C361">
        <f>IFERROR(__xludf.DUMMYFUNCTION("""COMPUTED_VALUE"""),3.68)</f>
        <v>3.68</v>
      </c>
      <c r="D361">
        <f>IFERROR(__xludf.DUMMYFUNCTION("""COMPUTED_VALUE"""),6.47)</f>
        <v>6.47</v>
      </c>
      <c r="E361">
        <f>IFERROR(__xludf.DUMMYFUNCTION("""COMPUTED_VALUE"""),3.68)</f>
        <v>3.68</v>
      </c>
      <c r="F361">
        <f>IFERROR(__xludf.DUMMYFUNCTION("""COMPUTED_VALUE"""),3.74)</f>
        <v>3.74</v>
      </c>
      <c r="G361">
        <f>IFERROR(__xludf.DUMMYFUNCTION("""COMPUTED_VALUE"""),0.47)</f>
        <v>0.47</v>
      </c>
      <c r="H361">
        <f>IFERROR(__xludf.DUMMYFUNCTION("""COMPUTED_VALUE"""),12.0)</f>
        <v>12</v>
      </c>
      <c r="I361">
        <f>IFERROR(__xludf.DUMMYFUNCTION("""COMPUTED_VALUE"""),475.26)</f>
        <v>475.26</v>
      </c>
      <c r="J361">
        <f>IFERROR(__xludf.DUMMYFUNCTION("""COMPUTED_VALUE"""),5.89)</f>
        <v>5.89</v>
      </c>
      <c r="K361">
        <f>IFERROR(__xludf.DUMMYFUNCTION("""COMPUTED_VALUE"""),0.0)</f>
        <v>0</v>
      </c>
      <c r="L361">
        <f>IFERROR(__xludf.DUMMYFUNCTION("""COMPUTED_VALUE"""),0.37)</f>
        <v>0.37</v>
      </c>
      <c r="M361">
        <f>IFERROR(__xludf.DUMMYFUNCTION("""COMPUTED_VALUE"""),6.0)</f>
        <v>6</v>
      </c>
      <c r="N361">
        <f>IFERROR(__xludf.DUMMYFUNCTION("""COMPUTED_VALUE"""),5.26)</f>
        <v>5.26</v>
      </c>
      <c r="O361">
        <f>IFERROR(__xludf.DUMMYFUNCTION("""COMPUTED_VALUE"""),0.21)</f>
        <v>0.21</v>
      </c>
    </row>
    <row r="362">
      <c r="A362" t="str">
        <f>IFERROR(__xludf.DUMMYFUNCTION("""COMPUTED_VALUE"""),"Lottiaux")</f>
        <v>Lottiaux</v>
      </c>
      <c r="B362" t="str">
        <f>IFERROR(__xludf.DUMMYFUNCTION("""COMPUTED_VALUE"""),"Philippe Lottiaux")</f>
        <v>Philippe Lottiaux</v>
      </c>
      <c r="C362">
        <f>IFERROR(__xludf.DUMMYFUNCTION("""COMPUTED_VALUE"""),3.95)</f>
        <v>3.95</v>
      </c>
      <c r="D362">
        <f>IFERROR(__xludf.DUMMYFUNCTION("""COMPUTED_VALUE"""),8.58)</f>
        <v>8.58</v>
      </c>
      <c r="E362">
        <f>IFERROR(__xludf.DUMMYFUNCTION("""COMPUTED_VALUE"""),9.05)</f>
        <v>9.05</v>
      </c>
      <c r="F362">
        <f>IFERROR(__xludf.DUMMYFUNCTION("""COMPUTED_VALUE"""),7.68)</f>
        <v>7.68</v>
      </c>
      <c r="G362">
        <f>IFERROR(__xludf.DUMMYFUNCTION("""COMPUTED_VALUE"""),3.26)</f>
        <v>3.26</v>
      </c>
      <c r="H362">
        <f>IFERROR(__xludf.DUMMYFUNCTION("""COMPUTED_VALUE"""),8.37)</f>
        <v>8.37</v>
      </c>
      <c r="I362">
        <f>IFERROR(__xludf.DUMMYFUNCTION("""COMPUTED_VALUE"""),457.0)</f>
        <v>457</v>
      </c>
      <c r="J362">
        <f>IFERROR(__xludf.DUMMYFUNCTION("""COMPUTED_VALUE"""),5.53)</f>
        <v>5.53</v>
      </c>
      <c r="K362">
        <f>IFERROR(__xludf.DUMMYFUNCTION("""COMPUTED_VALUE"""),0.16)</f>
        <v>0.16</v>
      </c>
      <c r="L362">
        <f>IFERROR(__xludf.DUMMYFUNCTION("""COMPUTED_VALUE"""),0.26)</f>
        <v>0.26</v>
      </c>
      <c r="M362">
        <f>IFERROR(__xludf.DUMMYFUNCTION("""COMPUTED_VALUE"""),7.68)</f>
        <v>7.68</v>
      </c>
      <c r="N362">
        <f>IFERROR(__xludf.DUMMYFUNCTION("""COMPUTED_VALUE"""),3.16)</f>
        <v>3.16</v>
      </c>
      <c r="O362">
        <f>IFERROR(__xludf.DUMMYFUNCTION("""COMPUTED_VALUE"""),0.26)</f>
        <v>0.26</v>
      </c>
    </row>
    <row r="363">
      <c r="A363" t="str">
        <f>IFERROR(__xludf.DUMMYFUNCTION("""COMPUTED_VALUE"""),"Loubet")</f>
        <v>Loubet</v>
      </c>
      <c r="B363" t="str">
        <f>IFERROR(__xludf.DUMMYFUNCTION("""COMPUTED_VALUE"""),"Alexandre Loubet")</f>
        <v>Alexandre Loubet</v>
      </c>
      <c r="C363">
        <f>IFERROR(__xludf.DUMMYFUNCTION("""COMPUTED_VALUE"""),3.68)</f>
        <v>3.68</v>
      </c>
      <c r="D363">
        <f>IFERROR(__xludf.DUMMYFUNCTION("""COMPUTED_VALUE"""),4.42)</f>
        <v>4.42</v>
      </c>
      <c r="E363">
        <f>IFERROR(__xludf.DUMMYFUNCTION("""COMPUTED_VALUE"""),4.37)</f>
        <v>4.37</v>
      </c>
      <c r="F363">
        <f>IFERROR(__xludf.DUMMYFUNCTION("""COMPUTED_VALUE"""),17.11)</f>
        <v>17.11</v>
      </c>
      <c r="G363">
        <f>IFERROR(__xludf.DUMMYFUNCTION("""COMPUTED_VALUE"""),5.89)</f>
        <v>5.89</v>
      </c>
      <c r="H363">
        <f>IFERROR(__xludf.DUMMYFUNCTION("""COMPUTED_VALUE"""),5.63)</f>
        <v>5.63</v>
      </c>
      <c r="I363">
        <f>IFERROR(__xludf.DUMMYFUNCTION("""COMPUTED_VALUE"""),435.16)</f>
        <v>435.16</v>
      </c>
      <c r="J363">
        <f>IFERROR(__xludf.DUMMYFUNCTION("""COMPUTED_VALUE"""),5.42)</f>
        <v>5.42</v>
      </c>
      <c r="K363">
        <f>IFERROR(__xludf.DUMMYFUNCTION("""COMPUTED_VALUE"""),0.05)</f>
        <v>0.05</v>
      </c>
      <c r="L363">
        <f>IFERROR(__xludf.DUMMYFUNCTION("""COMPUTED_VALUE"""),0.11)</f>
        <v>0.11</v>
      </c>
      <c r="M363">
        <f>IFERROR(__xludf.DUMMYFUNCTION("""COMPUTED_VALUE"""),5.63)</f>
        <v>5.63</v>
      </c>
      <c r="N363">
        <f>IFERROR(__xludf.DUMMYFUNCTION("""COMPUTED_VALUE"""),1.32)</f>
        <v>1.32</v>
      </c>
      <c r="O363">
        <f>IFERROR(__xludf.DUMMYFUNCTION("""COMPUTED_VALUE"""),0.26)</f>
        <v>0.26</v>
      </c>
    </row>
    <row r="364">
      <c r="A364" t="str">
        <f>IFERROR(__xludf.DUMMYFUNCTION("""COMPUTED_VALUE"""),"Louwagie")</f>
        <v>Louwagie</v>
      </c>
      <c r="B364" t="str">
        <f>IFERROR(__xludf.DUMMYFUNCTION("""COMPUTED_VALUE"""),"Véronique Louwagie")</f>
        <v>Véronique Louwagie</v>
      </c>
      <c r="C364">
        <f>IFERROR(__xludf.DUMMYFUNCTION("""COMPUTED_VALUE"""),3.95)</f>
        <v>3.95</v>
      </c>
      <c r="D364">
        <f>IFERROR(__xludf.DUMMYFUNCTION("""COMPUTED_VALUE"""),11.26)</f>
        <v>11.26</v>
      </c>
      <c r="E364">
        <f>IFERROR(__xludf.DUMMYFUNCTION("""COMPUTED_VALUE"""),33.84)</f>
        <v>33.84</v>
      </c>
      <c r="F364">
        <f>IFERROR(__xludf.DUMMYFUNCTION("""COMPUTED_VALUE"""),29.0)</f>
        <v>29</v>
      </c>
      <c r="G364">
        <f>IFERROR(__xludf.DUMMYFUNCTION("""COMPUTED_VALUE"""),17.42)</f>
        <v>17.42</v>
      </c>
      <c r="H364">
        <f>IFERROR(__xludf.DUMMYFUNCTION("""COMPUTED_VALUE"""),66.84)</f>
        <v>66.84</v>
      </c>
      <c r="I364">
        <f>IFERROR(__xludf.DUMMYFUNCTION("""COMPUTED_VALUE"""),360.11)</f>
        <v>360.11</v>
      </c>
      <c r="J364">
        <f>IFERROR(__xludf.DUMMYFUNCTION("""COMPUTED_VALUE"""),12.95)</f>
        <v>12.95</v>
      </c>
      <c r="K364">
        <f>IFERROR(__xludf.DUMMYFUNCTION("""COMPUTED_VALUE"""),0.32)</f>
        <v>0.32</v>
      </c>
      <c r="L364">
        <f>IFERROR(__xludf.DUMMYFUNCTION("""COMPUTED_VALUE"""),0.37)</f>
        <v>0.37</v>
      </c>
      <c r="M364">
        <f>IFERROR(__xludf.DUMMYFUNCTION("""COMPUTED_VALUE"""),10.68)</f>
        <v>10.68</v>
      </c>
      <c r="N364">
        <f>IFERROR(__xludf.DUMMYFUNCTION("""COMPUTED_VALUE"""),4.58)</f>
        <v>4.58</v>
      </c>
      <c r="O364">
        <f>IFERROR(__xludf.DUMMYFUNCTION("""COMPUTED_VALUE"""),0.37)</f>
        <v>0.37</v>
      </c>
    </row>
    <row r="365">
      <c r="A365" t="str">
        <f>IFERROR(__xludf.DUMMYFUNCTION("""COMPUTED_VALUE"""),"Lovisolo")</f>
        <v>Lovisolo</v>
      </c>
      <c r="B365" t="str">
        <f>IFERROR(__xludf.DUMMYFUNCTION("""COMPUTED_VALUE"""),"Jean-François Lovisolo")</f>
        <v>Jean-François Lovisolo</v>
      </c>
      <c r="C365">
        <f>IFERROR(__xludf.DUMMYFUNCTION("""COMPUTED_VALUE"""),3.42)</f>
        <v>3.42</v>
      </c>
      <c r="D365">
        <f>IFERROR(__xludf.DUMMYFUNCTION("""COMPUTED_VALUE"""),5.95)</f>
        <v>5.95</v>
      </c>
      <c r="E365">
        <f>IFERROR(__xludf.DUMMYFUNCTION("""COMPUTED_VALUE"""),1.95)</f>
        <v>1.95</v>
      </c>
      <c r="F365">
        <f>IFERROR(__xludf.DUMMYFUNCTION("""COMPUTED_VALUE"""),0.68)</f>
        <v>0.68</v>
      </c>
      <c r="G365">
        <f>IFERROR(__xludf.DUMMYFUNCTION("""COMPUTED_VALUE"""),0.26)</f>
        <v>0.26</v>
      </c>
      <c r="H365">
        <f>IFERROR(__xludf.DUMMYFUNCTION("""COMPUTED_VALUE"""),9.11)</f>
        <v>9.11</v>
      </c>
      <c r="I365">
        <f>IFERROR(__xludf.DUMMYFUNCTION("""COMPUTED_VALUE"""),67.79)</f>
        <v>67.79</v>
      </c>
      <c r="J365">
        <f>IFERROR(__xludf.DUMMYFUNCTION("""COMPUTED_VALUE"""),16.84)</f>
        <v>16.84</v>
      </c>
      <c r="K365">
        <f>IFERROR(__xludf.DUMMYFUNCTION("""COMPUTED_VALUE"""),0.0)</f>
        <v>0</v>
      </c>
      <c r="L365">
        <f>IFERROR(__xludf.DUMMYFUNCTION("""COMPUTED_VALUE"""),0.16)</f>
        <v>0.16</v>
      </c>
      <c r="M365">
        <f>IFERROR(__xludf.DUMMYFUNCTION("""COMPUTED_VALUE"""),2.53)</f>
        <v>2.53</v>
      </c>
      <c r="N365">
        <f>IFERROR(__xludf.DUMMYFUNCTION("""COMPUTED_VALUE"""),3.11)</f>
        <v>3.11</v>
      </c>
      <c r="O365">
        <f>IFERROR(__xludf.DUMMYFUNCTION("""COMPUTED_VALUE"""),0.05)</f>
        <v>0.05</v>
      </c>
    </row>
    <row r="366">
      <c r="A366" t="str">
        <f>IFERROR(__xludf.DUMMYFUNCTION("""COMPUTED_VALUE"""),"Lucas-Lundy")</f>
        <v>Lucas-Lundy</v>
      </c>
      <c r="B366" t="str">
        <f>IFERROR(__xludf.DUMMYFUNCTION("""COMPUTED_VALUE"""),"Benjamin Lucas-Lundy")</f>
        <v>Benjamin Lucas-Lundy</v>
      </c>
      <c r="C366">
        <f>IFERROR(__xludf.DUMMYFUNCTION("""COMPUTED_VALUE"""),4.05)</f>
        <v>4.05</v>
      </c>
      <c r="D366">
        <f>IFERROR(__xludf.DUMMYFUNCTION("""COMPUTED_VALUE"""),5.42)</f>
        <v>5.42</v>
      </c>
      <c r="E366">
        <f>IFERROR(__xludf.DUMMYFUNCTION("""COMPUTED_VALUE"""),10.58)</f>
        <v>10.58</v>
      </c>
      <c r="F366">
        <f>IFERROR(__xludf.DUMMYFUNCTION("""COMPUTED_VALUE"""),48.11)</f>
        <v>48.11</v>
      </c>
      <c r="G366">
        <f>IFERROR(__xludf.DUMMYFUNCTION("""COMPUTED_VALUE"""),131.0)</f>
        <v>131</v>
      </c>
      <c r="H366">
        <f>IFERROR(__xludf.DUMMYFUNCTION("""COMPUTED_VALUE"""),29.0)</f>
        <v>29</v>
      </c>
      <c r="I366">
        <f>IFERROR(__xludf.DUMMYFUNCTION("""COMPUTED_VALUE"""),526.89)</f>
        <v>526.89</v>
      </c>
      <c r="J366">
        <f>IFERROR(__xludf.DUMMYFUNCTION("""COMPUTED_VALUE"""),20.05)</f>
        <v>20.05</v>
      </c>
      <c r="K366">
        <f>IFERROR(__xludf.DUMMYFUNCTION("""COMPUTED_VALUE"""),0.0)</f>
        <v>0</v>
      </c>
      <c r="L366">
        <f>IFERROR(__xludf.DUMMYFUNCTION("""COMPUTED_VALUE"""),0.47)</f>
        <v>0.47</v>
      </c>
      <c r="M366">
        <f>IFERROR(__xludf.DUMMYFUNCTION("""COMPUTED_VALUE"""),3.95)</f>
        <v>3.95</v>
      </c>
      <c r="N366">
        <f>IFERROR(__xludf.DUMMYFUNCTION("""COMPUTED_VALUE"""),0.21)</f>
        <v>0.21</v>
      </c>
      <c r="O366">
        <f>IFERROR(__xludf.DUMMYFUNCTION("""COMPUTED_VALUE"""),0.53)</f>
        <v>0.53</v>
      </c>
    </row>
    <row r="367">
      <c r="A367" t="str">
        <f>IFERROR(__xludf.DUMMYFUNCTION("""COMPUTED_VALUE"""),"Luquet")</f>
        <v>Luquet</v>
      </c>
      <c r="B367" t="str">
        <f>IFERROR(__xludf.DUMMYFUNCTION("""COMPUTED_VALUE"""),"Aude Luquet")</f>
        <v>Aude Luquet</v>
      </c>
      <c r="C367">
        <f>IFERROR(__xludf.DUMMYFUNCTION("""COMPUTED_VALUE"""),3.63)</f>
        <v>3.63</v>
      </c>
      <c r="D367">
        <f>IFERROR(__xludf.DUMMYFUNCTION("""COMPUTED_VALUE"""),5.16)</f>
        <v>5.16</v>
      </c>
      <c r="E367">
        <f>IFERROR(__xludf.DUMMYFUNCTION("""COMPUTED_VALUE"""),9.05)</f>
        <v>9.05</v>
      </c>
      <c r="F367">
        <f>IFERROR(__xludf.DUMMYFUNCTION("""COMPUTED_VALUE"""),7.95)</f>
        <v>7.95</v>
      </c>
      <c r="G367">
        <f>IFERROR(__xludf.DUMMYFUNCTION("""COMPUTED_VALUE"""),2.84)</f>
        <v>2.84</v>
      </c>
      <c r="H367">
        <f>IFERROR(__xludf.DUMMYFUNCTION("""COMPUTED_VALUE"""),6.16)</f>
        <v>6.16</v>
      </c>
      <c r="I367">
        <f>IFERROR(__xludf.DUMMYFUNCTION("""COMPUTED_VALUE"""),64.21)</f>
        <v>64.21</v>
      </c>
      <c r="J367">
        <f>IFERROR(__xludf.DUMMYFUNCTION("""COMPUTED_VALUE"""),17.26)</f>
        <v>17.26</v>
      </c>
      <c r="K367">
        <f>IFERROR(__xludf.DUMMYFUNCTION("""COMPUTED_VALUE"""),0.05)</f>
        <v>0.05</v>
      </c>
      <c r="L367">
        <f>IFERROR(__xludf.DUMMYFUNCTION("""COMPUTED_VALUE"""),0.16)</f>
        <v>0.16</v>
      </c>
      <c r="M367">
        <f>IFERROR(__xludf.DUMMYFUNCTION("""COMPUTED_VALUE"""),0.84)</f>
        <v>0.84</v>
      </c>
      <c r="N367">
        <f>IFERROR(__xludf.DUMMYFUNCTION("""COMPUTED_VALUE"""),0.42)</f>
        <v>0.42</v>
      </c>
      <c r="O367">
        <f>IFERROR(__xludf.DUMMYFUNCTION("""COMPUTED_VALUE"""),0.32)</f>
        <v>0.32</v>
      </c>
    </row>
    <row r="368">
      <c r="A368" t="str">
        <f>IFERROR(__xludf.DUMMYFUNCTION("""COMPUTED_VALUE"""),"Magnier")</f>
        <v>Magnier</v>
      </c>
      <c r="B368" t="str">
        <f>IFERROR(__xludf.DUMMYFUNCTION("""COMPUTED_VALUE"""),"Lise Magnier")</f>
        <v>Lise Magnier</v>
      </c>
      <c r="C368">
        <f>IFERROR(__xludf.DUMMYFUNCTION("""COMPUTED_VALUE"""),4.05)</f>
        <v>4.05</v>
      </c>
      <c r="D368">
        <f>IFERROR(__xludf.DUMMYFUNCTION("""COMPUTED_VALUE"""),8.58)</f>
        <v>8.58</v>
      </c>
      <c r="E368">
        <f>IFERROR(__xludf.DUMMYFUNCTION("""COMPUTED_VALUE"""),5.84)</f>
        <v>5.84</v>
      </c>
      <c r="F368">
        <f>IFERROR(__xludf.DUMMYFUNCTION("""COMPUTED_VALUE"""),6.0)</f>
        <v>6</v>
      </c>
      <c r="G368">
        <f>IFERROR(__xludf.DUMMYFUNCTION("""COMPUTED_VALUE"""),0.58)</f>
        <v>0.58</v>
      </c>
      <c r="H368">
        <f>IFERROR(__xludf.DUMMYFUNCTION("""COMPUTED_VALUE"""),14.26)</f>
        <v>14.26</v>
      </c>
      <c r="I368">
        <f>IFERROR(__xludf.DUMMYFUNCTION("""COMPUTED_VALUE"""),74.84)</f>
        <v>74.84</v>
      </c>
      <c r="J368">
        <f>IFERROR(__xludf.DUMMYFUNCTION("""COMPUTED_VALUE"""),14.37)</f>
        <v>14.37</v>
      </c>
      <c r="K368">
        <f>IFERROR(__xludf.DUMMYFUNCTION("""COMPUTED_VALUE"""),0.0)</f>
        <v>0</v>
      </c>
      <c r="L368">
        <f>IFERROR(__xludf.DUMMYFUNCTION("""COMPUTED_VALUE"""),0.0)</f>
        <v>0</v>
      </c>
      <c r="M368">
        <f>IFERROR(__xludf.DUMMYFUNCTION("""COMPUTED_VALUE"""),2.0)</f>
        <v>2</v>
      </c>
      <c r="N368">
        <f>IFERROR(__xludf.DUMMYFUNCTION("""COMPUTED_VALUE"""),2.74)</f>
        <v>2.74</v>
      </c>
      <c r="O368">
        <f>IFERROR(__xludf.DUMMYFUNCTION("""COMPUTED_VALUE"""),0.37)</f>
        <v>0.37</v>
      </c>
    </row>
    <row r="369">
      <c r="A369" t="str">
        <f>IFERROR(__xludf.DUMMYFUNCTION("""COMPUTED_VALUE"""),"Maillard")</f>
        <v>Maillard</v>
      </c>
      <c r="B369" t="str">
        <f>IFERROR(__xludf.DUMMYFUNCTION("""COMPUTED_VALUE"""),"Sylvain Maillard")</f>
        <v>Sylvain Maillard</v>
      </c>
      <c r="C369">
        <f>IFERROR(__xludf.DUMMYFUNCTION("""COMPUTED_VALUE"""),4.0)</f>
        <v>4</v>
      </c>
      <c r="D369">
        <f>IFERROR(__xludf.DUMMYFUNCTION("""COMPUTED_VALUE"""),6.37)</f>
        <v>6.37</v>
      </c>
      <c r="E369">
        <f>IFERROR(__xludf.DUMMYFUNCTION("""COMPUTED_VALUE"""),2.79)</f>
        <v>2.79</v>
      </c>
      <c r="F369">
        <f>IFERROR(__xludf.DUMMYFUNCTION("""COMPUTED_VALUE"""),25.11)</f>
        <v>25.11</v>
      </c>
      <c r="G369">
        <f>IFERROR(__xludf.DUMMYFUNCTION("""COMPUTED_VALUE"""),138.89)</f>
        <v>138.89</v>
      </c>
      <c r="H369">
        <f>IFERROR(__xludf.DUMMYFUNCTION("""COMPUTED_VALUE"""),2.79)</f>
        <v>2.79</v>
      </c>
      <c r="I369">
        <f>IFERROR(__xludf.DUMMYFUNCTION("""COMPUTED_VALUE"""),51.05)</f>
        <v>51.05</v>
      </c>
      <c r="J369">
        <f>IFERROR(__xludf.DUMMYFUNCTION("""COMPUTED_VALUE"""),16.58)</f>
        <v>16.58</v>
      </c>
      <c r="K369">
        <f>IFERROR(__xludf.DUMMYFUNCTION("""COMPUTED_VALUE"""),0.11)</f>
        <v>0.11</v>
      </c>
      <c r="L369">
        <f>IFERROR(__xludf.DUMMYFUNCTION("""COMPUTED_VALUE"""),0.11)</f>
        <v>0.11</v>
      </c>
      <c r="M369">
        <f>IFERROR(__xludf.DUMMYFUNCTION("""COMPUTED_VALUE"""),2.26)</f>
        <v>2.26</v>
      </c>
      <c r="N369">
        <f>IFERROR(__xludf.DUMMYFUNCTION("""COMPUTED_VALUE"""),0.26)</f>
        <v>0.26</v>
      </c>
      <c r="O369">
        <f>IFERROR(__xludf.DUMMYFUNCTION("""COMPUTED_VALUE"""),0.42)</f>
        <v>0.42</v>
      </c>
    </row>
    <row r="370">
      <c r="A370" t="str">
        <f>IFERROR(__xludf.DUMMYFUNCTION("""COMPUTED_VALUE"""),"Maillart-Méhaignerie")</f>
        <v>Maillart-Méhaignerie</v>
      </c>
      <c r="B370" t="str">
        <f>IFERROR(__xludf.DUMMYFUNCTION("""COMPUTED_VALUE"""),"Laurence Maillart-Méhaignerie")</f>
        <v>Laurence Maillart-Méhaignerie</v>
      </c>
      <c r="C370">
        <f>IFERROR(__xludf.DUMMYFUNCTION("""COMPUTED_VALUE"""),3.47)</f>
        <v>3.47</v>
      </c>
      <c r="D370">
        <f>IFERROR(__xludf.DUMMYFUNCTION("""COMPUTED_VALUE"""),6.16)</f>
        <v>6.16</v>
      </c>
      <c r="E370">
        <f>IFERROR(__xludf.DUMMYFUNCTION("""COMPUTED_VALUE"""),11.26)</f>
        <v>11.26</v>
      </c>
      <c r="F370">
        <f>IFERROR(__xludf.DUMMYFUNCTION("""COMPUTED_VALUE"""),8.05)</f>
        <v>8.05</v>
      </c>
      <c r="G370">
        <f>IFERROR(__xludf.DUMMYFUNCTION("""COMPUTED_VALUE"""),8.58)</f>
        <v>8.58</v>
      </c>
      <c r="H370">
        <f>IFERROR(__xludf.DUMMYFUNCTION("""COMPUTED_VALUE"""),4.16)</f>
        <v>4.16</v>
      </c>
      <c r="I370">
        <f>IFERROR(__xludf.DUMMYFUNCTION("""COMPUTED_VALUE"""),59.0)</f>
        <v>59</v>
      </c>
      <c r="J370">
        <f>IFERROR(__xludf.DUMMYFUNCTION("""COMPUTED_VALUE"""),18.37)</f>
        <v>18.37</v>
      </c>
      <c r="K370">
        <f>IFERROR(__xludf.DUMMYFUNCTION("""COMPUTED_VALUE"""),0.26)</f>
        <v>0.26</v>
      </c>
      <c r="L370">
        <f>IFERROR(__xludf.DUMMYFUNCTION("""COMPUTED_VALUE"""),0.0)</f>
        <v>0</v>
      </c>
      <c r="M370">
        <f>IFERROR(__xludf.DUMMYFUNCTION("""COMPUTED_VALUE"""),2.16)</f>
        <v>2.16</v>
      </c>
      <c r="N370">
        <f>IFERROR(__xludf.DUMMYFUNCTION("""COMPUTED_VALUE"""),0.53)</f>
        <v>0.53</v>
      </c>
      <c r="O370">
        <f>IFERROR(__xludf.DUMMYFUNCTION("""COMPUTED_VALUE"""),0.05)</f>
        <v>0.05</v>
      </c>
    </row>
    <row r="371">
      <c r="A371" t="str">
        <f>IFERROR(__xludf.DUMMYFUNCTION("""COMPUTED_VALUE"""),"Maillot")</f>
        <v>Maillot</v>
      </c>
      <c r="B371" t="str">
        <f>IFERROR(__xludf.DUMMYFUNCTION("""COMPUTED_VALUE"""),"Frédéric Maillot")</f>
        <v>Frédéric Maillot</v>
      </c>
      <c r="C371">
        <f>IFERROR(__xludf.DUMMYFUNCTION("""COMPUTED_VALUE"""),2.79)</f>
        <v>2.79</v>
      </c>
      <c r="D371">
        <f>IFERROR(__xludf.DUMMYFUNCTION("""COMPUTED_VALUE"""),3.47)</f>
        <v>3.47</v>
      </c>
      <c r="E371">
        <f>IFERROR(__xludf.DUMMYFUNCTION("""COMPUTED_VALUE"""),4.26)</f>
        <v>4.26</v>
      </c>
      <c r="F371">
        <f>IFERROR(__xludf.DUMMYFUNCTION("""COMPUTED_VALUE"""),6.32)</f>
        <v>6.32</v>
      </c>
      <c r="G371">
        <f>IFERROR(__xludf.DUMMYFUNCTION("""COMPUTED_VALUE"""),1.95)</f>
        <v>1.95</v>
      </c>
      <c r="H371">
        <f>IFERROR(__xludf.DUMMYFUNCTION("""COMPUTED_VALUE"""),12.0)</f>
        <v>12</v>
      </c>
      <c r="I371">
        <f>IFERROR(__xludf.DUMMYFUNCTION("""COMPUTED_VALUE"""),223.26)</f>
        <v>223.26</v>
      </c>
      <c r="J371">
        <f>IFERROR(__xludf.DUMMYFUNCTION("""COMPUTED_VALUE"""),12.95)</f>
        <v>12.95</v>
      </c>
      <c r="K371">
        <f>IFERROR(__xludf.DUMMYFUNCTION("""COMPUTED_VALUE"""),0.0)</f>
        <v>0</v>
      </c>
      <c r="L371">
        <f>IFERROR(__xludf.DUMMYFUNCTION("""COMPUTED_VALUE"""),0.26)</f>
        <v>0.26</v>
      </c>
      <c r="M371">
        <f>IFERROR(__xludf.DUMMYFUNCTION("""COMPUTED_VALUE"""),4.95)</f>
        <v>4.95</v>
      </c>
      <c r="N371">
        <f>IFERROR(__xludf.DUMMYFUNCTION("""COMPUTED_VALUE"""),1.21)</f>
        <v>1.21</v>
      </c>
      <c r="O371">
        <f>IFERROR(__xludf.DUMMYFUNCTION("""COMPUTED_VALUE"""),0.42)</f>
        <v>0.42</v>
      </c>
    </row>
    <row r="372">
      <c r="A372" t="str">
        <f>IFERROR(__xludf.DUMMYFUNCTION("""COMPUTED_VALUE"""),"Mandon")</f>
        <v>Mandon</v>
      </c>
      <c r="B372" t="str">
        <f>IFERROR(__xludf.DUMMYFUNCTION("""COMPUTED_VALUE"""),"Emmanuel Mandon")</f>
        <v>Emmanuel Mandon</v>
      </c>
      <c r="C372">
        <f>IFERROR(__xludf.DUMMYFUNCTION("""COMPUTED_VALUE"""),4.0)</f>
        <v>4</v>
      </c>
      <c r="D372">
        <f>IFERROR(__xludf.DUMMYFUNCTION("""COMPUTED_VALUE"""),8.05)</f>
        <v>8.05</v>
      </c>
      <c r="E372">
        <f>IFERROR(__xludf.DUMMYFUNCTION("""COMPUTED_VALUE"""),4.89)</f>
        <v>4.89</v>
      </c>
      <c r="F372">
        <f>IFERROR(__xludf.DUMMYFUNCTION("""COMPUTED_VALUE"""),2.47)</f>
        <v>2.47</v>
      </c>
      <c r="G372">
        <f>IFERROR(__xludf.DUMMYFUNCTION("""COMPUTED_VALUE"""),2.95)</f>
        <v>2.95</v>
      </c>
      <c r="H372">
        <f>IFERROR(__xludf.DUMMYFUNCTION("""COMPUTED_VALUE"""),3.16)</f>
        <v>3.16</v>
      </c>
      <c r="I372">
        <f>IFERROR(__xludf.DUMMYFUNCTION("""COMPUTED_VALUE"""),69.26)</f>
        <v>69.26</v>
      </c>
      <c r="J372">
        <f>IFERROR(__xludf.DUMMYFUNCTION("""COMPUTED_VALUE"""),17.11)</f>
        <v>17.11</v>
      </c>
      <c r="K372">
        <f>IFERROR(__xludf.DUMMYFUNCTION("""COMPUTED_VALUE"""),0.0)</f>
        <v>0</v>
      </c>
      <c r="L372">
        <f>IFERROR(__xludf.DUMMYFUNCTION("""COMPUTED_VALUE"""),0.0)</f>
        <v>0</v>
      </c>
      <c r="M372">
        <f>IFERROR(__xludf.DUMMYFUNCTION("""COMPUTED_VALUE"""),0.68)</f>
        <v>0.68</v>
      </c>
      <c r="N372">
        <f>IFERROR(__xludf.DUMMYFUNCTION("""COMPUTED_VALUE"""),1.32)</f>
        <v>1.32</v>
      </c>
      <c r="O372">
        <f>IFERROR(__xludf.DUMMYFUNCTION("""COMPUTED_VALUE"""),0.37)</f>
        <v>0.37</v>
      </c>
    </row>
    <row r="373">
      <c r="A373" t="str">
        <f>IFERROR(__xludf.DUMMYFUNCTION("""COMPUTED_VALUE"""),"Maquet")</f>
        <v>Maquet</v>
      </c>
      <c r="B373" t="str">
        <f>IFERROR(__xludf.DUMMYFUNCTION("""COMPUTED_VALUE"""),"Emmanuel Maquet")</f>
        <v>Emmanuel Maquet</v>
      </c>
      <c r="C373">
        <f>IFERROR(__xludf.DUMMYFUNCTION("""COMPUTED_VALUE"""),3.63)</f>
        <v>3.63</v>
      </c>
      <c r="D373">
        <f>IFERROR(__xludf.DUMMYFUNCTION("""COMPUTED_VALUE"""),5.53)</f>
        <v>5.53</v>
      </c>
      <c r="E373">
        <f>IFERROR(__xludf.DUMMYFUNCTION("""COMPUTED_VALUE"""),7.89)</f>
        <v>7.89</v>
      </c>
      <c r="F373">
        <f>IFERROR(__xludf.DUMMYFUNCTION("""COMPUTED_VALUE"""),5.89)</f>
        <v>5.89</v>
      </c>
      <c r="G373">
        <f>IFERROR(__xludf.DUMMYFUNCTION("""COMPUTED_VALUE"""),2.26)</f>
        <v>2.26</v>
      </c>
      <c r="H373">
        <f>IFERROR(__xludf.DUMMYFUNCTION("""COMPUTED_VALUE"""),15.68)</f>
        <v>15.68</v>
      </c>
      <c r="I373">
        <f>IFERROR(__xludf.DUMMYFUNCTION("""COMPUTED_VALUE"""),135.53)</f>
        <v>135.53</v>
      </c>
      <c r="J373">
        <f>IFERROR(__xludf.DUMMYFUNCTION("""COMPUTED_VALUE"""),9.84)</f>
        <v>9.84</v>
      </c>
      <c r="K373">
        <f>IFERROR(__xludf.DUMMYFUNCTION("""COMPUTED_VALUE"""),0.16)</f>
        <v>0.16</v>
      </c>
      <c r="L373">
        <f>IFERROR(__xludf.DUMMYFUNCTION("""COMPUTED_VALUE"""),0.26)</f>
        <v>0.26</v>
      </c>
      <c r="M373">
        <f>IFERROR(__xludf.DUMMYFUNCTION("""COMPUTED_VALUE"""),3.21)</f>
        <v>3.21</v>
      </c>
      <c r="N373">
        <f>IFERROR(__xludf.DUMMYFUNCTION("""COMPUTED_VALUE"""),1.11)</f>
        <v>1.11</v>
      </c>
      <c r="O373">
        <f>IFERROR(__xludf.DUMMYFUNCTION("""COMPUTED_VALUE"""),0.21)</f>
        <v>0.21</v>
      </c>
    </row>
    <row r="374">
      <c r="A374" t="str">
        <f>IFERROR(__xludf.DUMMYFUNCTION("""COMPUTED_VALUE"""),"Maquet")</f>
        <v>Maquet</v>
      </c>
      <c r="B374" t="str">
        <f>IFERROR(__xludf.DUMMYFUNCTION("""COMPUTED_VALUE"""),"Jacqueline Maquet")</f>
        <v>Jacqueline Maquet</v>
      </c>
      <c r="C374">
        <f>IFERROR(__xludf.DUMMYFUNCTION("""COMPUTED_VALUE"""),2.89)</f>
        <v>2.89</v>
      </c>
      <c r="D374">
        <f>IFERROR(__xludf.DUMMYFUNCTION("""COMPUTED_VALUE"""),2.89)</f>
        <v>2.89</v>
      </c>
      <c r="E374">
        <f>IFERROR(__xludf.DUMMYFUNCTION("""COMPUTED_VALUE"""),1.0)</f>
        <v>1</v>
      </c>
      <c r="F374">
        <f>IFERROR(__xludf.DUMMYFUNCTION("""COMPUTED_VALUE"""),0.53)</f>
        <v>0.53</v>
      </c>
      <c r="G374">
        <f>IFERROR(__xludf.DUMMYFUNCTION("""COMPUTED_VALUE"""),0.05)</f>
        <v>0.05</v>
      </c>
      <c r="H374">
        <f>IFERROR(__xludf.DUMMYFUNCTION("""COMPUTED_VALUE"""),1.58)</f>
        <v>1.58</v>
      </c>
      <c r="I374">
        <f>IFERROR(__xludf.DUMMYFUNCTION("""COMPUTED_VALUE"""),77.68)</f>
        <v>77.68</v>
      </c>
      <c r="J374">
        <f>IFERROR(__xludf.DUMMYFUNCTION("""COMPUTED_VALUE"""),18.37)</f>
        <v>18.37</v>
      </c>
      <c r="K374">
        <f>IFERROR(__xludf.DUMMYFUNCTION("""COMPUTED_VALUE"""),0.0)</f>
        <v>0</v>
      </c>
      <c r="L374">
        <f>IFERROR(__xludf.DUMMYFUNCTION("""COMPUTED_VALUE"""),0.0)</f>
        <v>0</v>
      </c>
      <c r="M374">
        <f>IFERROR(__xludf.DUMMYFUNCTION("""COMPUTED_VALUE"""),2.79)</f>
        <v>2.79</v>
      </c>
      <c r="N374">
        <f>IFERROR(__xludf.DUMMYFUNCTION("""COMPUTED_VALUE"""),2.16)</f>
        <v>2.16</v>
      </c>
      <c r="O374">
        <f>IFERROR(__xludf.DUMMYFUNCTION("""COMPUTED_VALUE"""),0.32)</f>
        <v>0.32</v>
      </c>
    </row>
    <row r="375">
      <c r="A375" t="str">
        <f>IFERROR(__xludf.DUMMYFUNCTION("""COMPUTED_VALUE"""),"Marcangeli")</f>
        <v>Marcangeli</v>
      </c>
      <c r="B375" t="str">
        <f>IFERROR(__xludf.DUMMYFUNCTION("""COMPUTED_VALUE"""),"Laurent Marcangeli")</f>
        <v>Laurent Marcangeli</v>
      </c>
      <c r="C375">
        <f>IFERROR(__xludf.DUMMYFUNCTION("""COMPUTED_VALUE"""),3.84)</f>
        <v>3.84</v>
      </c>
      <c r="D375">
        <f>IFERROR(__xludf.DUMMYFUNCTION("""COMPUTED_VALUE"""),6.47)</f>
        <v>6.47</v>
      </c>
      <c r="E375">
        <f>IFERROR(__xludf.DUMMYFUNCTION("""COMPUTED_VALUE"""),6.53)</f>
        <v>6.53</v>
      </c>
      <c r="F375">
        <f>IFERROR(__xludf.DUMMYFUNCTION("""COMPUTED_VALUE"""),11.74)</f>
        <v>11.74</v>
      </c>
      <c r="G375">
        <f>IFERROR(__xludf.DUMMYFUNCTION("""COMPUTED_VALUE"""),3.11)</f>
        <v>3.11</v>
      </c>
      <c r="H375">
        <f>IFERROR(__xludf.DUMMYFUNCTION("""COMPUTED_VALUE"""),4.21)</f>
        <v>4.21</v>
      </c>
      <c r="I375">
        <f>IFERROR(__xludf.DUMMYFUNCTION("""COMPUTED_VALUE"""),48.84)</f>
        <v>48.84</v>
      </c>
      <c r="J375">
        <f>IFERROR(__xludf.DUMMYFUNCTION("""COMPUTED_VALUE"""),14.42)</f>
        <v>14.42</v>
      </c>
      <c r="K375">
        <f>IFERROR(__xludf.DUMMYFUNCTION("""COMPUTED_VALUE"""),0.16)</f>
        <v>0.16</v>
      </c>
      <c r="L375">
        <f>IFERROR(__xludf.DUMMYFUNCTION("""COMPUTED_VALUE"""),0.16)</f>
        <v>0.16</v>
      </c>
      <c r="M375">
        <f>IFERROR(__xludf.DUMMYFUNCTION("""COMPUTED_VALUE"""),1.53)</f>
        <v>1.53</v>
      </c>
      <c r="N375">
        <f>IFERROR(__xludf.DUMMYFUNCTION("""COMPUTED_VALUE"""),0.32)</f>
        <v>0.32</v>
      </c>
      <c r="O375">
        <f>IFERROR(__xludf.DUMMYFUNCTION("""COMPUTED_VALUE"""),0.58)</f>
        <v>0.58</v>
      </c>
    </row>
    <row r="376">
      <c r="A376" t="str">
        <f>IFERROR(__xludf.DUMMYFUNCTION("""COMPUTED_VALUE"""),"Marchio")</f>
        <v>Marchio</v>
      </c>
      <c r="B376" t="str">
        <f>IFERROR(__xludf.DUMMYFUNCTION("""COMPUTED_VALUE"""),"Matthieu Marchio")</f>
        <v>Matthieu Marchio</v>
      </c>
      <c r="C376">
        <f>IFERROR(__xludf.DUMMYFUNCTION("""COMPUTED_VALUE"""),3.84)</f>
        <v>3.84</v>
      </c>
      <c r="D376">
        <f>IFERROR(__xludf.DUMMYFUNCTION("""COMPUTED_VALUE"""),5.89)</f>
        <v>5.89</v>
      </c>
      <c r="E376">
        <f>IFERROR(__xludf.DUMMYFUNCTION("""COMPUTED_VALUE"""),2.95)</f>
        <v>2.95</v>
      </c>
      <c r="F376">
        <f>IFERROR(__xludf.DUMMYFUNCTION("""COMPUTED_VALUE"""),3.47)</f>
        <v>3.47</v>
      </c>
      <c r="G376">
        <f>IFERROR(__xludf.DUMMYFUNCTION("""COMPUTED_VALUE"""),1.89)</f>
        <v>1.89</v>
      </c>
      <c r="H376">
        <f>IFERROR(__xludf.DUMMYFUNCTION("""COMPUTED_VALUE"""),7.47)</f>
        <v>7.47</v>
      </c>
      <c r="I376">
        <f>IFERROR(__xludf.DUMMYFUNCTION("""COMPUTED_VALUE"""),462.95)</f>
        <v>462.95</v>
      </c>
      <c r="J376">
        <f>IFERROR(__xludf.DUMMYFUNCTION("""COMPUTED_VALUE"""),5.95)</f>
        <v>5.95</v>
      </c>
      <c r="K376">
        <f>IFERROR(__xludf.DUMMYFUNCTION("""COMPUTED_VALUE"""),0.0)</f>
        <v>0</v>
      </c>
      <c r="L376">
        <f>IFERROR(__xludf.DUMMYFUNCTION("""COMPUTED_VALUE"""),0.05)</f>
        <v>0.05</v>
      </c>
      <c r="M376">
        <f>IFERROR(__xludf.DUMMYFUNCTION("""COMPUTED_VALUE"""),6.26)</f>
        <v>6.26</v>
      </c>
      <c r="N376">
        <f>IFERROR(__xludf.DUMMYFUNCTION("""COMPUTED_VALUE"""),3.53)</f>
        <v>3.53</v>
      </c>
      <c r="O376">
        <f>IFERROR(__xludf.DUMMYFUNCTION("""COMPUTED_VALUE"""),0.26)</f>
        <v>0.26</v>
      </c>
    </row>
    <row r="377">
      <c r="A377" t="str">
        <f>IFERROR(__xludf.DUMMYFUNCTION("""COMPUTED_VALUE"""),"Marchive")</f>
        <v>Marchive</v>
      </c>
      <c r="B377" t="str">
        <f>IFERROR(__xludf.DUMMYFUNCTION("""COMPUTED_VALUE"""),"Bastien Marchive")</f>
        <v>Bastien Marchive</v>
      </c>
      <c r="C377">
        <f>IFERROR(__xludf.DUMMYFUNCTION("""COMPUTED_VALUE"""),3.79)</f>
        <v>3.79</v>
      </c>
      <c r="D377">
        <f>IFERROR(__xludf.DUMMYFUNCTION("""COMPUTED_VALUE"""),5.42)</f>
        <v>5.42</v>
      </c>
      <c r="E377">
        <f>IFERROR(__xludf.DUMMYFUNCTION("""COMPUTED_VALUE"""),5.74)</f>
        <v>5.74</v>
      </c>
      <c r="F377">
        <f>IFERROR(__xludf.DUMMYFUNCTION("""COMPUTED_VALUE"""),7.16)</f>
        <v>7.16</v>
      </c>
      <c r="G377">
        <f>IFERROR(__xludf.DUMMYFUNCTION("""COMPUTED_VALUE"""),4.16)</f>
        <v>4.16</v>
      </c>
      <c r="H377">
        <f>IFERROR(__xludf.DUMMYFUNCTION("""COMPUTED_VALUE"""),3.68)</f>
        <v>3.68</v>
      </c>
      <c r="I377">
        <f>IFERROR(__xludf.DUMMYFUNCTION("""COMPUTED_VALUE"""),59.32)</f>
        <v>59.32</v>
      </c>
      <c r="J377">
        <f>IFERROR(__xludf.DUMMYFUNCTION("""COMPUTED_VALUE"""),19.95)</f>
        <v>19.95</v>
      </c>
      <c r="K377">
        <f>IFERROR(__xludf.DUMMYFUNCTION("""COMPUTED_VALUE"""),0.21)</f>
        <v>0.21</v>
      </c>
      <c r="L377">
        <f>IFERROR(__xludf.DUMMYFUNCTION("""COMPUTED_VALUE"""),0.05)</f>
        <v>0.05</v>
      </c>
      <c r="M377">
        <f>IFERROR(__xludf.DUMMYFUNCTION("""COMPUTED_VALUE"""),1.89)</f>
        <v>1.89</v>
      </c>
      <c r="N377">
        <f>IFERROR(__xludf.DUMMYFUNCTION("""COMPUTED_VALUE"""),1.42)</f>
        <v>1.42</v>
      </c>
      <c r="O377">
        <f>IFERROR(__xludf.DUMMYFUNCTION("""COMPUTED_VALUE"""),0.11)</f>
        <v>0.11</v>
      </c>
    </row>
    <row r="378">
      <c r="A378" t="str">
        <f>IFERROR(__xludf.DUMMYFUNCTION("""COMPUTED_VALUE"""),"Margueritte")</f>
        <v>Margueritte</v>
      </c>
      <c r="B378" t="str">
        <f>IFERROR(__xludf.DUMMYFUNCTION("""COMPUTED_VALUE"""),"Louis Margueritte")</f>
        <v>Louis Margueritte</v>
      </c>
      <c r="C378">
        <f>IFERROR(__xludf.DUMMYFUNCTION("""COMPUTED_VALUE"""),3.74)</f>
        <v>3.74</v>
      </c>
      <c r="D378">
        <f>IFERROR(__xludf.DUMMYFUNCTION("""COMPUTED_VALUE"""),6.37)</f>
        <v>6.37</v>
      </c>
      <c r="E378">
        <f>IFERROR(__xludf.DUMMYFUNCTION("""COMPUTED_VALUE"""),9.32)</f>
        <v>9.32</v>
      </c>
      <c r="F378">
        <f>IFERROR(__xludf.DUMMYFUNCTION("""COMPUTED_VALUE"""),9.68)</f>
        <v>9.68</v>
      </c>
      <c r="G378">
        <f>IFERROR(__xludf.DUMMYFUNCTION("""COMPUTED_VALUE"""),3.84)</f>
        <v>3.84</v>
      </c>
      <c r="H378">
        <f>IFERROR(__xludf.DUMMYFUNCTION("""COMPUTED_VALUE"""),5.63)</f>
        <v>5.63</v>
      </c>
      <c r="I378">
        <f>IFERROR(__xludf.DUMMYFUNCTION("""COMPUTED_VALUE"""),64.95)</f>
        <v>64.95</v>
      </c>
      <c r="J378">
        <f>IFERROR(__xludf.DUMMYFUNCTION("""COMPUTED_VALUE"""),20.84)</f>
        <v>20.84</v>
      </c>
      <c r="K378">
        <f>IFERROR(__xludf.DUMMYFUNCTION("""COMPUTED_VALUE"""),0.37)</f>
        <v>0.37</v>
      </c>
      <c r="L378">
        <f>IFERROR(__xludf.DUMMYFUNCTION("""COMPUTED_VALUE"""),0.0)</f>
        <v>0</v>
      </c>
      <c r="M378">
        <f>IFERROR(__xludf.DUMMYFUNCTION("""COMPUTED_VALUE"""),2.16)</f>
        <v>2.16</v>
      </c>
      <c r="N378">
        <f>IFERROR(__xludf.DUMMYFUNCTION("""COMPUTED_VALUE"""),0.0)</f>
        <v>0</v>
      </c>
      <c r="O378">
        <f>IFERROR(__xludf.DUMMYFUNCTION("""COMPUTED_VALUE"""),0.11)</f>
        <v>0.11</v>
      </c>
    </row>
    <row r="379">
      <c r="A379" t="str">
        <f>IFERROR(__xludf.DUMMYFUNCTION("""COMPUTED_VALUE"""),"Marion")</f>
        <v>Marion</v>
      </c>
      <c r="B379" t="str">
        <f>IFERROR(__xludf.DUMMYFUNCTION("""COMPUTED_VALUE"""),"Christophe Marion")</f>
        <v>Christophe Marion</v>
      </c>
      <c r="C379">
        <f>IFERROR(__xludf.DUMMYFUNCTION("""COMPUTED_VALUE"""),4.0)</f>
        <v>4</v>
      </c>
      <c r="D379">
        <f>IFERROR(__xludf.DUMMYFUNCTION("""COMPUTED_VALUE"""),7.26)</f>
        <v>7.26</v>
      </c>
      <c r="E379">
        <f>IFERROR(__xludf.DUMMYFUNCTION("""COMPUTED_VALUE"""),8.95)</f>
        <v>8.95</v>
      </c>
      <c r="F379">
        <f>IFERROR(__xludf.DUMMYFUNCTION("""COMPUTED_VALUE"""),3.53)</f>
        <v>3.53</v>
      </c>
      <c r="G379">
        <f>IFERROR(__xludf.DUMMYFUNCTION("""COMPUTED_VALUE"""),0.68)</f>
        <v>0.68</v>
      </c>
      <c r="H379">
        <f>IFERROR(__xludf.DUMMYFUNCTION("""COMPUTED_VALUE"""),4.53)</f>
        <v>4.53</v>
      </c>
      <c r="I379">
        <f>IFERROR(__xludf.DUMMYFUNCTION("""COMPUTED_VALUE"""),99.37)</f>
        <v>99.37</v>
      </c>
      <c r="J379">
        <f>IFERROR(__xludf.DUMMYFUNCTION("""COMPUTED_VALUE"""),19.63)</f>
        <v>19.63</v>
      </c>
      <c r="K379">
        <f>IFERROR(__xludf.DUMMYFUNCTION("""COMPUTED_VALUE"""),0.26)</f>
        <v>0.26</v>
      </c>
      <c r="L379">
        <f>IFERROR(__xludf.DUMMYFUNCTION("""COMPUTED_VALUE"""),0.0)</f>
        <v>0</v>
      </c>
      <c r="M379">
        <f>IFERROR(__xludf.DUMMYFUNCTION("""COMPUTED_VALUE"""),2.89)</f>
        <v>2.89</v>
      </c>
      <c r="N379">
        <f>IFERROR(__xludf.DUMMYFUNCTION("""COMPUTED_VALUE"""),1.63)</f>
        <v>1.63</v>
      </c>
      <c r="O379">
        <f>IFERROR(__xludf.DUMMYFUNCTION("""COMPUTED_VALUE"""),0.32)</f>
        <v>0.32</v>
      </c>
    </row>
    <row r="380">
      <c r="A380" t="str">
        <f>IFERROR(__xludf.DUMMYFUNCTION("""COMPUTED_VALUE"""),"Marleix")</f>
        <v>Marleix</v>
      </c>
      <c r="B380" t="str">
        <f>IFERROR(__xludf.DUMMYFUNCTION("""COMPUTED_VALUE"""),"Olivier Marleix")</f>
        <v>Olivier Marleix</v>
      </c>
      <c r="C380">
        <f>IFERROR(__xludf.DUMMYFUNCTION("""COMPUTED_VALUE"""),3.79)</f>
        <v>3.79</v>
      </c>
      <c r="D380">
        <f>IFERROR(__xludf.DUMMYFUNCTION("""COMPUTED_VALUE"""),3.84)</f>
        <v>3.84</v>
      </c>
      <c r="E380">
        <f>IFERROR(__xludf.DUMMYFUNCTION("""COMPUTED_VALUE"""),1.11)</f>
        <v>1.11</v>
      </c>
      <c r="F380">
        <f>IFERROR(__xludf.DUMMYFUNCTION("""COMPUTED_VALUE"""),24.26)</f>
        <v>24.26</v>
      </c>
      <c r="G380">
        <f>IFERROR(__xludf.DUMMYFUNCTION("""COMPUTED_VALUE"""),13.95)</f>
        <v>13.95</v>
      </c>
      <c r="H380">
        <f>IFERROR(__xludf.DUMMYFUNCTION("""COMPUTED_VALUE"""),6.95)</f>
        <v>6.95</v>
      </c>
      <c r="I380">
        <f>IFERROR(__xludf.DUMMYFUNCTION("""COMPUTED_VALUE"""),51.21)</f>
        <v>51.21</v>
      </c>
      <c r="J380">
        <f>IFERROR(__xludf.DUMMYFUNCTION("""COMPUTED_VALUE"""),4.53)</f>
        <v>4.53</v>
      </c>
      <c r="K380">
        <f>IFERROR(__xludf.DUMMYFUNCTION("""COMPUTED_VALUE"""),0.0)</f>
        <v>0</v>
      </c>
      <c r="L380">
        <f>IFERROR(__xludf.DUMMYFUNCTION("""COMPUTED_VALUE"""),0.79)</f>
        <v>0.79</v>
      </c>
      <c r="M380">
        <f>IFERROR(__xludf.DUMMYFUNCTION("""COMPUTED_VALUE"""),2.58)</f>
        <v>2.58</v>
      </c>
      <c r="N380">
        <f>IFERROR(__xludf.DUMMYFUNCTION("""COMPUTED_VALUE"""),0.53)</f>
        <v>0.53</v>
      </c>
      <c r="O380">
        <f>IFERROR(__xludf.DUMMYFUNCTION("""COMPUTED_VALUE"""),0.95)</f>
        <v>0.95</v>
      </c>
    </row>
    <row r="381">
      <c r="A381" t="str">
        <f>IFERROR(__xludf.DUMMYFUNCTION("""COMPUTED_VALUE"""),"Marsaud")</f>
        <v>Marsaud</v>
      </c>
      <c r="B381" t="str">
        <f>IFERROR(__xludf.DUMMYFUNCTION("""COMPUTED_VALUE"""),"Sandra Marsaud")</f>
        <v>Sandra Marsaud</v>
      </c>
      <c r="C381">
        <f>IFERROR(__xludf.DUMMYFUNCTION("""COMPUTED_VALUE"""),3.63)</f>
        <v>3.63</v>
      </c>
      <c r="D381">
        <f>IFERROR(__xludf.DUMMYFUNCTION("""COMPUTED_VALUE"""),7.37)</f>
        <v>7.37</v>
      </c>
      <c r="E381">
        <f>IFERROR(__xludf.DUMMYFUNCTION("""COMPUTED_VALUE"""),5.11)</f>
        <v>5.11</v>
      </c>
      <c r="F381">
        <f>IFERROR(__xludf.DUMMYFUNCTION("""COMPUTED_VALUE"""),4.47)</f>
        <v>4.47</v>
      </c>
      <c r="G381">
        <f>IFERROR(__xludf.DUMMYFUNCTION("""COMPUTED_VALUE"""),4.63)</f>
        <v>4.63</v>
      </c>
      <c r="H381">
        <f>IFERROR(__xludf.DUMMYFUNCTION("""COMPUTED_VALUE"""),3.05)</f>
        <v>3.05</v>
      </c>
      <c r="I381">
        <f>IFERROR(__xludf.DUMMYFUNCTION("""COMPUTED_VALUE"""),64.68)</f>
        <v>64.68</v>
      </c>
      <c r="J381">
        <f>IFERROR(__xludf.DUMMYFUNCTION("""COMPUTED_VALUE"""),21.05)</f>
        <v>21.05</v>
      </c>
      <c r="K381">
        <f>IFERROR(__xludf.DUMMYFUNCTION("""COMPUTED_VALUE"""),0.16)</f>
        <v>0.16</v>
      </c>
      <c r="L381">
        <f>IFERROR(__xludf.DUMMYFUNCTION("""COMPUTED_VALUE"""),0.0)</f>
        <v>0</v>
      </c>
      <c r="M381">
        <f>IFERROR(__xludf.DUMMYFUNCTION("""COMPUTED_VALUE"""),2.0)</f>
        <v>2</v>
      </c>
      <c r="N381">
        <f>IFERROR(__xludf.DUMMYFUNCTION("""COMPUTED_VALUE"""),0.89)</f>
        <v>0.89</v>
      </c>
      <c r="O381">
        <f>IFERROR(__xludf.DUMMYFUNCTION("""COMPUTED_VALUE"""),0.11)</f>
        <v>0.11</v>
      </c>
    </row>
    <row r="382">
      <c r="A382" t="str">
        <f>IFERROR(__xludf.DUMMYFUNCTION("""COMPUTED_VALUE"""),"Martin")</f>
        <v>Martin</v>
      </c>
      <c r="B382" t="str">
        <f>IFERROR(__xludf.DUMMYFUNCTION("""COMPUTED_VALUE"""),"Pascale Martin")</f>
        <v>Pascale Martin</v>
      </c>
      <c r="C382">
        <f>IFERROR(__xludf.DUMMYFUNCTION("""COMPUTED_VALUE"""),3.84)</f>
        <v>3.84</v>
      </c>
      <c r="D382">
        <f>IFERROR(__xludf.DUMMYFUNCTION("""COMPUTED_VALUE"""),7.0)</f>
        <v>7</v>
      </c>
      <c r="E382">
        <f>IFERROR(__xludf.DUMMYFUNCTION("""COMPUTED_VALUE"""),2.95)</f>
        <v>2.95</v>
      </c>
      <c r="F382">
        <f>IFERROR(__xludf.DUMMYFUNCTION("""COMPUTED_VALUE"""),4.89)</f>
        <v>4.89</v>
      </c>
      <c r="G382">
        <f>IFERROR(__xludf.DUMMYFUNCTION("""COMPUTED_VALUE"""),1.32)</f>
        <v>1.32</v>
      </c>
      <c r="H382">
        <f>IFERROR(__xludf.DUMMYFUNCTION("""COMPUTED_VALUE"""),19.42)</f>
        <v>19.42</v>
      </c>
      <c r="I382">
        <f>IFERROR(__xludf.DUMMYFUNCTION("""COMPUTED_VALUE"""),886.47)</f>
        <v>886.47</v>
      </c>
      <c r="J382">
        <f>IFERROR(__xludf.DUMMYFUNCTION("""COMPUTED_VALUE"""),28.74)</f>
        <v>28.74</v>
      </c>
      <c r="K382">
        <f>IFERROR(__xludf.DUMMYFUNCTION("""COMPUTED_VALUE"""),0.05)</f>
        <v>0.05</v>
      </c>
      <c r="L382">
        <f>IFERROR(__xludf.DUMMYFUNCTION("""COMPUTED_VALUE"""),0.11)</f>
        <v>0.11</v>
      </c>
      <c r="M382">
        <f>IFERROR(__xludf.DUMMYFUNCTION("""COMPUTED_VALUE"""),7.53)</f>
        <v>7.53</v>
      </c>
      <c r="N382">
        <f>IFERROR(__xludf.DUMMYFUNCTION("""COMPUTED_VALUE"""),1.47)</f>
        <v>1.47</v>
      </c>
      <c r="O382">
        <f>IFERROR(__xludf.DUMMYFUNCTION("""COMPUTED_VALUE"""),0.26)</f>
        <v>0.26</v>
      </c>
    </row>
    <row r="383">
      <c r="A383" t="str">
        <f>IFERROR(__xludf.DUMMYFUNCTION("""COMPUTED_VALUE"""),"Martin")</f>
        <v>Martin</v>
      </c>
      <c r="B383" t="str">
        <f>IFERROR(__xludf.DUMMYFUNCTION("""COMPUTED_VALUE"""),"Élisa Martin")</f>
        <v>Élisa Martin</v>
      </c>
      <c r="C383">
        <f>IFERROR(__xludf.DUMMYFUNCTION("""COMPUTED_VALUE"""),3.58)</f>
        <v>3.58</v>
      </c>
      <c r="D383">
        <f>IFERROR(__xludf.DUMMYFUNCTION("""COMPUTED_VALUE"""),5.47)</f>
        <v>5.47</v>
      </c>
      <c r="E383">
        <f>IFERROR(__xludf.DUMMYFUNCTION("""COMPUTED_VALUE"""),18.26)</f>
        <v>18.26</v>
      </c>
      <c r="F383">
        <f>IFERROR(__xludf.DUMMYFUNCTION("""COMPUTED_VALUE"""),27.53)</f>
        <v>27.53</v>
      </c>
      <c r="G383">
        <f>IFERROR(__xludf.DUMMYFUNCTION("""COMPUTED_VALUE"""),18.21)</f>
        <v>18.21</v>
      </c>
      <c r="H383">
        <f>IFERROR(__xludf.DUMMYFUNCTION("""COMPUTED_VALUE"""),30.89)</f>
        <v>30.89</v>
      </c>
      <c r="I383">
        <f>IFERROR(__xludf.DUMMYFUNCTION("""COMPUTED_VALUE"""),898.47)</f>
        <v>898.47</v>
      </c>
      <c r="J383">
        <f>IFERROR(__xludf.DUMMYFUNCTION("""COMPUTED_VALUE"""),28.53)</f>
        <v>28.53</v>
      </c>
      <c r="K383">
        <f>IFERROR(__xludf.DUMMYFUNCTION("""COMPUTED_VALUE"""),0.0)</f>
        <v>0</v>
      </c>
      <c r="L383">
        <f>IFERROR(__xludf.DUMMYFUNCTION("""COMPUTED_VALUE"""),0.21)</f>
        <v>0.21</v>
      </c>
      <c r="M383">
        <f>IFERROR(__xludf.DUMMYFUNCTION("""COMPUTED_VALUE"""),7.53)</f>
        <v>7.53</v>
      </c>
      <c r="N383">
        <f>IFERROR(__xludf.DUMMYFUNCTION("""COMPUTED_VALUE"""),1.11)</f>
        <v>1.11</v>
      </c>
      <c r="O383">
        <f>IFERROR(__xludf.DUMMYFUNCTION("""COMPUTED_VALUE"""),0.21)</f>
        <v>0.21</v>
      </c>
    </row>
    <row r="384">
      <c r="A384" t="str">
        <f>IFERROR(__xludf.DUMMYFUNCTION("""COMPUTED_VALUE"""),"Martin")</f>
        <v>Martin</v>
      </c>
      <c r="B384" t="str">
        <f>IFERROR(__xludf.DUMMYFUNCTION("""COMPUTED_VALUE"""),"Alexandra Martin")</f>
        <v>Alexandra Martin</v>
      </c>
      <c r="C384">
        <f>IFERROR(__xludf.DUMMYFUNCTION("""COMPUTED_VALUE"""),3.63)</f>
        <v>3.63</v>
      </c>
      <c r="D384">
        <f>IFERROR(__xludf.DUMMYFUNCTION("""COMPUTED_VALUE"""),6.68)</f>
        <v>6.68</v>
      </c>
      <c r="E384">
        <f>IFERROR(__xludf.DUMMYFUNCTION("""COMPUTED_VALUE"""),1.42)</f>
        <v>1.42</v>
      </c>
      <c r="F384">
        <f>IFERROR(__xludf.DUMMYFUNCTION("""COMPUTED_VALUE"""),2.32)</f>
        <v>2.32</v>
      </c>
      <c r="G384">
        <f>IFERROR(__xludf.DUMMYFUNCTION("""COMPUTED_VALUE"""),0.84)</f>
        <v>0.84</v>
      </c>
      <c r="H384">
        <f>IFERROR(__xludf.DUMMYFUNCTION("""COMPUTED_VALUE"""),14.68)</f>
        <v>14.68</v>
      </c>
      <c r="I384">
        <f>IFERROR(__xludf.DUMMYFUNCTION("""COMPUTED_VALUE"""),126.63)</f>
        <v>126.63</v>
      </c>
      <c r="J384">
        <f>IFERROR(__xludf.DUMMYFUNCTION("""COMPUTED_VALUE"""),6.47)</f>
        <v>6.47</v>
      </c>
      <c r="K384">
        <f>IFERROR(__xludf.DUMMYFUNCTION("""COMPUTED_VALUE"""),0.0)</f>
        <v>0</v>
      </c>
      <c r="L384">
        <f>IFERROR(__xludf.DUMMYFUNCTION("""COMPUTED_VALUE"""),1.32)</f>
        <v>1.32</v>
      </c>
      <c r="M384">
        <f>IFERROR(__xludf.DUMMYFUNCTION("""COMPUTED_VALUE"""),8.47)</f>
        <v>8.47</v>
      </c>
      <c r="N384">
        <f>IFERROR(__xludf.DUMMYFUNCTION("""COMPUTED_VALUE"""),1.84)</f>
        <v>1.84</v>
      </c>
      <c r="O384">
        <f>IFERROR(__xludf.DUMMYFUNCTION("""COMPUTED_VALUE"""),0.42)</f>
        <v>0.42</v>
      </c>
    </row>
    <row r="385">
      <c r="A385" t="str">
        <f>IFERROR(__xludf.DUMMYFUNCTION("""COMPUTED_VALUE"""),"Martin")</f>
        <v>Martin</v>
      </c>
      <c r="B385" t="str">
        <f>IFERROR(__xludf.DUMMYFUNCTION("""COMPUTED_VALUE"""),"Didier Martin")</f>
        <v>Didier Martin</v>
      </c>
      <c r="C385">
        <f>IFERROR(__xludf.DUMMYFUNCTION("""COMPUTED_VALUE"""),3.79)</f>
        <v>3.79</v>
      </c>
      <c r="D385">
        <f>IFERROR(__xludf.DUMMYFUNCTION("""COMPUTED_VALUE"""),7.37)</f>
        <v>7.37</v>
      </c>
      <c r="E385">
        <f>IFERROR(__xludf.DUMMYFUNCTION("""COMPUTED_VALUE"""),15.53)</f>
        <v>15.53</v>
      </c>
      <c r="F385">
        <f>IFERROR(__xludf.DUMMYFUNCTION("""COMPUTED_VALUE"""),13.89)</f>
        <v>13.89</v>
      </c>
      <c r="G385">
        <f>IFERROR(__xludf.DUMMYFUNCTION("""COMPUTED_VALUE"""),7.0)</f>
        <v>7</v>
      </c>
      <c r="H385">
        <f>IFERROR(__xludf.DUMMYFUNCTION("""COMPUTED_VALUE"""),3.74)</f>
        <v>3.74</v>
      </c>
      <c r="I385">
        <f>IFERROR(__xludf.DUMMYFUNCTION("""COMPUTED_VALUE"""),54.53)</f>
        <v>54.53</v>
      </c>
      <c r="J385">
        <f>IFERROR(__xludf.DUMMYFUNCTION("""COMPUTED_VALUE"""),17.58)</f>
        <v>17.58</v>
      </c>
      <c r="K385">
        <f>IFERROR(__xludf.DUMMYFUNCTION("""COMPUTED_VALUE"""),0.26)</f>
        <v>0.26</v>
      </c>
      <c r="L385">
        <f>IFERROR(__xludf.DUMMYFUNCTION("""COMPUTED_VALUE"""),0.11)</f>
        <v>0.11</v>
      </c>
      <c r="M385">
        <f>IFERROR(__xludf.DUMMYFUNCTION("""COMPUTED_VALUE"""),2.16)</f>
        <v>2.16</v>
      </c>
      <c r="N385">
        <f>IFERROR(__xludf.DUMMYFUNCTION("""COMPUTED_VALUE"""),0.74)</f>
        <v>0.74</v>
      </c>
      <c r="O385">
        <f>IFERROR(__xludf.DUMMYFUNCTION("""COMPUTED_VALUE"""),0.21)</f>
        <v>0.21</v>
      </c>
    </row>
    <row r="386">
      <c r="A386" t="str">
        <f>IFERROR(__xludf.DUMMYFUNCTION("""COMPUTED_VALUE"""),"Martin")</f>
        <v>Martin</v>
      </c>
      <c r="B386" t="str">
        <f>IFERROR(__xludf.DUMMYFUNCTION("""COMPUTED_VALUE"""),"Alexandra Martin")</f>
        <v>Alexandra Martin</v>
      </c>
      <c r="C386">
        <f>IFERROR(__xludf.DUMMYFUNCTION("""COMPUTED_VALUE"""),2.89)</f>
        <v>2.89</v>
      </c>
      <c r="D386">
        <f>IFERROR(__xludf.DUMMYFUNCTION("""COMPUTED_VALUE"""),0.22)</f>
        <v>0.22</v>
      </c>
      <c r="E386">
        <f>IFERROR(__xludf.DUMMYFUNCTION("""COMPUTED_VALUE"""),0.22)</f>
        <v>0.22</v>
      </c>
      <c r="F386">
        <f>IFERROR(__xludf.DUMMYFUNCTION("""COMPUTED_VALUE"""),0.56)</f>
        <v>0.56</v>
      </c>
      <c r="G386">
        <f>IFERROR(__xludf.DUMMYFUNCTION("""COMPUTED_VALUE"""),0.11)</f>
        <v>0.11</v>
      </c>
      <c r="H386">
        <f>IFERROR(__xludf.DUMMYFUNCTION("""COMPUTED_VALUE"""),0.33)</f>
        <v>0.33</v>
      </c>
      <c r="I386">
        <f>IFERROR(__xludf.DUMMYFUNCTION("""COMPUTED_VALUE"""),65.22)</f>
        <v>65.22</v>
      </c>
      <c r="J386">
        <f>IFERROR(__xludf.DUMMYFUNCTION("""COMPUTED_VALUE"""),17.56)</f>
        <v>17.56</v>
      </c>
      <c r="K386">
        <f>IFERROR(__xludf.DUMMYFUNCTION("""COMPUTED_VALUE"""),0.0)</f>
        <v>0</v>
      </c>
      <c r="L386">
        <f>IFERROR(__xludf.DUMMYFUNCTION("""COMPUTED_VALUE"""),0.0)</f>
        <v>0</v>
      </c>
      <c r="M386">
        <f>IFERROR(__xludf.DUMMYFUNCTION("""COMPUTED_VALUE"""),1.11)</f>
        <v>1.11</v>
      </c>
      <c r="N386">
        <f>IFERROR(__xludf.DUMMYFUNCTION("""COMPUTED_VALUE"""),0.22)</f>
        <v>0.22</v>
      </c>
      <c r="O386">
        <f>IFERROR(__xludf.DUMMYFUNCTION("""COMPUTED_VALUE"""),0.22)</f>
        <v>0.22</v>
      </c>
    </row>
    <row r="387">
      <c r="A387" t="str">
        <f>IFERROR(__xludf.DUMMYFUNCTION("""COMPUTED_VALUE"""),"Martineau")</f>
        <v>Martineau</v>
      </c>
      <c r="B387" t="str">
        <f>IFERROR(__xludf.DUMMYFUNCTION("""COMPUTED_VALUE"""),"Éric Martineau")</f>
        <v>Éric Martineau</v>
      </c>
      <c r="C387">
        <f>IFERROR(__xludf.DUMMYFUNCTION("""COMPUTED_VALUE"""),3.84)</f>
        <v>3.84</v>
      </c>
      <c r="D387">
        <f>IFERROR(__xludf.DUMMYFUNCTION("""COMPUTED_VALUE"""),6.32)</f>
        <v>6.32</v>
      </c>
      <c r="E387">
        <f>IFERROR(__xludf.DUMMYFUNCTION("""COMPUTED_VALUE"""),4.84)</f>
        <v>4.84</v>
      </c>
      <c r="F387">
        <f>IFERROR(__xludf.DUMMYFUNCTION("""COMPUTED_VALUE"""),3.79)</f>
        <v>3.79</v>
      </c>
      <c r="G387">
        <f>IFERROR(__xludf.DUMMYFUNCTION("""COMPUTED_VALUE"""),2.37)</f>
        <v>2.37</v>
      </c>
      <c r="H387">
        <f>IFERROR(__xludf.DUMMYFUNCTION("""COMPUTED_VALUE"""),2.63)</f>
        <v>2.63</v>
      </c>
      <c r="I387">
        <f>IFERROR(__xludf.DUMMYFUNCTION("""COMPUTED_VALUE"""),68.79)</f>
        <v>68.79</v>
      </c>
      <c r="J387">
        <f>IFERROR(__xludf.DUMMYFUNCTION("""COMPUTED_VALUE"""),14.0)</f>
        <v>14</v>
      </c>
      <c r="K387">
        <f>IFERROR(__xludf.DUMMYFUNCTION("""COMPUTED_VALUE"""),0.0)</f>
        <v>0</v>
      </c>
      <c r="L387">
        <f>IFERROR(__xludf.DUMMYFUNCTION("""COMPUTED_VALUE"""),0.0)</f>
        <v>0</v>
      </c>
      <c r="M387">
        <f>IFERROR(__xludf.DUMMYFUNCTION("""COMPUTED_VALUE"""),0.74)</f>
        <v>0.74</v>
      </c>
      <c r="N387">
        <f>IFERROR(__xludf.DUMMYFUNCTION("""COMPUTED_VALUE"""),0.21)</f>
        <v>0.21</v>
      </c>
      <c r="O387">
        <f>IFERROR(__xludf.DUMMYFUNCTION("""COMPUTED_VALUE"""),0.11)</f>
        <v>0.11</v>
      </c>
    </row>
    <row r="388">
      <c r="A388" t="str">
        <f>IFERROR(__xludf.DUMMYFUNCTION("""COMPUTED_VALUE"""),"Martinet")</f>
        <v>Martinet</v>
      </c>
      <c r="B388" t="str">
        <f>IFERROR(__xludf.DUMMYFUNCTION("""COMPUTED_VALUE"""),"William Martinet")</f>
        <v>William Martinet</v>
      </c>
      <c r="C388">
        <f>IFERROR(__xludf.DUMMYFUNCTION("""COMPUTED_VALUE"""),3.79)</f>
        <v>3.79</v>
      </c>
      <c r="D388">
        <f>IFERROR(__xludf.DUMMYFUNCTION("""COMPUTED_VALUE"""),5.37)</f>
        <v>5.37</v>
      </c>
      <c r="E388">
        <f>IFERROR(__xludf.DUMMYFUNCTION("""COMPUTED_VALUE"""),8.95)</f>
        <v>8.95</v>
      </c>
      <c r="F388">
        <f>IFERROR(__xludf.DUMMYFUNCTION("""COMPUTED_VALUE"""),22.47)</f>
        <v>22.47</v>
      </c>
      <c r="G388">
        <f>IFERROR(__xludf.DUMMYFUNCTION("""COMPUTED_VALUE"""),7.58)</f>
        <v>7.58</v>
      </c>
      <c r="H388">
        <f>IFERROR(__xludf.DUMMYFUNCTION("""COMPUTED_VALUE"""),26.79)</f>
        <v>26.79</v>
      </c>
      <c r="I388">
        <f>IFERROR(__xludf.DUMMYFUNCTION("""COMPUTED_VALUE"""),894.63)</f>
        <v>894.63</v>
      </c>
      <c r="J388">
        <f>IFERROR(__xludf.DUMMYFUNCTION("""COMPUTED_VALUE"""),28.74)</f>
        <v>28.74</v>
      </c>
      <c r="K388">
        <f>IFERROR(__xludf.DUMMYFUNCTION("""COMPUTED_VALUE"""),0.11)</f>
        <v>0.11</v>
      </c>
      <c r="L388">
        <f>IFERROR(__xludf.DUMMYFUNCTION("""COMPUTED_VALUE"""),0.21)</f>
        <v>0.21</v>
      </c>
      <c r="M388">
        <f>IFERROR(__xludf.DUMMYFUNCTION("""COMPUTED_VALUE"""),6.95)</f>
        <v>6.95</v>
      </c>
      <c r="N388">
        <f>IFERROR(__xludf.DUMMYFUNCTION("""COMPUTED_VALUE"""),0.37)</f>
        <v>0.37</v>
      </c>
      <c r="O388">
        <f>IFERROR(__xludf.DUMMYFUNCTION("""COMPUTED_VALUE"""),0.32)</f>
        <v>0.32</v>
      </c>
    </row>
    <row r="389">
      <c r="A389" t="str">
        <f>IFERROR(__xludf.DUMMYFUNCTION("""COMPUTED_VALUE"""),"Martinez")</f>
        <v>Martinez</v>
      </c>
      <c r="B389" t="str">
        <f>IFERROR(__xludf.DUMMYFUNCTION("""COMPUTED_VALUE"""),"Michèle Martinez")</f>
        <v>Michèle Martinez</v>
      </c>
      <c r="C389">
        <f>IFERROR(__xludf.DUMMYFUNCTION("""COMPUTED_VALUE"""),3.0)</f>
        <v>3</v>
      </c>
      <c r="D389">
        <f>IFERROR(__xludf.DUMMYFUNCTION("""COMPUTED_VALUE"""),4.26)</f>
        <v>4.26</v>
      </c>
      <c r="E389">
        <f>IFERROR(__xludf.DUMMYFUNCTION("""COMPUTED_VALUE"""),1.42)</f>
        <v>1.42</v>
      </c>
      <c r="F389">
        <f>IFERROR(__xludf.DUMMYFUNCTION("""COMPUTED_VALUE"""),2.05)</f>
        <v>2.05</v>
      </c>
      <c r="G389">
        <f>IFERROR(__xludf.DUMMYFUNCTION("""COMPUTED_VALUE"""),0.58)</f>
        <v>0.58</v>
      </c>
      <c r="H389">
        <f>IFERROR(__xludf.DUMMYFUNCTION("""COMPUTED_VALUE"""),3.53)</f>
        <v>3.53</v>
      </c>
      <c r="I389">
        <f>IFERROR(__xludf.DUMMYFUNCTION("""COMPUTED_VALUE"""),458.26)</f>
        <v>458.26</v>
      </c>
      <c r="J389">
        <f>IFERROR(__xludf.DUMMYFUNCTION("""COMPUTED_VALUE"""),6.63)</f>
        <v>6.63</v>
      </c>
      <c r="K389">
        <f>IFERROR(__xludf.DUMMYFUNCTION("""COMPUTED_VALUE"""),0.0)</f>
        <v>0</v>
      </c>
      <c r="L389">
        <f>IFERROR(__xludf.DUMMYFUNCTION("""COMPUTED_VALUE"""),0.05)</f>
        <v>0.05</v>
      </c>
      <c r="M389">
        <f>IFERROR(__xludf.DUMMYFUNCTION("""COMPUTED_VALUE"""),7.16)</f>
        <v>7.16</v>
      </c>
      <c r="N389">
        <f>IFERROR(__xludf.DUMMYFUNCTION("""COMPUTED_VALUE"""),1.74)</f>
        <v>1.74</v>
      </c>
      <c r="O389">
        <f>IFERROR(__xludf.DUMMYFUNCTION("""COMPUTED_VALUE"""),0.21)</f>
        <v>0.21</v>
      </c>
    </row>
    <row r="390">
      <c r="A390" t="str">
        <f>IFERROR(__xludf.DUMMYFUNCTION("""COMPUTED_VALUE"""),"Masséglia")</f>
        <v>Masséglia</v>
      </c>
      <c r="B390" t="str">
        <f>IFERROR(__xludf.DUMMYFUNCTION("""COMPUTED_VALUE"""),"Denis Masséglia")</f>
        <v>Denis Masséglia</v>
      </c>
      <c r="C390">
        <f>IFERROR(__xludf.DUMMYFUNCTION("""COMPUTED_VALUE"""),3.89)</f>
        <v>3.89</v>
      </c>
      <c r="D390">
        <f>IFERROR(__xludf.DUMMYFUNCTION("""COMPUTED_VALUE"""),9.0)</f>
        <v>9</v>
      </c>
      <c r="E390">
        <f>IFERROR(__xludf.DUMMYFUNCTION("""COMPUTED_VALUE"""),8.47)</f>
        <v>8.47</v>
      </c>
      <c r="F390">
        <f>IFERROR(__xludf.DUMMYFUNCTION("""COMPUTED_VALUE"""),7.37)</f>
        <v>7.37</v>
      </c>
      <c r="G390">
        <f>IFERROR(__xludf.DUMMYFUNCTION("""COMPUTED_VALUE"""),5.89)</f>
        <v>5.89</v>
      </c>
      <c r="H390">
        <f>IFERROR(__xludf.DUMMYFUNCTION("""COMPUTED_VALUE"""),6.42)</f>
        <v>6.42</v>
      </c>
      <c r="I390">
        <f>IFERROR(__xludf.DUMMYFUNCTION("""COMPUTED_VALUE"""),66.79)</f>
        <v>66.79</v>
      </c>
      <c r="J390">
        <f>IFERROR(__xludf.DUMMYFUNCTION("""COMPUTED_VALUE"""),20.63)</f>
        <v>20.63</v>
      </c>
      <c r="K390">
        <f>IFERROR(__xludf.DUMMYFUNCTION("""COMPUTED_VALUE"""),0.42)</f>
        <v>0.42</v>
      </c>
      <c r="L390">
        <f>IFERROR(__xludf.DUMMYFUNCTION("""COMPUTED_VALUE"""),0.05)</f>
        <v>0.05</v>
      </c>
      <c r="M390">
        <f>IFERROR(__xludf.DUMMYFUNCTION("""COMPUTED_VALUE"""),2.47)</f>
        <v>2.47</v>
      </c>
      <c r="N390">
        <f>IFERROR(__xludf.DUMMYFUNCTION("""COMPUTED_VALUE"""),0.37)</f>
        <v>0.37</v>
      </c>
      <c r="O390">
        <f>IFERROR(__xludf.DUMMYFUNCTION("""COMPUTED_VALUE"""),0.11)</f>
        <v>0.11</v>
      </c>
    </row>
    <row r="391">
      <c r="A391" t="str">
        <f>IFERROR(__xludf.DUMMYFUNCTION("""COMPUTED_VALUE"""),"Masson")</f>
        <v>Masson</v>
      </c>
      <c r="B391" t="str">
        <f>IFERROR(__xludf.DUMMYFUNCTION("""COMPUTED_VALUE"""),"Alexandra Masson")</f>
        <v>Alexandra Masson</v>
      </c>
      <c r="C391">
        <f>IFERROR(__xludf.DUMMYFUNCTION("""COMPUTED_VALUE"""),3.63)</f>
        <v>3.63</v>
      </c>
      <c r="D391">
        <f>IFERROR(__xludf.DUMMYFUNCTION("""COMPUTED_VALUE"""),4.95)</f>
        <v>4.95</v>
      </c>
      <c r="E391">
        <f>IFERROR(__xludf.DUMMYFUNCTION("""COMPUTED_VALUE"""),3.63)</f>
        <v>3.63</v>
      </c>
      <c r="F391">
        <f>IFERROR(__xludf.DUMMYFUNCTION("""COMPUTED_VALUE"""),3.32)</f>
        <v>3.32</v>
      </c>
      <c r="G391">
        <f>IFERROR(__xludf.DUMMYFUNCTION("""COMPUTED_VALUE"""),0.63)</f>
        <v>0.63</v>
      </c>
      <c r="H391">
        <f>IFERROR(__xludf.DUMMYFUNCTION("""COMPUTED_VALUE"""),2.89)</f>
        <v>2.89</v>
      </c>
      <c r="I391">
        <f>IFERROR(__xludf.DUMMYFUNCTION("""COMPUTED_VALUE"""),460.89)</f>
        <v>460.89</v>
      </c>
      <c r="J391">
        <f>IFERROR(__xludf.DUMMYFUNCTION("""COMPUTED_VALUE"""),6.42)</f>
        <v>6.42</v>
      </c>
      <c r="K391">
        <f>IFERROR(__xludf.DUMMYFUNCTION("""COMPUTED_VALUE"""),0.21)</f>
        <v>0.21</v>
      </c>
      <c r="L391">
        <f>IFERROR(__xludf.DUMMYFUNCTION("""COMPUTED_VALUE"""),0.05)</f>
        <v>0.05</v>
      </c>
      <c r="M391">
        <f>IFERROR(__xludf.DUMMYFUNCTION("""COMPUTED_VALUE"""),6.16)</f>
        <v>6.16</v>
      </c>
      <c r="N391">
        <f>IFERROR(__xludf.DUMMYFUNCTION("""COMPUTED_VALUE"""),1.32)</f>
        <v>1.32</v>
      </c>
      <c r="O391">
        <f>IFERROR(__xludf.DUMMYFUNCTION("""COMPUTED_VALUE"""),0.32)</f>
        <v>0.32</v>
      </c>
    </row>
    <row r="392">
      <c r="A392" t="str">
        <f>IFERROR(__xludf.DUMMYFUNCTION("""COMPUTED_VALUE"""),"Masson")</f>
        <v>Masson</v>
      </c>
      <c r="B392" t="str">
        <f>IFERROR(__xludf.DUMMYFUNCTION("""COMPUTED_VALUE"""),"Bryan Masson")</f>
        <v>Bryan Masson</v>
      </c>
      <c r="C392">
        <f>IFERROR(__xludf.DUMMYFUNCTION("""COMPUTED_VALUE"""),3.47)</f>
        <v>3.47</v>
      </c>
      <c r="D392">
        <f>IFERROR(__xludf.DUMMYFUNCTION("""COMPUTED_VALUE"""),4.16)</f>
        <v>4.16</v>
      </c>
      <c r="E392">
        <f>IFERROR(__xludf.DUMMYFUNCTION("""COMPUTED_VALUE"""),3.11)</f>
        <v>3.11</v>
      </c>
      <c r="F392">
        <f>IFERROR(__xludf.DUMMYFUNCTION("""COMPUTED_VALUE"""),5.95)</f>
        <v>5.95</v>
      </c>
      <c r="G392">
        <f>IFERROR(__xludf.DUMMYFUNCTION("""COMPUTED_VALUE"""),2.84)</f>
        <v>2.84</v>
      </c>
      <c r="H392">
        <f>IFERROR(__xludf.DUMMYFUNCTION("""COMPUTED_VALUE"""),5.11)</f>
        <v>5.11</v>
      </c>
      <c r="I392">
        <f>IFERROR(__xludf.DUMMYFUNCTION("""COMPUTED_VALUE"""),443.26)</f>
        <v>443.26</v>
      </c>
      <c r="J392">
        <f>IFERROR(__xludf.DUMMYFUNCTION("""COMPUTED_VALUE"""),5.42)</f>
        <v>5.42</v>
      </c>
      <c r="K392">
        <f>IFERROR(__xludf.DUMMYFUNCTION("""COMPUTED_VALUE"""),0.16)</f>
        <v>0.16</v>
      </c>
      <c r="L392">
        <f>IFERROR(__xludf.DUMMYFUNCTION("""COMPUTED_VALUE"""),0.26)</f>
        <v>0.26</v>
      </c>
      <c r="M392">
        <f>IFERROR(__xludf.DUMMYFUNCTION("""COMPUTED_VALUE"""),5.47)</f>
        <v>5.47</v>
      </c>
      <c r="N392">
        <f>IFERROR(__xludf.DUMMYFUNCTION("""COMPUTED_VALUE"""),1.11)</f>
        <v>1.11</v>
      </c>
      <c r="O392">
        <f>IFERROR(__xludf.DUMMYFUNCTION("""COMPUTED_VALUE"""),0.21)</f>
        <v>0.21</v>
      </c>
    </row>
    <row r="393">
      <c r="A393" t="str">
        <f>IFERROR(__xludf.DUMMYFUNCTION("""COMPUTED_VALUE"""),"Mathiasin")</f>
        <v>Mathiasin</v>
      </c>
      <c r="B393" t="str">
        <f>IFERROR(__xludf.DUMMYFUNCTION("""COMPUTED_VALUE"""),"Max Mathiasin")</f>
        <v>Max Mathiasin</v>
      </c>
      <c r="C393">
        <f>IFERROR(__xludf.DUMMYFUNCTION("""COMPUTED_VALUE"""),2.37)</f>
        <v>2.37</v>
      </c>
      <c r="D393">
        <f>IFERROR(__xludf.DUMMYFUNCTION("""COMPUTED_VALUE"""),2.21)</f>
        <v>2.21</v>
      </c>
      <c r="E393">
        <f>IFERROR(__xludf.DUMMYFUNCTION("""COMPUTED_VALUE"""),3.53)</f>
        <v>3.53</v>
      </c>
      <c r="F393">
        <f>IFERROR(__xludf.DUMMYFUNCTION("""COMPUTED_VALUE"""),4.58)</f>
        <v>4.58</v>
      </c>
      <c r="G393">
        <f>IFERROR(__xludf.DUMMYFUNCTION("""COMPUTED_VALUE"""),1.05)</f>
        <v>1.05</v>
      </c>
      <c r="H393">
        <f>IFERROR(__xludf.DUMMYFUNCTION("""COMPUTED_VALUE"""),17.42)</f>
        <v>17.42</v>
      </c>
      <c r="I393">
        <f>IFERROR(__xludf.DUMMYFUNCTION("""COMPUTED_VALUE"""),246.0)</f>
        <v>246</v>
      </c>
      <c r="J393">
        <f>IFERROR(__xludf.DUMMYFUNCTION("""COMPUTED_VALUE"""),16.74)</f>
        <v>16.74</v>
      </c>
      <c r="K393">
        <f>IFERROR(__xludf.DUMMYFUNCTION("""COMPUTED_VALUE"""),0.0)</f>
        <v>0</v>
      </c>
      <c r="L393">
        <f>IFERROR(__xludf.DUMMYFUNCTION("""COMPUTED_VALUE"""),0.0)</f>
        <v>0</v>
      </c>
      <c r="M393">
        <f>IFERROR(__xludf.DUMMYFUNCTION("""COMPUTED_VALUE"""),1.79)</f>
        <v>1.79</v>
      </c>
      <c r="N393">
        <f>IFERROR(__xludf.DUMMYFUNCTION("""COMPUTED_VALUE"""),2.53)</f>
        <v>2.53</v>
      </c>
      <c r="O393">
        <f>IFERROR(__xludf.DUMMYFUNCTION("""COMPUTED_VALUE"""),0.26)</f>
        <v>0.26</v>
      </c>
    </row>
    <row r="394">
      <c r="A394" t="str">
        <f>IFERROR(__xludf.DUMMYFUNCTION("""COMPUTED_VALUE"""),"Mathieu")</f>
        <v>Mathieu</v>
      </c>
      <c r="B394" t="str">
        <f>IFERROR(__xludf.DUMMYFUNCTION("""COMPUTED_VALUE"""),"Frédéric Mathieu")</f>
        <v>Frédéric Mathieu</v>
      </c>
      <c r="C394">
        <f>IFERROR(__xludf.DUMMYFUNCTION("""COMPUTED_VALUE"""),3.21)</f>
        <v>3.21</v>
      </c>
      <c r="D394">
        <f>IFERROR(__xludf.DUMMYFUNCTION("""COMPUTED_VALUE"""),4.26)</f>
        <v>4.26</v>
      </c>
      <c r="E394">
        <f>IFERROR(__xludf.DUMMYFUNCTION("""COMPUTED_VALUE"""),5.0)</f>
        <v>5</v>
      </c>
      <c r="F394">
        <f>IFERROR(__xludf.DUMMYFUNCTION("""COMPUTED_VALUE"""),8.21)</f>
        <v>8.21</v>
      </c>
      <c r="G394">
        <f>IFERROR(__xludf.DUMMYFUNCTION("""COMPUTED_VALUE"""),17.89)</f>
        <v>17.89</v>
      </c>
      <c r="H394">
        <f>IFERROR(__xludf.DUMMYFUNCTION("""COMPUTED_VALUE"""),29.63)</f>
        <v>29.63</v>
      </c>
      <c r="I394">
        <f>IFERROR(__xludf.DUMMYFUNCTION("""COMPUTED_VALUE"""),888.16)</f>
        <v>888.16</v>
      </c>
      <c r="J394">
        <f>IFERROR(__xludf.DUMMYFUNCTION("""COMPUTED_VALUE"""),28.74)</f>
        <v>28.74</v>
      </c>
      <c r="K394">
        <f>IFERROR(__xludf.DUMMYFUNCTION("""COMPUTED_VALUE"""),0.05)</f>
        <v>0.05</v>
      </c>
      <c r="L394">
        <f>IFERROR(__xludf.DUMMYFUNCTION("""COMPUTED_VALUE"""),0.21)</f>
        <v>0.21</v>
      </c>
      <c r="M394">
        <f>IFERROR(__xludf.DUMMYFUNCTION("""COMPUTED_VALUE"""),7.32)</f>
        <v>7.32</v>
      </c>
      <c r="N394">
        <f>IFERROR(__xludf.DUMMYFUNCTION("""COMPUTED_VALUE"""),0.58)</f>
        <v>0.58</v>
      </c>
      <c r="O394">
        <f>IFERROR(__xludf.DUMMYFUNCTION("""COMPUTED_VALUE"""),0.26)</f>
        <v>0.26</v>
      </c>
    </row>
    <row r="395">
      <c r="A395" t="str">
        <f>IFERROR(__xludf.DUMMYFUNCTION("""COMPUTED_VALUE"""),"Mattei")</f>
        <v>Mattei</v>
      </c>
      <c r="B395" t="str">
        <f>IFERROR(__xludf.DUMMYFUNCTION("""COMPUTED_VALUE"""),"Jean-Paul Mattei")</f>
        <v>Jean-Paul Mattei</v>
      </c>
      <c r="C395">
        <f>IFERROR(__xludf.DUMMYFUNCTION("""COMPUTED_VALUE"""),4.16)</f>
        <v>4.16</v>
      </c>
      <c r="D395">
        <f>IFERROR(__xludf.DUMMYFUNCTION("""COMPUTED_VALUE"""),8.89)</f>
        <v>8.89</v>
      </c>
      <c r="E395">
        <f>IFERROR(__xludf.DUMMYFUNCTION("""COMPUTED_VALUE"""),8.47)</f>
        <v>8.47</v>
      </c>
      <c r="F395">
        <f>IFERROR(__xludf.DUMMYFUNCTION("""COMPUTED_VALUE"""),23.79)</f>
        <v>23.79</v>
      </c>
      <c r="G395">
        <f>IFERROR(__xludf.DUMMYFUNCTION("""COMPUTED_VALUE"""),10.0)</f>
        <v>10</v>
      </c>
      <c r="H395">
        <f>IFERROR(__xludf.DUMMYFUNCTION("""COMPUTED_VALUE"""),3.79)</f>
        <v>3.79</v>
      </c>
      <c r="I395">
        <f>IFERROR(__xludf.DUMMYFUNCTION("""COMPUTED_VALUE"""),62.11)</f>
        <v>62.11</v>
      </c>
      <c r="J395">
        <f>IFERROR(__xludf.DUMMYFUNCTION("""COMPUTED_VALUE"""),14.42)</f>
        <v>14.42</v>
      </c>
      <c r="K395">
        <f>IFERROR(__xludf.DUMMYFUNCTION("""COMPUTED_VALUE"""),0.16)</f>
        <v>0.16</v>
      </c>
      <c r="L395">
        <f>IFERROR(__xludf.DUMMYFUNCTION("""COMPUTED_VALUE"""),0.11)</f>
        <v>0.11</v>
      </c>
      <c r="M395">
        <f>IFERROR(__xludf.DUMMYFUNCTION("""COMPUTED_VALUE"""),0.79)</f>
        <v>0.79</v>
      </c>
      <c r="N395">
        <f>IFERROR(__xludf.DUMMYFUNCTION("""COMPUTED_VALUE"""),0.0)</f>
        <v>0</v>
      </c>
      <c r="O395">
        <f>IFERROR(__xludf.DUMMYFUNCTION("""COMPUTED_VALUE"""),0.37)</f>
        <v>0.37</v>
      </c>
    </row>
    <row r="396">
      <c r="A396" t="str">
        <f>IFERROR(__xludf.DUMMYFUNCTION("""COMPUTED_VALUE"""),"Maudet")</f>
        <v>Maudet</v>
      </c>
      <c r="B396" t="str">
        <f>IFERROR(__xludf.DUMMYFUNCTION("""COMPUTED_VALUE"""),"Damien Maudet")</f>
        <v>Damien Maudet</v>
      </c>
      <c r="C396">
        <f>IFERROR(__xludf.DUMMYFUNCTION("""COMPUTED_VALUE"""),3.74)</f>
        <v>3.74</v>
      </c>
      <c r="D396">
        <f>IFERROR(__xludf.DUMMYFUNCTION("""COMPUTED_VALUE"""),6.89)</f>
        <v>6.89</v>
      </c>
      <c r="E396">
        <f>IFERROR(__xludf.DUMMYFUNCTION("""COMPUTED_VALUE"""),10.21)</f>
        <v>10.21</v>
      </c>
      <c r="F396">
        <f>IFERROR(__xludf.DUMMYFUNCTION("""COMPUTED_VALUE"""),12.68)</f>
        <v>12.68</v>
      </c>
      <c r="G396">
        <f>IFERROR(__xludf.DUMMYFUNCTION("""COMPUTED_VALUE"""),7.05)</f>
        <v>7.05</v>
      </c>
      <c r="H396">
        <f>IFERROR(__xludf.DUMMYFUNCTION("""COMPUTED_VALUE"""),33.68)</f>
        <v>33.68</v>
      </c>
      <c r="I396">
        <f>IFERROR(__xludf.DUMMYFUNCTION("""COMPUTED_VALUE"""),894.42)</f>
        <v>894.42</v>
      </c>
      <c r="J396">
        <f>IFERROR(__xludf.DUMMYFUNCTION("""COMPUTED_VALUE"""),29.11)</f>
        <v>29.11</v>
      </c>
      <c r="K396">
        <f>IFERROR(__xludf.DUMMYFUNCTION("""COMPUTED_VALUE"""),0.11)</f>
        <v>0.11</v>
      </c>
      <c r="L396">
        <f>IFERROR(__xludf.DUMMYFUNCTION("""COMPUTED_VALUE"""),0.42)</f>
        <v>0.42</v>
      </c>
      <c r="M396">
        <f>IFERROR(__xludf.DUMMYFUNCTION("""COMPUTED_VALUE"""),7.68)</f>
        <v>7.68</v>
      </c>
      <c r="N396">
        <f>IFERROR(__xludf.DUMMYFUNCTION("""COMPUTED_VALUE"""),2.89)</f>
        <v>2.89</v>
      </c>
      <c r="O396">
        <f>IFERROR(__xludf.DUMMYFUNCTION("""COMPUTED_VALUE"""),0.21)</f>
        <v>0.21</v>
      </c>
    </row>
    <row r="397">
      <c r="A397" t="str">
        <f>IFERROR(__xludf.DUMMYFUNCTION("""COMPUTED_VALUE"""),"Mauvieux")</f>
        <v>Mauvieux</v>
      </c>
      <c r="B397" t="str">
        <f>IFERROR(__xludf.DUMMYFUNCTION("""COMPUTED_VALUE"""),"Kévin Mauvieux")</f>
        <v>Kévin Mauvieux</v>
      </c>
      <c r="C397">
        <f>IFERROR(__xludf.DUMMYFUNCTION("""COMPUTED_VALUE"""),3.95)</f>
        <v>3.95</v>
      </c>
      <c r="D397">
        <f>IFERROR(__xludf.DUMMYFUNCTION("""COMPUTED_VALUE"""),6.63)</f>
        <v>6.63</v>
      </c>
      <c r="E397">
        <f>IFERROR(__xludf.DUMMYFUNCTION("""COMPUTED_VALUE"""),6.84)</f>
        <v>6.84</v>
      </c>
      <c r="F397">
        <f>IFERROR(__xludf.DUMMYFUNCTION("""COMPUTED_VALUE"""),15.21)</f>
        <v>15.21</v>
      </c>
      <c r="G397">
        <f>IFERROR(__xludf.DUMMYFUNCTION("""COMPUTED_VALUE"""),4.16)</f>
        <v>4.16</v>
      </c>
      <c r="H397">
        <f>IFERROR(__xludf.DUMMYFUNCTION("""COMPUTED_VALUE"""),8.47)</f>
        <v>8.47</v>
      </c>
      <c r="I397">
        <f>IFERROR(__xludf.DUMMYFUNCTION("""COMPUTED_VALUE"""),461.63)</f>
        <v>461.63</v>
      </c>
      <c r="J397">
        <f>IFERROR(__xludf.DUMMYFUNCTION("""COMPUTED_VALUE"""),5.42)</f>
        <v>5.42</v>
      </c>
      <c r="K397">
        <f>IFERROR(__xludf.DUMMYFUNCTION("""COMPUTED_VALUE"""),0.32)</f>
        <v>0.32</v>
      </c>
      <c r="L397">
        <f>IFERROR(__xludf.DUMMYFUNCTION("""COMPUTED_VALUE"""),0.26)</f>
        <v>0.26</v>
      </c>
      <c r="M397">
        <f>IFERROR(__xludf.DUMMYFUNCTION("""COMPUTED_VALUE"""),5.84)</f>
        <v>5.84</v>
      </c>
      <c r="N397">
        <f>IFERROR(__xludf.DUMMYFUNCTION("""COMPUTED_VALUE"""),1.37)</f>
        <v>1.37</v>
      </c>
      <c r="O397">
        <f>IFERROR(__xludf.DUMMYFUNCTION("""COMPUTED_VALUE"""),0.16)</f>
        <v>0.16</v>
      </c>
    </row>
    <row r="398">
      <c r="A398" t="str">
        <f>IFERROR(__xludf.DUMMYFUNCTION("""COMPUTED_VALUE"""),"Maximi")</f>
        <v>Maximi</v>
      </c>
      <c r="B398" t="str">
        <f>IFERROR(__xludf.DUMMYFUNCTION("""COMPUTED_VALUE"""),"Marianne Maximi")</f>
        <v>Marianne Maximi</v>
      </c>
      <c r="C398">
        <f>IFERROR(__xludf.DUMMYFUNCTION("""COMPUTED_VALUE"""),3.79)</f>
        <v>3.79</v>
      </c>
      <c r="D398">
        <f>IFERROR(__xludf.DUMMYFUNCTION("""COMPUTED_VALUE"""),7.89)</f>
        <v>7.89</v>
      </c>
      <c r="E398">
        <f>IFERROR(__xludf.DUMMYFUNCTION("""COMPUTED_VALUE"""),10.11)</f>
        <v>10.11</v>
      </c>
      <c r="F398">
        <f>IFERROR(__xludf.DUMMYFUNCTION("""COMPUTED_VALUE"""),13.16)</f>
        <v>13.16</v>
      </c>
      <c r="G398">
        <f>IFERROR(__xludf.DUMMYFUNCTION("""COMPUTED_VALUE"""),3.42)</f>
        <v>3.42</v>
      </c>
      <c r="H398">
        <f>IFERROR(__xludf.DUMMYFUNCTION("""COMPUTED_VALUE"""),31.26)</f>
        <v>31.26</v>
      </c>
      <c r="I398">
        <f>IFERROR(__xludf.DUMMYFUNCTION("""COMPUTED_VALUE"""),889.16)</f>
        <v>889.16</v>
      </c>
      <c r="J398">
        <f>IFERROR(__xludf.DUMMYFUNCTION("""COMPUTED_VALUE"""),28.74)</f>
        <v>28.74</v>
      </c>
      <c r="K398">
        <f>IFERROR(__xludf.DUMMYFUNCTION("""COMPUTED_VALUE"""),0.11)</f>
        <v>0.11</v>
      </c>
      <c r="L398">
        <f>IFERROR(__xludf.DUMMYFUNCTION("""COMPUTED_VALUE"""),0.32)</f>
        <v>0.32</v>
      </c>
      <c r="M398">
        <f>IFERROR(__xludf.DUMMYFUNCTION("""COMPUTED_VALUE"""),7.21)</f>
        <v>7.21</v>
      </c>
      <c r="N398">
        <f>IFERROR(__xludf.DUMMYFUNCTION("""COMPUTED_VALUE"""),2.21)</f>
        <v>2.21</v>
      </c>
      <c r="O398">
        <f>IFERROR(__xludf.DUMMYFUNCTION("""COMPUTED_VALUE"""),0.42)</f>
        <v>0.42</v>
      </c>
    </row>
    <row r="399">
      <c r="A399" t="str">
        <f>IFERROR(__xludf.DUMMYFUNCTION("""COMPUTED_VALUE"""),"Mazars")</f>
        <v>Mazars</v>
      </c>
      <c r="B399" t="str">
        <f>IFERROR(__xludf.DUMMYFUNCTION("""COMPUTED_VALUE"""),"Stéphane Mazars")</f>
        <v>Stéphane Mazars</v>
      </c>
      <c r="C399">
        <f>IFERROR(__xludf.DUMMYFUNCTION("""COMPUTED_VALUE"""),3.63)</f>
        <v>3.63</v>
      </c>
      <c r="D399">
        <f>IFERROR(__xludf.DUMMYFUNCTION("""COMPUTED_VALUE"""),6.63)</f>
        <v>6.63</v>
      </c>
      <c r="E399">
        <f>IFERROR(__xludf.DUMMYFUNCTION("""COMPUTED_VALUE"""),6.21)</f>
        <v>6.21</v>
      </c>
      <c r="F399">
        <f>IFERROR(__xludf.DUMMYFUNCTION("""COMPUTED_VALUE"""),2.53)</f>
        <v>2.53</v>
      </c>
      <c r="G399">
        <f>IFERROR(__xludf.DUMMYFUNCTION("""COMPUTED_VALUE"""),0.68)</f>
        <v>0.68</v>
      </c>
      <c r="H399">
        <f>IFERROR(__xludf.DUMMYFUNCTION("""COMPUTED_VALUE"""),1.11)</f>
        <v>1.11</v>
      </c>
      <c r="I399">
        <f>IFERROR(__xludf.DUMMYFUNCTION("""COMPUTED_VALUE"""),56.68)</f>
        <v>56.68</v>
      </c>
      <c r="J399">
        <f>IFERROR(__xludf.DUMMYFUNCTION("""COMPUTED_VALUE"""),15.05)</f>
        <v>15.05</v>
      </c>
      <c r="K399">
        <f>IFERROR(__xludf.DUMMYFUNCTION("""COMPUTED_VALUE"""),0.05)</f>
        <v>0.05</v>
      </c>
      <c r="L399">
        <f>IFERROR(__xludf.DUMMYFUNCTION("""COMPUTED_VALUE"""),0.0)</f>
        <v>0</v>
      </c>
      <c r="M399">
        <f>IFERROR(__xludf.DUMMYFUNCTION("""COMPUTED_VALUE"""),2.16)</f>
        <v>2.16</v>
      </c>
      <c r="N399">
        <f>IFERROR(__xludf.DUMMYFUNCTION("""COMPUTED_VALUE"""),0.89)</f>
        <v>0.89</v>
      </c>
      <c r="O399">
        <f>IFERROR(__xludf.DUMMYFUNCTION("""COMPUTED_VALUE"""),0.21)</f>
        <v>0.21</v>
      </c>
    </row>
    <row r="400">
      <c r="A400" t="str">
        <f>IFERROR(__xludf.DUMMYFUNCTION("""COMPUTED_VALUE"""),"Meizonnet")</f>
        <v>Meizonnet</v>
      </c>
      <c r="B400" t="str">
        <f>IFERROR(__xludf.DUMMYFUNCTION("""COMPUTED_VALUE"""),"Nicolas Meizonnet")</f>
        <v>Nicolas Meizonnet</v>
      </c>
      <c r="C400">
        <f>IFERROR(__xludf.DUMMYFUNCTION("""COMPUTED_VALUE"""),3.89)</f>
        <v>3.89</v>
      </c>
      <c r="D400">
        <f>IFERROR(__xludf.DUMMYFUNCTION("""COMPUTED_VALUE"""),6.74)</f>
        <v>6.74</v>
      </c>
      <c r="E400">
        <f>IFERROR(__xludf.DUMMYFUNCTION("""COMPUTED_VALUE"""),4.47)</f>
        <v>4.47</v>
      </c>
      <c r="F400">
        <f>IFERROR(__xludf.DUMMYFUNCTION("""COMPUTED_VALUE"""),6.42)</f>
        <v>6.42</v>
      </c>
      <c r="G400">
        <f>IFERROR(__xludf.DUMMYFUNCTION("""COMPUTED_VALUE"""),6.37)</f>
        <v>6.37</v>
      </c>
      <c r="H400">
        <f>IFERROR(__xludf.DUMMYFUNCTION("""COMPUTED_VALUE"""),13.95)</f>
        <v>13.95</v>
      </c>
      <c r="I400">
        <f>IFERROR(__xludf.DUMMYFUNCTION("""COMPUTED_VALUE"""),464.16)</f>
        <v>464.16</v>
      </c>
      <c r="J400">
        <f>IFERROR(__xludf.DUMMYFUNCTION("""COMPUTED_VALUE"""),5.95)</f>
        <v>5.95</v>
      </c>
      <c r="K400">
        <f>IFERROR(__xludf.DUMMYFUNCTION("""COMPUTED_VALUE"""),0.05)</f>
        <v>0.05</v>
      </c>
      <c r="L400">
        <f>IFERROR(__xludf.DUMMYFUNCTION("""COMPUTED_VALUE"""),0.05)</f>
        <v>0.05</v>
      </c>
      <c r="M400">
        <f>IFERROR(__xludf.DUMMYFUNCTION("""COMPUTED_VALUE"""),7.21)</f>
        <v>7.21</v>
      </c>
      <c r="N400">
        <f>IFERROR(__xludf.DUMMYFUNCTION("""COMPUTED_VALUE"""),2.58)</f>
        <v>2.58</v>
      </c>
      <c r="O400">
        <f>IFERROR(__xludf.DUMMYFUNCTION("""COMPUTED_VALUE"""),0.26)</f>
        <v>0.26</v>
      </c>
    </row>
    <row r="401">
      <c r="A401" t="str">
        <f>IFERROR(__xludf.DUMMYFUNCTION("""COMPUTED_VALUE"""),"Melchior")</f>
        <v>Melchior</v>
      </c>
      <c r="B401" t="str">
        <f>IFERROR(__xludf.DUMMYFUNCTION("""COMPUTED_VALUE"""),"Graziella Melchior")</f>
        <v>Graziella Melchior</v>
      </c>
      <c r="C401">
        <f>IFERROR(__xludf.DUMMYFUNCTION("""COMPUTED_VALUE"""),3.95)</f>
        <v>3.95</v>
      </c>
      <c r="D401">
        <f>IFERROR(__xludf.DUMMYFUNCTION("""COMPUTED_VALUE"""),6.47)</f>
        <v>6.47</v>
      </c>
      <c r="E401">
        <f>IFERROR(__xludf.DUMMYFUNCTION("""COMPUTED_VALUE"""),3.58)</f>
        <v>3.58</v>
      </c>
      <c r="F401">
        <f>IFERROR(__xludf.DUMMYFUNCTION("""COMPUTED_VALUE"""),0.84)</f>
        <v>0.84</v>
      </c>
      <c r="G401">
        <f>IFERROR(__xludf.DUMMYFUNCTION("""COMPUTED_VALUE"""),0.11)</f>
        <v>0.11</v>
      </c>
      <c r="H401">
        <f>IFERROR(__xludf.DUMMYFUNCTION("""COMPUTED_VALUE"""),1.47)</f>
        <v>1.47</v>
      </c>
      <c r="I401">
        <f>IFERROR(__xludf.DUMMYFUNCTION("""COMPUTED_VALUE"""),69.53)</f>
        <v>69.53</v>
      </c>
      <c r="J401">
        <f>IFERROR(__xludf.DUMMYFUNCTION("""COMPUTED_VALUE"""),15.84)</f>
        <v>15.84</v>
      </c>
      <c r="K401">
        <f>IFERROR(__xludf.DUMMYFUNCTION("""COMPUTED_VALUE"""),0.05)</f>
        <v>0.05</v>
      </c>
      <c r="L401">
        <f>IFERROR(__xludf.DUMMYFUNCTION("""COMPUTED_VALUE"""),0.0)</f>
        <v>0</v>
      </c>
      <c r="M401">
        <f>IFERROR(__xludf.DUMMYFUNCTION("""COMPUTED_VALUE"""),2.32)</f>
        <v>2.32</v>
      </c>
      <c r="N401">
        <f>IFERROR(__xludf.DUMMYFUNCTION("""COMPUTED_VALUE"""),1.84)</f>
        <v>1.84</v>
      </c>
      <c r="O401">
        <f>IFERROR(__xludf.DUMMYFUNCTION("""COMPUTED_VALUE"""),0.21)</f>
        <v>0.21</v>
      </c>
    </row>
    <row r="402">
      <c r="A402" t="str">
        <f>IFERROR(__xludf.DUMMYFUNCTION("""COMPUTED_VALUE"""),"Mélin")</f>
        <v>Mélin</v>
      </c>
      <c r="B402" t="str">
        <f>IFERROR(__xludf.DUMMYFUNCTION("""COMPUTED_VALUE"""),"Joëlle Mélin")</f>
        <v>Joëlle Mélin</v>
      </c>
      <c r="C402">
        <f>IFERROR(__xludf.DUMMYFUNCTION("""COMPUTED_VALUE"""),3.74)</f>
        <v>3.74</v>
      </c>
      <c r="D402">
        <f>IFERROR(__xludf.DUMMYFUNCTION("""COMPUTED_VALUE"""),8.58)</f>
        <v>8.58</v>
      </c>
      <c r="E402">
        <f>IFERROR(__xludf.DUMMYFUNCTION("""COMPUTED_VALUE"""),12.16)</f>
        <v>12.16</v>
      </c>
      <c r="F402">
        <f>IFERROR(__xludf.DUMMYFUNCTION("""COMPUTED_VALUE"""),4.0)</f>
        <v>4</v>
      </c>
      <c r="G402">
        <f>IFERROR(__xludf.DUMMYFUNCTION("""COMPUTED_VALUE"""),0.47)</f>
        <v>0.47</v>
      </c>
      <c r="H402">
        <f>IFERROR(__xludf.DUMMYFUNCTION("""COMPUTED_VALUE"""),11.63)</f>
        <v>11.63</v>
      </c>
      <c r="I402">
        <f>IFERROR(__xludf.DUMMYFUNCTION("""COMPUTED_VALUE"""),469.79)</f>
        <v>469.79</v>
      </c>
      <c r="J402">
        <f>IFERROR(__xludf.DUMMYFUNCTION("""COMPUTED_VALUE"""),5.84)</f>
        <v>5.84</v>
      </c>
      <c r="K402">
        <f>IFERROR(__xludf.DUMMYFUNCTION("""COMPUTED_VALUE"""),0.16)</f>
        <v>0.16</v>
      </c>
      <c r="L402">
        <f>IFERROR(__xludf.DUMMYFUNCTION("""COMPUTED_VALUE"""),0.16)</f>
        <v>0.16</v>
      </c>
      <c r="M402">
        <f>IFERROR(__xludf.DUMMYFUNCTION("""COMPUTED_VALUE"""),5.89)</f>
        <v>5.89</v>
      </c>
      <c r="N402">
        <f>IFERROR(__xludf.DUMMYFUNCTION("""COMPUTED_VALUE"""),1.84)</f>
        <v>1.84</v>
      </c>
      <c r="O402">
        <f>IFERROR(__xludf.DUMMYFUNCTION("""COMPUTED_VALUE"""),0.26)</f>
        <v>0.26</v>
      </c>
    </row>
    <row r="403">
      <c r="A403" t="str">
        <f>IFERROR(__xludf.DUMMYFUNCTION("""COMPUTED_VALUE"""),"Menache")</f>
        <v>Menache</v>
      </c>
      <c r="B403" t="str">
        <f>IFERROR(__xludf.DUMMYFUNCTION("""COMPUTED_VALUE"""),"Yaël Menache")</f>
        <v>Yaël Menache</v>
      </c>
      <c r="C403">
        <f>IFERROR(__xludf.DUMMYFUNCTION("""COMPUTED_VALUE"""),3.16)</f>
        <v>3.16</v>
      </c>
      <c r="D403">
        <f>IFERROR(__xludf.DUMMYFUNCTION("""COMPUTED_VALUE"""),5.11)</f>
        <v>5.11</v>
      </c>
      <c r="E403">
        <f>IFERROR(__xludf.DUMMYFUNCTION("""COMPUTED_VALUE"""),2.58)</f>
        <v>2.58</v>
      </c>
      <c r="F403">
        <f>IFERROR(__xludf.DUMMYFUNCTION("""COMPUTED_VALUE"""),2.11)</f>
        <v>2.11</v>
      </c>
      <c r="G403">
        <f>IFERROR(__xludf.DUMMYFUNCTION("""COMPUTED_VALUE"""),4.42)</f>
        <v>4.42</v>
      </c>
      <c r="H403">
        <f>IFERROR(__xludf.DUMMYFUNCTION("""COMPUTED_VALUE"""),4.84)</f>
        <v>4.84</v>
      </c>
      <c r="I403">
        <f>IFERROR(__xludf.DUMMYFUNCTION("""COMPUTED_VALUE"""),461.42)</f>
        <v>461.42</v>
      </c>
      <c r="J403">
        <f>IFERROR(__xludf.DUMMYFUNCTION("""COMPUTED_VALUE"""),5.63)</f>
        <v>5.63</v>
      </c>
      <c r="K403">
        <f>IFERROR(__xludf.DUMMYFUNCTION("""COMPUTED_VALUE"""),0.05)</f>
        <v>0.05</v>
      </c>
      <c r="L403">
        <f>IFERROR(__xludf.DUMMYFUNCTION("""COMPUTED_VALUE"""),0.0)</f>
        <v>0</v>
      </c>
      <c r="M403">
        <f>IFERROR(__xludf.DUMMYFUNCTION("""COMPUTED_VALUE"""),4.16)</f>
        <v>4.16</v>
      </c>
      <c r="N403">
        <f>IFERROR(__xludf.DUMMYFUNCTION("""COMPUTED_VALUE"""),1.11)</f>
        <v>1.11</v>
      </c>
      <c r="O403">
        <f>IFERROR(__xludf.DUMMYFUNCTION("""COMPUTED_VALUE"""),0.16)</f>
        <v>0.16</v>
      </c>
    </row>
    <row r="404">
      <c r="A404" t="str">
        <f>IFERROR(__xludf.DUMMYFUNCTION("""COMPUTED_VALUE"""),"Ménagé")</f>
        <v>Ménagé</v>
      </c>
      <c r="B404" t="str">
        <f>IFERROR(__xludf.DUMMYFUNCTION("""COMPUTED_VALUE"""),"Thomas Ménagé")</f>
        <v>Thomas Ménagé</v>
      </c>
      <c r="C404">
        <f>IFERROR(__xludf.DUMMYFUNCTION("""COMPUTED_VALUE"""),4.11)</f>
        <v>4.11</v>
      </c>
      <c r="D404">
        <f>IFERROR(__xludf.DUMMYFUNCTION("""COMPUTED_VALUE"""),7.53)</f>
        <v>7.53</v>
      </c>
      <c r="E404">
        <f>IFERROR(__xludf.DUMMYFUNCTION("""COMPUTED_VALUE"""),7.58)</f>
        <v>7.58</v>
      </c>
      <c r="F404">
        <f>IFERROR(__xludf.DUMMYFUNCTION("""COMPUTED_VALUE"""),12.32)</f>
        <v>12.32</v>
      </c>
      <c r="G404">
        <f>IFERROR(__xludf.DUMMYFUNCTION("""COMPUTED_VALUE"""),23.79)</f>
        <v>23.79</v>
      </c>
      <c r="H404">
        <f>IFERROR(__xludf.DUMMYFUNCTION("""COMPUTED_VALUE"""),18.0)</f>
        <v>18</v>
      </c>
      <c r="I404">
        <f>IFERROR(__xludf.DUMMYFUNCTION("""COMPUTED_VALUE"""),446.63)</f>
        <v>446.63</v>
      </c>
      <c r="J404">
        <f>IFERROR(__xludf.DUMMYFUNCTION("""COMPUTED_VALUE"""),5.42)</f>
        <v>5.42</v>
      </c>
      <c r="K404">
        <f>IFERROR(__xludf.DUMMYFUNCTION("""COMPUTED_VALUE"""),0.05)</f>
        <v>0.05</v>
      </c>
      <c r="L404">
        <f>IFERROR(__xludf.DUMMYFUNCTION("""COMPUTED_VALUE"""),0.26)</f>
        <v>0.26</v>
      </c>
      <c r="M404">
        <f>IFERROR(__xludf.DUMMYFUNCTION("""COMPUTED_VALUE"""),5.79)</f>
        <v>5.79</v>
      </c>
      <c r="N404">
        <f>IFERROR(__xludf.DUMMYFUNCTION("""COMPUTED_VALUE"""),5.11)</f>
        <v>5.11</v>
      </c>
      <c r="O404">
        <f>IFERROR(__xludf.DUMMYFUNCTION("""COMPUTED_VALUE"""),0.26)</f>
        <v>0.26</v>
      </c>
    </row>
    <row r="405">
      <c r="A405" t="str">
        <f>IFERROR(__xludf.DUMMYFUNCTION("""COMPUTED_VALUE"""),"Ménard")</f>
        <v>Ménard</v>
      </c>
      <c r="B405" t="str">
        <f>IFERROR(__xludf.DUMMYFUNCTION("""COMPUTED_VALUE"""),"Emmanuelle Ménard")</f>
        <v>Emmanuelle Ménard</v>
      </c>
      <c r="C405">
        <f>IFERROR(__xludf.DUMMYFUNCTION("""COMPUTED_VALUE"""),3.63)</f>
        <v>3.63</v>
      </c>
      <c r="D405">
        <f>IFERROR(__xludf.DUMMYFUNCTION("""COMPUTED_VALUE"""),5.74)</f>
        <v>5.74</v>
      </c>
      <c r="E405">
        <f>IFERROR(__xludf.DUMMYFUNCTION("""COMPUTED_VALUE"""),5.58)</f>
        <v>5.58</v>
      </c>
      <c r="F405">
        <f>IFERROR(__xludf.DUMMYFUNCTION("""COMPUTED_VALUE"""),50.68)</f>
        <v>50.68</v>
      </c>
      <c r="G405">
        <f>IFERROR(__xludf.DUMMYFUNCTION("""COMPUTED_VALUE"""),8.42)</f>
        <v>8.42</v>
      </c>
      <c r="H405">
        <f>IFERROR(__xludf.DUMMYFUNCTION("""COMPUTED_VALUE"""),112.58)</f>
        <v>112.58</v>
      </c>
      <c r="I405">
        <f>IFERROR(__xludf.DUMMYFUNCTION("""COMPUTED_VALUE"""),116.11)</f>
        <v>116.11</v>
      </c>
      <c r="J405">
        <f>IFERROR(__xludf.DUMMYFUNCTION("""COMPUTED_VALUE"""),0.89)</f>
        <v>0.89</v>
      </c>
      <c r="K405">
        <f>IFERROR(__xludf.DUMMYFUNCTION("""COMPUTED_VALUE"""),0.0)</f>
        <v>0</v>
      </c>
      <c r="L405">
        <f>IFERROR(__xludf.DUMMYFUNCTION("""COMPUTED_VALUE"""),0.63)</f>
        <v>0.63</v>
      </c>
      <c r="M405">
        <f>IFERROR(__xludf.DUMMYFUNCTION("""COMPUTED_VALUE"""),1.84)</f>
        <v>1.84</v>
      </c>
      <c r="N405">
        <f>IFERROR(__xludf.DUMMYFUNCTION("""COMPUTED_VALUE"""),4.68)</f>
        <v>4.68</v>
      </c>
      <c r="O405">
        <f>IFERROR(__xludf.DUMMYFUNCTION("""COMPUTED_VALUE"""),0.21)</f>
        <v>0.21</v>
      </c>
    </row>
    <row r="406">
      <c r="A406" t="str">
        <f>IFERROR(__xludf.DUMMYFUNCTION("""COMPUTED_VALUE"""),"Mendes")</f>
        <v>Mendes</v>
      </c>
      <c r="B406" t="str">
        <f>IFERROR(__xludf.DUMMYFUNCTION("""COMPUTED_VALUE"""),"Ludovic Mendes")</f>
        <v>Ludovic Mendes</v>
      </c>
      <c r="C406">
        <f>IFERROR(__xludf.DUMMYFUNCTION("""COMPUTED_VALUE"""),3.53)</f>
        <v>3.53</v>
      </c>
      <c r="D406">
        <f>IFERROR(__xludf.DUMMYFUNCTION("""COMPUTED_VALUE"""),5.53)</f>
        <v>5.53</v>
      </c>
      <c r="E406">
        <f>IFERROR(__xludf.DUMMYFUNCTION("""COMPUTED_VALUE"""),9.58)</f>
        <v>9.58</v>
      </c>
      <c r="F406">
        <f>IFERROR(__xludf.DUMMYFUNCTION("""COMPUTED_VALUE"""),4.89)</f>
        <v>4.89</v>
      </c>
      <c r="G406">
        <f>IFERROR(__xludf.DUMMYFUNCTION("""COMPUTED_VALUE"""),4.42)</f>
        <v>4.42</v>
      </c>
      <c r="H406">
        <f>IFERROR(__xludf.DUMMYFUNCTION("""COMPUTED_VALUE"""),7.32)</f>
        <v>7.32</v>
      </c>
      <c r="I406">
        <f>IFERROR(__xludf.DUMMYFUNCTION("""COMPUTED_VALUE"""),73.37)</f>
        <v>73.37</v>
      </c>
      <c r="J406">
        <f>IFERROR(__xludf.DUMMYFUNCTION("""COMPUTED_VALUE"""),20.42)</f>
        <v>20.42</v>
      </c>
      <c r="K406">
        <f>IFERROR(__xludf.DUMMYFUNCTION("""COMPUTED_VALUE"""),0.21)</f>
        <v>0.21</v>
      </c>
      <c r="L406">
        <f>IFERROR(__xludf.DUMMYFUNCTION("""COMPUTED_VALUE"""),0.0)</f>
        <v>0</v>
      </c>
      <c r="M406">
        <f>IFERROR(__xludf.DUMMYFUNCTION("""COMPUTED_VALUE"""),2.21)</f>
        <v>2.21</v>
      </c>
      <c r="N406">
        <f>IFERROR(__xludf.DUMMYFUNCTION("""COMPUTED_VALUE"""),0.05)</f>
        <v>0.05</v>
      </c>
      <c r="O406">
        <f>IFERROR(__xludf.DUMMYFUNCTION("""COMPUTED_VALUE"""),0.11)</f>
        <v>0.11</v>
      </c>
    </row>
    <row r="407">
      <c r="A407" t="str">
        <f>IFERROR(__xludf.DUMMYFUNCTION("""COMPUTED_VALUE"""),"Métayer")</f>
        <v>Métayer</v>
      </c>
      <c r="B407" t="str">
        <f>IFERROR(__xludf.DUMMYFUNCTION("""COMPUTED_VALUE"""),"Lysiane Métayer")</f>
        <v>Lysiane Métayer</v>
      </c>
      <c r="C407">
        <f>IFERROR(__xludf.DUMMYFUNCTION("""COMPUTED_VALUE"""),3.84)</f>
        <v>3.84</v>
      </c>
      <c r="D407">
        <f>IFERROR(__xludf.DUMMYFUNCTION("""COMPUTED_VALUE"""),7.89)</f>
        <v>7.89</v>
      </c>
      <c r="E407">
        <f>IFERROR(__xludf.DUMMYFUNCTION("""COMPUTED_VALUE"""),3.11)</f>
        <v>3.11</v>
      </c>
      <c r="F407">
        <f>IFERROR(__xludf.DUMMYFUNCTION("""COMPUTED_VALUE"""),0.37)</f>
        <v>0.37</v>
      </c>
      <c r="G407">
        <f>IFERROR(__xludf.DUMMYFUNCTION("""COMPUTED_VALUE"""),0.11)</f>
        <v>0.11</v>
      </c>
      <c r="H407">
        <f>IFERROR(__xludf.DUMMYFUNCTION("""COMPUTED_VALUE"""),1.16)</f>
        <v>1.16</v>
      </c>
      <c r="I407">
        <f>IFERROR(__xludf.DUMMYFUNCTION("""COMPUTED_VALUE"""),105.0)</f>
        <v>105</v>
      </c>
      <c r="J407">
        <f>IFERROR(__xludf.DUMMYFUNCTION("""COMPUTED_VALUE"""),16.84)</f>
        <v>16.84</v>
      </c>
      <c r="K407">
        <f>IFERROR(__xludf.DUMMYFUNCTION("""COMPUTED_VALUE"""),0.11)</f>
        <v>0.11</v>
      </c>
      <c r="L407">
        <f>IFERROR(__xludf.DUMMYFUNCTION("""COMPUTED_VALUE"""),0.0)</f>
        <v>0</v>
      </c>
      <c r="M407">
        <f>IFERROR(__xludf.DUMMYFUNCTION("""COMPUTED_VALUE"""),3.53)</f>
        <v>3.53</v>
      </c>
      <c r="N407">
        <f>IFERROR(__xludf.DUMMYFUNCTION("""COMPUTED_VALUE"""),0.47)</f>
        <v>0.47</v>
      </c>
      <c r="O407">
        <f>IFERROR(__xludf.DUMMYFUNCTION("""COMPUTED_VALUE"""),0.11)</f>
        <v>0.11</v>
      </c>
    </row>
    <row r="408">
      <c r="A408" t="str">
        <f>IFERROR(__xludf.DUMMYFUNCTION("""COMPUTED_VALUE"""),"Mette")</f>
        <v>Mette</v>
      </c>
      <c r="B408" t="str">
        <f>IFERROR(__xludf.DUMMYFUNCTION("""COMPUTED_VALUE"""),"Sophie Mette")</f>
        <v>Sophie Mette</v>
      </c>
      <c r="C408">
        <f>IFERROR(__xludf.DUMMYFUNCTION("""COMPUTED_VALUE"""),3.89)</f>
        <v>3.89</v>
      </c>
      <c r="D408">
        <f>IFERROR(__xludf.DUMMYFUNCTION("""COMPUTED_VALUE"""),7.79)</f>
        <v>7.79</v>
      </c>
      <c r="E408">
        <f>IFERROR(__xludf.DUMMYFUNCTION("""COMPUTED_VALUE"""),5.47)</f>
        <v>5.47</v>
      </c>
      <c r="F408">
        <f>IFERROR(__xludf.DUMMYFUNCTION("""COMPUTED_VALUE"""),2.84)</f>
        <v>2.84</v>
      </c>
      <c r="G408">
        <f>IFERROR(__xludf.DUMMYFUNCTION("""COMPUTED_VALUE"""),0.26)</f>
        <v>0.26</v>
      </c>
      <c r="H408">
        <f>IFERROR(__xludf.DUMMYFUNCTION("""COMPUTED_VALUE"""),13.84)</f>
        <v>13.84</v>
      </c>
      <c r="I408">
        <f>IFERROR(__xludf.DUMMYFUNCTION("""COMPUTED_VALUE"""),89.11)</f>
        <v>89.11</v>
      </c>
      <c r="J408">
        <f>IFERROR(__xludf.DUMMYFUNCTION("""COMPUTED_VALUE"""),16.21)</f>
        <v>16.21</v>
      </c>
      <c r="K408">
        <f>IFERROR(__xludf.DUMMYFUNCTION("""COMPUTED_VALUE"""),0.05)</f>
        <v>0.05</v>
      </c>
      <c r="L408">
        <f>IFERROR(__xludf.DUMMYFUNCTION("""COMPUTED_VALUE"""),0.0)</f>
        <v>0</v>
      </c>
      <c r="M408">
        <f>IFERROR(__xludf.DUMMYFUNCTION("""COMPUTED_VALUE"""),0.79)</f>
        <v>0.79</v>
      </c>
      <c r="N408">
        <f>IFERROR(__xludf.DUMMYFUNCTION("""COMPUTED_VALUE"""),2.74)</f>
        <v>2.74</v>
      </c>
      <c r="O408">
        <f>IFERROR(__xludf.DUMMYFUNCTION("""COMPUTED_VALUE"""),0.26)</f>
        <v>0.26</v>
      </c>
    </row>
    <row r="409">
      <c r="A409" t="str">
        <f>IFERROR(__xludf.DUMMYFUNCTION("""COMPUTED_VALUE"""),"Metzdorf")</f>
        <v>Metzdorf</v>
      </c>
      <c r="B409" t="str">
        <f>IFERROR(__xludf.DUMMYFUNCTION("""COMPUTED_VALUE"""),"Nicolas Metzdorf")</f>
        <v>Nicolas Metzdorf</v>
      </c>
      <c r="C409">
        <f>IFERROR(__xludf.DUMMYFUNCTION("""COMPUTED_VALUE"""),2.0)</f>
        <v>2</v>
      </c>
      <c r="D409">
        <f>IFERROR(__xludf.DUMMYFUNCTION("""COMPUTED_VALUE"""),3.32)</f>
        <v>3.32</v>
      </c>
      <c r="E409">
        <f>IFERROR(__xludf.DUMMYFUNCTION("""COMPUTED_VALUE"""),4.63)</f>
        <v>4.63</v>
      </c>
      <c r="F409">
        <f>IFERROR(__xludf.DUMMYFUNCTION("""COMPUTED_VALUE"""),5.95)</f>
        <v>5.95</v>
      </c>
      <c r="G409">
        <f>IFERROR(__xludf.DUMMYFUNCTION("""COMPUTED_VALUE"""),5.21)</f>
        <v>5.21</v>
      </c>
      <c r="H409">
        <f>IFERROR(__xludf.DUMMYFUNCTION("""COMPUTED_VALUE"""),5.84)</f>
        <v>5.84</v>
      </c>
      <c r="I409">
        <f>IFERROR(__xludf.DUMMYFUNCTION("""COMPUTED_VALUE"""),69.05)</f>
        <v>69.05</v>
      </c>
      <c r="J409">
        <f>IFERROR(__xludf.DUMMYFUNCTION("""COMPUTED_VALUE"""),14.0)</f>
        <v>14</v>
      </c>
      <c r="K409">
        <f>IFERROR(__xludf.DUMMYFUNCTION("""COMPUTED_VALUE"""),0.21)</f>
        <v>0.21</v>
      </c>
      <c r="L409">
        <f>IFERROR(__xludf.DUMMYFUNCTION("""COMPUTED_VALUE"""),0.05)</f>
        <v>0.05</v>
      </c>
      <c r="M409">
        <f>IFERROR(__xludf.DUMMYFUNCTION("""COMPUTED_VALUE"""),2.79)</f>
        <v>2.79</v>
      </c>
      <c r="N409">
        <f>IFERROR(__xludf.DUMMYFUNCTION("""COMPUTED_VALUE"""),1.37)</f>
        <v>1.37</v>
      </c>
      <c r="O409">
        <f>IFERROR(__xludf.DUMMYFUNCTION("""COMPUTED_VALUE"""),0.26)</f>
        <v>0.26</v>
      </c>
    </row>
    <row r="410">
      <c r="A410" t="str">
        <f>IFERROR(__xludf.DUMMYFUNCTION("""COMPUTED_VALUE"""),"Meunier")</f>
        <v>Meunier</v>
      </c>
      <c r="B410" t="str">
        <f>IFERROR(__xludf.DUMMYFUNCTION("""COMPUTED_VALUE"""),"Manon Meunier")</f>
        <v>Manon Meunier</v>
      </c>
      <c r="C410">
        <f>IFERROR(__xludf.DUMMYFUNCTION("""COMPUTED_VALUE"""),3.74)</f>
        <v>3.74</v>
      </c>
      <c r="D410">
        <f>IFERROR(__xludf.DUMMYFUNCTION("""COMPUTED_VALUE"""),6.95)</f>
        <v>6.95</v>
      </c>
      <c r="E410">
        <f>IFERROR(__xludf.DUMMYFUNCTION("""COMPUTED_VALUE"""),10.63)</f>
        <v>10.63</v>
      </c>
      <c r="F410">
        <f>IFERROR(__xludf.DUMMYFUNCTION("""COMPUTED_VALUE"""),15.79)</f>
        <v>15.79</v>
      </c>
      <c r="G410">
        <f>IFERROR(__xludf.DUMMYFUNCTION("""COMPUTED_VALUE"""),4.47)</f>
        <v>4.47</v>
      </c>
      <c r="H410">
        <f>IFERROR(__xludf.DUMMYFUNCTION("""COMPUTED_VALUE"""),24.95)</f>
        <v>24.95</v>
      </c>
      <c r="I410">
        <f>IFERROR(__xludf.DUMMYFUNCTION("""COMPUTED_VALUE"""),888.89)</f>
        <v>888.89</v>
      </c>
      <c r="J410">
        <f>IFERROR(__xludf.DUMMYFUNCTION("""COMPUTED_VALUE"""),28.74)</f>
        <v>28.74</v>
      </c>
      <c r="K410">
        <f>IFERROR(__xludf.DUMMYFUNCTION("""COMPUTED_VALUE"""),0.05)</f>
        <v>0.05</v>
      </c>
      <c r="L410">
        <f>IFERROR(__xludf.DUMMYFUNCTION("""COMPUTED_VALUE"""),0.16)</f>
        <v>0.16</v>
      </c>
      <c r="M410">
        <f>IFERROR(__xludf.DUMMYFUNCTION("""COMPUTED_VALUE"""),7.16)</f>
        <v>7.16</v>
      </c>
      <c r="N410">
        <f>IFERROR(__xludf.DUMMYFUNCTION("""COMPUTED_VALUE"""),0.58)</f>
        <v>0.58</v>
      </c>
      <c r="O410">
        <f>IFERROR(__xludf.DUMMYFUNCTION("""COMPUTED_VALUE"""),0.26)</f>
        <v>0.26</v>
      </c>
    </row>
    <row r="411">
      <c r="A411" t="str">
        <f>IFERROR(__xludf.DUMMYFUNCTION("""COMPUTED_VALUE"""),"Meunier")</f>
        <v>Meunier</v>
      </c>
      <c r="B411" t="str">
        <f>IFERROR(__xludf.DUMMYFUNCTION("""COMPUTED_VALUE"""),"Frédérique Meunier")</f>
        <v>Frédérique Meunier</v>
      </c>
      <c r="C411">
        <f>IFERROR(__xludf.DUMMYFUNCTION("""COMPUTED_VALUE"""),3.21)</f>
        <v>3.21</v>
      </c>
      <c r="D411">
        <f>IFERROR(__xludf.DUMMYFUNCTION("""COMPUTED_VALUE"""),6.0)</f>
        <v>6</v>
      </c>
      <c r="E411">
        <f>IFERROR(__xludf.DUMMYFUNCTION("""COMPUTED_VALUE"""),4.79)</f>
        <v>4.79</v>
      </c>
      <c r="F411">
        <f>IFERROR(__xludf.DUMMYFUNCTION("""COMPUTED_VALUE"""),2.53)</f>
        <v>2.53</v>
      </c>
      <c r="G411">
        <f>IFERROR(__xludf.DUMMYFUNCTION("""COMPUTED_VALUE"""),3.68)</f>
        <v>3.68</v>
      </c>
      <c r="H411">
        <f>IFERROR(__xludf.DUMMYFUNCTION("""COMPUTED_VALUE"""),1.47)</f>
        <v>1.47</v>
      </c>
      <c r="I411">
        <f>IFERROR(__xludf.DUMMYFUNCTION("""COMPUTED_VALUE"""),262.16)</f>
        <v>262.16</v>
      </c>
      <c r="J411">
        <f>IFERROR(__xludf.DUMMYFUNCTION("""COMPUTED_VALUE"""),8.84)</f>
        <v>8.84</v>
      </c>
      <c r="K411">
        <f>IFERROR(__xludf.DUMMYFUNCTION("""COMPUTED_VALUE"""),0.0)</f>
        <v>0</v>
      </c>
      <c r="L411">
        <f>IFERROR(__xludf.DUMMYFUNCTION("""COMPUTED_VALUE"""),0.37)</f>
        <v>0.37</v>
      </c>
      <c r="M411">
        <f>IFERROR(__xludf.DUMMYFUNCTION("""COMPUTED_VALUE"""),4.95)</f>
        <v>4.95</v>
      </c>
      <c r="N411">
        <f>IFERROR(__xludf.DUMMYFUNCTION("""COMPUTED_VALUE"""),1.32)</f>
        <v>1.32</v>
      </c>
      <c r="O411">
        <f>IFERROR(__xludf.DUMMYFUNCTION("""COMPUTED_VALUE"""),0.16)</f>
        <v>0.16</v>
      </c>
    </row>
    <row r="412">
      <c r="A412" t="str">
        <f>IFERROR(__xludf.DUMMYFUNCTION("""COMPUTED_VALUE"""),"Meurin")</f>
        <v>Meurin</v>
      </c>
      <c r="B412" t="str">
        <f>IFERROR(__xludf.DUMMYFUNCTION("""COMPUTED_VALUE"""),"Pierre Meurin")</f>
        <v>Pierre Meurin</v>
      </c>
      <c r="C412">
        <f>IFERROR(__xludf.DUMMYFUNCTION("""COMPUTED_VALUE"""),3.37)</f>
        <v>3.37</v>
      </c>
      <c r="D412">
        <f>IFERROR(__xludf.DUMMYFUNCTION("""COMPUTED_VALUE"""),5.05)</f>
        <v>5.05</v>
      </c>
      <c r="E412">
        <f>IFERROR(__xludf.DUMMYFUNCTION("""COMPUTED_VALUE"""),13.47)</f>
        <v>13.47</v>
      </c>
      <c r="F412">
        <f>IFERROR(__xludf.DUMMYFUNCTION("""COMPUTED_VALUE"""),23.11)</f>
        <v>23.11</v>
      </c>
      <c r="G412">
        <f>IFERROR(__xludf.DUMMYFUNCTION("""COMPUTED_VALUE"""),17.79)</f>
        <v>17.79</v>
      </c>
      <c r="H412">
        <f>IFERROR(__xludf.DUMMYFUNCTION("""COMPUTED_VALUE"""),46.21)</f>
        <v>46.21</v>
      </c>
      <c r="I412">
        <f>IFERROR(__xludf.DUMMYFUNCTION("""COMPUTED_VALUE"""),495.37)</f>
        <v>495.37</v>
      </c>
      <c r="J412">
        <f>IFERROR(__xludf.DUMMYFUNCTION("""COMPUTED_VALUE"""),6.95)</f>
        <v>6.95</v>
      </c>
      <c r="K412">
        <f>IFERROR(__xludf.DUMMYFUNCTION("""COMPUTED_VALUE"""),0.16)</f>
        <v>0.16</v>
      </c>
      <c r="L412">
        <f>IFERROR(__xludf.DUMMYFUNCTION("""COMPUTED_VALUE"""),0.0)</f>
        <v>0</v>
      </c>
      <c r="M412">
        <f>IFERROR(__xludf.DUMMYFUNCTION("""COMPUTED_VALUE"""),5.37)</f>
        <v>5.37</v>
      </c>
      <c r="N412">
        <f>IFERROR(__xludf.DUMMYFUNCTION("""COMPUTED_VALUE"""),1.21)</f>
        <v>1.21</v>
      </c>
      <c r="O412">
        <f>IFERROR(__xludf.DUMMYFUNCTION("""COMPUTED_VALUE"""),0.21)</f>
        <v>0.21</v>
      </c>
    </row>
    <row r="413">
      <c r="A413" t="str">
        <f>IFERROR(__xludf.DUMMYFUNCTION("""COMPUTED_VALUE"""),"Meynier-Millefert")</f>
        <v>Meynier-Millefert</v>
      </c>
      <c r="B413" t="str">
        <f>IFERROR(__xludf.DUMMYFUNCTION("""COMPUTED_VALUE"""),"Marjolaine Meynier-Millefert")</f>
        <v>Marjolaine Meynier-Millefert</v>
      </c>
      <c r="C413">
        <f>IFERROR(__xludf.DUMMYFUNCTION("""COMPUTED_VALUE"""),3.26)</f>
        <v>3.26</v>
      </c>
      <c r="D413">
        <f>IFERROR(__xludf.DUMMYFUNCTION("""COMPUTED_VALUE"""),5.37)</f>
        <v>5.37</v>
      </c>
      <c r="E413">
        <f>IFERROR(__xludf.DUMMYFUNCTION("""COMPUTED_VALUE"""),4.32)</f>
        <v>4.32</v>
      </c>
      <c r="F413">
        <f>IFERROR(__xludf.DUMMYFUNCTION("""COMPUTED_VALUE"""),1.32)</f>
        <v>1.32</v>
      </c>
      <c r="G413">
        <f>IFERROR(__xludf.DUMMYFUNCTION("""COMPUTED_VALUE"""),0.37)</f>
        <v>0.37</v>
      </c>
      <c r="H413">
        <f>IFERROR(__xludf.DUMMYFUNCTION("""COMPUTED_VALUE"""),17.21)</f>
        <v>17.21</v>
      </c>
      <c r="I413">
        <f>IFERROR(__xludf.DUMMYFUNCTION("""COMPUTED_VALUE"""),73.21)</f>
        <v>73.21</v>
      </c>
      <c r="J413">
        <f>IFERROR(__xludf.DUMMYFUNCTION("""COMPUTED_VALUE"""),17.95)</f>
        <v>17.95</v>
      </c>
      <c r="K413">
        <f>IFERROR(__xludf.DUMMYFUNCTION("""COMPUTED_VALUE"""),0.05)</f>
        <v>0.05</v>
      </c>
      <c r="L413">
        <f>IFERROR(__xludf.DUMMYFUNCTION("""COMPUTED_VALUE"""),0.0)</f>
        <v>0</v>
      </c>
      <c r="M413">
        <f>IFERROR(__xludf.DUMMYFUNCTION("""COMPUTED_VALUE"""),2.21)</f>
        <v>2.21</v>
      </c>
      <c r="N413">
        <f>IFERROR(__xludf.DUMMYFUNCTION("""COMPUTED_VALUE"""),0.32)</f>
        <v>0.32</v>
      </c>
      <c r="O413">
        <f>IFERROR(__xludf.DUMMYFUNCTION("""COMPUTED_VALUE"""),0.11)</f>
        <v>0.11</v>
      </c>
    </row>
    <row r="414">
      <c r="A414" t="str">
        <f>IFERROR(__xludf.DUMMYFUNCTION("""COMPUTED_VALUE"""),"Midy")</f>
        <v>Midy</v>
      </c>
      <c r="B414" t="str">
        <f>IFERROR(__xludf.DUMMYFUNCTION("""COMPUTED_VALUE"""),"Paul Midy")</f>
        <v>Paul Midy</v>
      </c>
      <c r="C414">
        <f>IFERROR(__xludf.DUMMYFUNCTION("""COMPUTED_VALUE"""),3.68)</f>
        <v>3.68</v>
      </c>
      <c r="D414">
        <f>IFERROR(__xludf.DUMMYFUNCTION("""COMPUTED_VALUE"""),4.89)</f>
        <v>4.89</v>
      </c>
      <c r="E414">
        <f>IFERROR(__xludf.DUMMYFUNCTION("""COMPUTED_VALUE"""),8.16)</f>
        <v>8.16</v>
      </c>
      <c r="F414">
        <f>IFERROR(__xludf.DUMMYFUNCTION("""COMPUTED_VALUE"""),10.74)</f>
        <v>10.74</v>
      </c>
      <c r="G414">
        <f>IFERROR(__xludf.DUMMYFUNCTION("""COMPUTED_VALUE"""),10.74)</f>
        <v>10.74</v>
      </c>
      <c r="H414">
        <f>IFERROR(__xludf.DUMMYFUNCTION("""COMPUTED_VALUE"""),8.74)</f>
        <v>8.74</v>
      </c>
      <c r="I414">
        <f>IFERROR(__xludf.DUMMYFUNCTION("""COMPUTED_VALUE"""),65.84)</f>
        <v>65.84</v>
      </c>
      <c r="J414">
        <f>IFERROR(__xludf.DUMMYFUNCTION("""COMPUTED_VALUE"""),24.53)</f>
        <v>24.53</v>
      </c>
      <c r="K414">
        <f>IFERROR(__xludf.DUMMYFUNCTION("""COMPUTED_VALUE"""),0.11)</f>
        <v>0.11</v>
      </c>
      <c r="L414">
        <f>IFERROR(__xludf.DUMMYFUNCTION("""COMPUTED_VALUE"""),0.0)</f>
        <v>0</v>
      </c>
      <c r="M414">
        <f>IFERROR(__xludf.DUMMYFUNCTION("""COMPUTED_VALUE"""),2.11)</f>
        <v>2.11</v>
      </c>
      <c r="N414">
        <f>IFERROR(__xludf.DUMMYFUNCTION("""COMPUTED_VALUE"""),0.26)</f>
        <v>0.26</v>
      </c>
      <c r="O414">
        <f>IFERROR(__xludf.DUMMYFUNCTION("""COMPUTED_VALUE"""),0.11)</f>
        <v>0.11</v>
      </c>
    </row>
    <row r="415">
      <c r="A415" t="str">
        <f>IFERROR(__xludf.DUMMYFUNCTION("""COMPUTED_VALUE"""),"Miller")</f>
        <v>Miller</v>
      </c>
      <c r="B415" t="str">
        <f>IFERROR(__xludf.DUMMYFUNCTION("""COMPUTED_VALUE"""),"Laure Miller")</f>
        <v>Laure Miller</v>
      </c>
      <c r="C415">
        <f>IFERROR(__xludf.DUMMYFUNCTION("""COMPUTED_VALUE"""),3.93)</f>
        <v>3.93</v>
      </c>
      <c r="D415">
        <f>IFERROR(__xludf.DUMMYFUNCTION("""COMPUTED_VALUE"""),7.71)</f>
        <v>7.71</v>
      </c>
      <c r="E415">
        <f>IFERROR(__xludf.DUMMYFUNCTION("""COMPUTED_VALUE"""),4.86)</f>
        <v>4.86</v>
      </c>
      <c r="F415">
        <f>IFERROR(__xludf.DUMMYFUNCTION("""COMPUTED_VALUE"""),3.79)</f>
        <v>3.79</v>
      </c>
      <c r="G415">
        <f>IFERROR(__xludf.DUMMYFUNCTION("""COMPUTED_VALUE"""),1.29)</f>
        <v>1.29</v>
      </c>
      <c r="H415">
        <f>IFERROR(__xludf.DUMMYFUNCTION("""COMPUTED_VALUE"""),2.79)</f>
        <v>2.79</v>
      </c>
      <c r="I415">
        <f>IFERROR(__xludf.DUMMYFUNCTION("""COMPUTED_VALUE"""),60.21)</f>
        <v>60.21</v>
      </c>
      <c r="J415">
        <f>IFERROR(__xludf.DUMMYFUNCTION("""COMPUTED_VALUE"""),19.14)</f>
        <v>19.14</v>
      </c>
      <c r="K415">
        <f>IFERROR(__xludf.DUMMYFUNCTION("""COMPUTED_VALUE"""),0.0)</f>
        <v>0</v>
      </c>
      <c r="L415">
        <f>IFERROR(__xludf.DUMMYFUNCTION("""COMPUTED_VALUE"""),0.0)</f>
        <v>0</v>
      </c>
      <c r="M415">
        <f>IFERROR(__xludf.DUMMYFUNCTION("""COMPUTED_VALUE"""),1.93)</f>
        <v>1.93</v>
      </c>
      <c r="N415">
        <f>IFERROR(__xludf.DUMMYFUNCTION("""COMPUTED_VALUE"""),0.5)</f>
        <v>0.5</v>
      </c>
      <c r="O415">
        <f>IFERROR(__xludf.DUMMYFUNCTION("""COMPUTED_VALUE"""),0.36)</f>
        <v>0.36</v>
      </c>
    </row>
    <row r="416">
      <c r="A416" t="str">
        <f>IFERROR(__xludf.DUMMYFUNCTION("""COMPUTED_VALUE"""),"Millienne")</f>
        <v>Millienne</v>
      </c>
      <c r="B416" t="str">
        <f>IFERROR(__xludf.DUMMYFUNCTION("""COMPUTED_VALUE"""),"Bruno Millienne")</f>
        <v>Bruno Millienne</v>
      </c>
      <c r="C416">
        <f>IFERROR(__xludf.DUMMYFUNCTION("""COMPUTED_VALUE"""),3.84)</f>
        <v>3.84</v>
      </c>
      <c r="D416">
        <f>IFERROR(__xludf.DUMMYFUNCTION("""COMPUTED_VALUE"""),6.16)</f>
        <v>6.16</v>
      </c>
      <c r="E416">
        <f>IFERROR(__xludf.DUMMYFUNCTION("""COMPUTED_VALUE"""),16.79)</f>
        <v>16.79</v>
      </c>
      <c r="F416">
        <f>IFERROR(__xludf.DUMMYFUNCTION("""COMPUTED_VALUE"""),34.53)</f>
        <v>34.53</v>
      </c>
      <c r="G416">
        <f>IFERROR(__xludf.DUMMYFUNCTION("""COMPUTED_VALUE"""),97.58)</f>
        <v>97.58</v>
      </c>
      <c r="H416">
        <f>IFERROR(__xludf.DUMMYFUNCTION("""COMPUTED_VALUE"""),11.95)</f>
        <v>11.95</v>
      </c>
      <c r="I416">
        <f>IFERROR(__xludf.DUMMYFUNCTION("""COMPUTED_VALUE"""),71.95)</f>
        <v>71.95</v>
      </c>
      <c r="J416">
        <f>IFERROR(__xludf.DUMMYFUNCTION("""COMPUTED_VALUE"""),18.79)</f>
        <v>18.79</v>
      </c>
      <c r="K416">
        <f>IFERROR(__xludf.DUMMYFUNCTION("""COMPUTED_VALUE"""),0.16)</f>
        <v>0.16</v>
      </c>
      <c r="L416">
        <f>IFERROR(__xludf.DUMMYFUNCTION("""COMPUTED_VALUE"""),0.16)</f>
        <v>0.16</v>
      </c>
      <c r="M416">
        <f>IFERROR(__xludf.DUMMYFUNCTION("""COMPUTED_VALUE"""),1.16)</f>
        <v>1.16</v>
      </c>
      <c r="N416">
        <f>IFERROR(__xludf.DUMMYFUNCTION("""COMPUTED_VALUE"""),0.16)</f>
        <v>0.16</v>
      </c>
      <c r="O416">
        <f>IFERROR(__xludf.DUMMYFUNCTION("""COMPUTED_VALUE"""),0.32)</f>
        <v>0.32</v>
      </c>
    </row>
    <row r="417">
      <c r="A417" t="str">
        <f>IFERROR(__xludf.DUMMYFUNCTION("""COMPUTED_VALUE"""),"Minot")</f>
        <v>Minot</v>
      </c>
      <c r="B417" t="str">
        <f>IFERROR(__xludf.DUMMYFUNCTION("""COMPUTED_VALUE"""),"Maxime Minot")</f>
        <v>Maxime Minot</v>
      </c>
      <c r="C417">
        <f>IFERROR(__xludf.DUMMYFUNCTION("""COMPUTED_VALUE"""),4.05)</f>
        <v>4.05</v>
      </c>
      <c r="D417">
        <f>IFERROR(__xludf.DUMMYFUNCTION("""COMPUTED_VALUE"""),8.63)</f>
        <v>8.63</v>
      </c>
      <c r="E417">
        <f>IFERROR(__xludf.DUMMYFUNCTION("""COMPUTED_VALUE"""),4.84)</f>
        <v>4.84</v>
      </c>
      <c r="F417">
        <f>IFERROR(__xludf.DUMMYFUNCTION("""COMPUTED_VALUE"""),8.0)</f>
        <v>8</v>
      </c>
      <c r="G417">
        <f>IFERROR(__xludf.DUMMYFUNCTION("""COMPUTED_VALUE"""),100.05)</f>
        <v>100.05</v>
      </c>
      <c r="H417">
        <f>IFERROR(__xludf.DUMMYFUNCTION("""COMPUTED_VALUE"""),5.47)</f>
        <v>5.47</v>
      </c>
      <c r="I417">
        <f>IFERROR(__xludf.DUMMYFUNCTION("""COMPUTED_VALUE"""),122.74)</f>
        <v>122.74</v>
      </c>
      <c r="J417">
        <f>IFERROR(__xludf.DUMMYFUNCTION("""COMPUTED_VALUE"""),5.11)</f>
        <v>5.11</v>
      </c>
      <c r="K417">
        <f>IFERROR(__xludf.DUMMYFUNCTION("""COMPUTED_VALUE"""),0.0)</f>
        <v>0</v>
      </c>
      <c r="L417">
        <f>IFERROR(__xludf.DUMMYFUNCTION("""COMPUTED_VALUE"""),0.42)</f>
        <v>0.42</v>
      </c>
      <c r="M417">
        <f>IFERROR(__xludf.DUMMYFUNCTION("""COMPUTED_VALUE"""),3.32)</f>
        <v>3.32</v>
      </c>
      <c r="N417">
        <f>IFERROR(__xludf.DUMMYFUNCTION("""COMPUTED_VALUE"""),2.47)</f>
        <v>2.47</v>
      </c>
      <c r="O417">
        <f>IFERROR(__xludf.DUMMYFUNCTION("""COMPUTED_VALUE"""),0.32)</f>
        <v>0.32</v>
      </c>
    </row>
    <row r="418">
      <c r="A418" t="str">
        <f>IFERROR(__xludf.DUMMYFUNCTION("""COMPUTED_VALUE"""),"Molac")</f>
        <v>Molac</v>
      </c>
      <c r="B418" t="str">
        <f>IFERROR(__xludf.DUMMYFUNCTION("""COMPUTED_VALUE"""),"Paul Molac")</f>
        <v>Paul Molac</v>
      </c>
      <c r="C418">
        <f>IFERROR(__xludf.DUMMYFUNCTION("""COMPUTED_VALUE"""),3.95)</f>
        <v>3.95</v>
      </c>
      <c r="D418">
        <f>IFERROR(__xludf.DUMMYFUNCTION("""COMPUTED_VALUE"""),7.37)</f>
        <v>7.37</v>
      </c>
      <c r="E418">
        <f>IFERROR(__xludf.DUMMYFUNCTION("""COMPUTED_VALUE"""),8.74)</f>
        <v>8.74</v>
      </c>
      <c r="F418">
        <f>IFERROR(__xludf.DUMMYFUNCTION("""COMPUTED_VALUE"""),13.74)</f>
        <v>13.74</v>
      </c>
      <c r="G418">
        <f>IFERROR(__xludf.DUMMYFUNCTION("""COMPUTED_VALUE"""),3.11)</f>
        <v>3.11</v>
      </c>
      <c r="H418">
        <f>IFERROR(__xludf.DUMMYFUNCTION("""COMPUTED_VALUE"""),10.79)</f>
        <v>10.79</v>
      </c>
      <c r="I418">
        <f>IFERROR(__xludf.DUMMYFUNCTION("""COMPUTED_VALUE"""),245.32)</f>
        <v>245.32</v>
      </c>
      <c r="J418">
        <f>IFERROR(__xludf.DUMMYFUNCTION("""COMPUTED_VALUE"""),17.79)</f>
        <v>17.79</v>
      </c>
      <c r="K418">
        <f>IFERROR(__xludf.DUMMYFUNCTION("""COMPUTED_VALUE"""),0.05)</f>
        <v>0.05</v>
      </c>
      <c r="L418">
        <f>IFERROR(__xludf.DUMMYFUNCTION("""COMPUTED_VALUE"""),0.11)</f>
        <v>0.11</v>
      </c>
      <c r="M418">
        <f>IFERROR(__xludf.DUMMYFUNCTION("""COMPUTED_VALUE"""),2.58)</f>
        <v>2.58</v>
      </c>
      <c r="N418">
        <f>IFERROR(__xludf.DUMMYFUNCTION("""COMPUTED_VALUE"""),4.58)</f>
        <v>4.58</v>
      </c>
      <c r="O418">
        <f>IFERROR(__xludf.DUMMYFUNCTION("""COMPUTED_VALUE"""),0.63)</f>
        <v>0.63</v>
      </c>
    </row>
    <row r="419">
      <c r="A419" t="str">
        <f>IFERROR(__xludf.DUMMYFUNCTION("""COMPUTED_VALUE"""),"Monnet")</f>
        <v>Monnet</v>
      </c>
      <c r="B419" t="str">
        <f>IFERROR(__xludf.DUMMYFUNCTION("""COMPUTED_VALUE"""),"Yannick Monnet")</f>
        <v>Yannick Monnet</v>
      </c>
      <c r="C419">
        <f>IFERROR(__xludf.DUMMYFUNCTION("""COMPUTED_VALUE"""),3.89)</f>
        <v>3.89</v>
      </c>
      <c r="D419">
        <f>IFERROR(__xludf.DUMMYFUNCTION("""COMPUTED_VALUE"""),6.68)</f>
        <v>6.68</v>
      </c>
      <c r="E419">
        <f>IFERROR(__xludf.DUMMYFUNCTION("""COMPUTED_VALUE"""),13.74)</f>
        <v>13.74</v>
      </c>
      <c r="F419">
        <f>IFERROR(__xludf.DUMMYFUNCTION("""COMPUTED_VALUE"""),20.26)</f>
        <v>20.26</v>
      </c>
      <c r="G419">
        <f>IFERROR(__xludf.DUMMYFUNCTION("""COMPUTED_VALUE"""),7.26)</f>
        <v>7.26</v>
      </c>
      <c r="H419">
        <f>IFERROR(__xludf.DUMMYFUNCTION("""COMPUTED_VALUE"""),35.63)</f>
        <v>35.63</v>
      </c>
      <c r="I419">
        <f>IFERROR(__xludf.DUMMYFUNCTION("""COMPUTED_VALUE"""),253.0)</f>
        <v>253</v>
      </c>
      <c r="J419">
        <f>IFERROR(__xludf.DUMMYFUNCTION("""COMPUTED_VALUE"""),14.53)</f>
        <v>14.53</v>
      </c>
      <c r="K419">
        <f>IFERROR(__xludf.DUMMYFUNCTION("""COMPUTED_VALUE"""),0.0)</f>
        <v>0</v>
      </c>
      <c r="L419">
        <f>IFERROR(__xludf.DUMMYFUNCTION("""COMPUTED_VALUE"""),0.16)</f>
        <v>0.16</v>
      </c>
      <c r="M419">
        <f>IFERROR(__xludf.DUMMYFUNCTION("""COMPUTED_VALUE"""),3.79)</f>
        <v>3.79</v>
      </c>
      <c r="N419">
        <f>IFERROR(__xludf.DUMMYFUNCTION("""COMPUTED_VALUE"""),3.21)</f>
        <v>3.21</v>
      </c>
      <c r="O419">
        <f>IFERROR(__xludf.DUMMYFUNCTION("""COMPUTED_VALUE"""),0.42)</f>
        <v>0.42</v>
      </c>
    </row>
    <row r="420">
      <c r="A420" t="str">
        <f>IFERROR(__xludf.DUMMYFUNCTION("""COMPUTED_VALUE"""),"Morel")</f>
        <v>Morel</v>
      </c>
      <c r="B420" t="str">
        <f>IFERROR(__xludf.DUMMYFUNCTION("""COMPUTED_VALUE"""),"Louise Morel")</f>
        <v>Louise Morel</v>
      </c>
      <c r="C420">
        <f>IFERROR(__xludf.DUMMYFUNCTION("""COMPUTED_VALUE"""),3.89)</f>
        <v>3.89</v>
      </c>
      <c r="D420">
        <f>IFERROR(__xludf.DUMMYFUNCTION("""COMPUTED_VALUE"""),7.05)</f>
        <v>7.05</v>
      </c>
      <c r="E420">
        <f>IFERROR(__xludf.DUMMYFUNCTION("""COMPUTED_VALUE"""),13.74)</f>
        <v>13.74</v>
      </c>
      <c r="F420">
        <f>IFERROR(__xludf.DUMMYFUNCTION("""COMPUTED_VALUE"""),14.11)</f>
        <v>14.11</v>
      </c>
      <c r="G420">
        <f>IFERROR(__xludf.DUMMYFUNCTION("""COMPUTED_VALUE"""),1.63)</f>
        <v>1.63</v>
      </c>
      <c r="H420">
        <f>IFERROR(__xludf.DUMMYFUNCTION("""COMPUTED_VALUE"""),13.11)</f>
        <v>13.11</v>
      </c>
      <c r="I420">
        <f>IFERROR(__xludf.DUMMYFUNCTION("""COMPUTED_VALUE"""),77.11)</f>
        <v>77.11</v>
      </c>
      <c r="J420">
        <f>IFERROR(__xludf.DUMMYFUNCTION("""COMPUTED_VALUE"""),20.32)</f>
        <v>20.32</v>
      </c>
      <c r="K420">
        <f>IFERROR(__xludf.DUMMYFUNCTION("""COMPUTED_VALUE"""),0.26)</f>
        <v>0.26</v>
      </c>
      <c r="L420">
        <f>IFERROR(__xludf.DUMMYFUNCTION("""COMPUTED_VALUE"""),0.0)</f>
        <v>0</v>
      </c>
      <c r="M420">
        <f>IFERROR(__xludf.DUMMYFUNCTION("""COMPUTED_VALUE"""),1.37)</f>
        <v>1.37</v>
      </c>
      <c r="N420">
        <f>IFERROR(__xludf.DUMMYFUNCTION("""COMPUTED_VALUE"""),2.0)</f>
        <v>2</v>
      </c>
      <c r="O420">
        <f>IFERROR(__xludf.DUMMYFUNCTION("""COMPUTED_VALUE"""),0.16)</f>
        <v>0.16</v>
      </c>
    </row>
    <row r="421">
      <c r="A421" t="str">
        <f>IFERROR(__xludf.DUMMYFUNCTION("""COMPUTED_VALUE"""),"Morel-À-L'Huissier")</f>
        <v>Morel-À-L'Huissier</v>
      </c>
      <c r="B421" t="str">
        <f>IFERROR(__xludf.DUMMYFUNCTION("""COMPUTED_VALUE"""),"Pierre Morel-À-L'Huissier")</f>
        <v>Pierre Morel-À-L'Huissier</v>
      </c>
      <c r="C421">
        <f>IFERROR(__xludf.DUMMYFUNCTION("""COMPUTED_VALUE"""),3.32)</f>
        <v>3.32</v>
      </c>
      <c r="D421">
        <f>IFERROR(__xludf.DUMMYFUNCTION("""COMPUTED_VALUE"""),4.37)</f>
        <v>4.37</v>
      </c>
      <c r="E421">
        <f>IFERROR(__xludf.DUMMYFUNCTION("""COMPUTED_VALUE"""),1.21)</f>
        <v>1.21</v>
      </c>
      <c r="F421">
        <f>IFERROR(__xludf.DUMMYFUNCTION("""COMPUTED_VALUE"""),3.0)</f>
        <v>3</v>
      </c>
      <c r="G421">
        <f>IFERROR(__xludf.DUMMYFUNCTION("""COMPUTED_VALUE"""),0.21)</f>
        <v>0.21</v>
      </c>
      <c r="H421">
        <f>IFERROR(__xludf.DUMMYFUNCTION("""COMPUTED_VALUE"""),7.63)</f>
        <v>7.63</v>
      </c>
      <c r="I421">
        <f>IFERROR(__xludf.DUMMYFUNCTION("""COMPUTED_VALUE"""),231.05)</f>
        <v>231.05</v>
      </c>
      <c r="J421">
        <f>IFERROR(__xludf.DUMMYFUNCTION("""COMPUTED_VALUE"""),15.37)</f>
        <v>15.37</v>
      </c>
      <c r="K421">
        <f>IFERROR(__xludf.DUMMYFUNCTION("""COMPUTED_VALUE"""),0.05)</f>
        <v>0.05</v>
      </c>
      <c r="L421">
        <f>IFERROR(__xludf.DUMMYFUNCTION("""COMPUTED_VALUE"""),4.58)</f>
        <v>4.58</v>
      </c>
      <c r="M421">
        <f>IFERROR(__xludf.DUMMYFUNCTION("""COMPUTED_VALUE"""),6.89)</f>
        <v>6.89</v>
      </c>
      <c r="N421">
        <f>IFERROR(__xludf.DUMMYFUNCTION("""COMPUTED_VALUE"""),5.79)</f>
        <v>5.79</v>
      </c>
      <c r="O421">
        <f>IFERROR(__xludf.DUMMYFUNCTION("""COMPUTED_VALUE"""),0.53)</f>
        <v>0.53</v>
      </c>
    </row>
    <row r="422">
      <c r="A422" t="str">
        <f>IFERROR(__xludf.DUMMYFUNCTION("""COMPUTED_VALUE"""),"Mournet")</f>
        <v>Mournet</v>
      </c>
      <c r="B422" t="str">
        <f>IFERROR(__xludf.DUMMYFUNCTION("""COMPUTED_VALUE"""),"Benoit Mournet")</f>
        <v>Benoit Mournet</v>
      </c>
      <c r="C422">
        <f>IFERROR(__xludf.DUMMYFUNCTION("""COMPUTED_VALUE"""),3.68)</f>
        <v>3.68</v>
      </c>
      <c r="D422">
        <f>IFERROR(__xludf.DUMMYFUNCTION("""COMPUTED_VALUE"""),9.05)</f>
        <v>9.05</v>
      </c>
      <c r="E422">
        <f>IFERROR(__xludf.DUMMYFUNCTION("""COMPUTED_VALUE"""),4.16)</f>
        <v>4.16</v>
      </c>
      <c r="F422">
        <f>IFERROR(__xludf.DUMMYFUNCTION("""COMPUTED_VALUE"""),5.68)</f>
        <v>5.68</v>
      </c>
      <c r="G422">
        <f>IFERROR(__xludf.DUMMYFUNCTION("""COMPUTED_VALUE"""),1.95)</f>
        <v>1.95</v>
      </c>
      <c r="H422">
        <f>IFERROR(__xludf.DUMMYFUNCTION("""COMPUTED_VALUE"""),8.79)</f>
        <v>8.79</v>
      </c>
      <c r="I422">
        <f>IFERROR(__xludf.DUMMYFUNCTION("""COMPUTED_VALUE"""),76.37)</f>
        <v>76.37</v>
      </c>
      <c r="J422">
        <f>IFERROR(__xludf.DUMMYFUNCTION("""COMPUTED_VALUE"""),18.21)</f>
        <v>18.21</v>
      </c>
      <c r="K422">
        <f>IFERROR(__xludf.DUMMYFUNCTION("""COMPUTED_VALUE"""),0.11)</f>
        <v>0.11</v>
      </c>
      <c r="L422">
        <f>IFERROR(__xludf.DUMMYFUNCTION("""COMPUTED_VALUE"""),0.05)</f>
        <v>0.05</v>
      </c>
      <c r="M422">
        <f>IFERROR(__xludf.DUMMYFUNCTION("""COMPUTED_VALUE"""),2.26)</f>
        <v>2.26</v>
      </c>
      <c r="N422">
        <f>IFERROR(__xludf.DUMMYFUNCTION("""COMPUTED_VALUE"""),0.32)</f>
        <v>0.32</v>
      </c>
      <c r="O422">
        <f>IFERROR(__xludf.DUMMYFUNCTION("""COMPUTED_VALUE"""),0.11)</f>
        <v>0.11</v>
      </c>
    </row>
    <row r="423">
      <c r="A423" t="str">
        <f>IFERROR(__xludf.DUMMYFUNCTION("""COMPUTED_VALUE"""),"Moutchou")</f>
        <v>Moutchou</v>
      </c>
      <c r="B423" t="str">
        <f>IFERROR(__xludf.DUMMYFUNCTION("""COMPUTED_VALUE"""),"Naïma Moutchou")</f>
        <v>Naïma Moutchou</v>
      </c>
      <c r="C423">
        <f>IFERROR(__xludf.DUMMYFUNCTION("""COMPUTED_VALUE"""),3.79)</f>
        <v>3.79</v>
      </c>
      <c r="D423">
        <f>IFERROR(__xludf.DUMMYFUNCTION("""COMPUTED_VALUE"""),6.32)</f>
        <v>6.32</v>
      </c>
      <c r="E423">
        <f>IFERROR(__xludf.DUMMYFUNCTION("""COMPUTED_VALUE"""),4.42)</f>
        <v>4.42</v>
      </c>
      <c r="F423">
        <f>IFERROR(__xludf.DUMMYFUNCTION("""COMPUTED_VALUE"""),147.42)</f>
        <v>147.42</v>
      </c>
      <c r="G423">
        <f>IFERROR(__xludf.DUMMYFUNCTION("""COMPUTED_VALUE"""),578.89)</f>
        <v>578.89</v>
      </c>
      <c r="H423">
        <f>IFERROR(__xludf.DUMMYFUNCTION("""COMPUTED_VALUE"""),8.21)</f>
        <v>8.21</v>
      </c>
      <c r="I423">
        <f>IFERROR(__xludf.DUMMYFUNCTION("""COMPUTED_VALUE"""),60.63)</f>
        <v>60.63</v>
      </c>
      <c r="J423">
        <f>IFERROR(__xludf.DUMMYFUNCTION("""COMPUTED_VALUE"""),15.0)</f>
        <v>15</v>
      </c>
      <c r="K423">
        <f>IFERROR(__xludf.DUMMYFUNCTION("""COMPUTED_VALUE"""),0.05)</f>
        <v>0.05</v>
      </c>
      <c r="L423">
        <f>IFERROR(__xludf.DUMMYFUNCTION("""COMPUTED_VALUE"""),0.32)</f>
        <v>0.32</v>
      </c>
      <c r="M423">
        <f>IFERROR(__xludf.DUMMYFUNCTION("""COMPUTED_VALUE"""),1.74)</f>
        <v>1.74</v>
      </c>
      <c r="N423">
        <f>IFERROR(__xludf.DUMMYFUNCTION("""COMPUTED_VALUE"""),0.37)</f>
        <v>0.37</v>
      </c>
      <c r="O423">
        <f>IFERROR(__xludf.DUMMYFUNCTION("""COMPUTED_VALUE"""),0.26)</f>
        <v>0.26</v>
      </c>
    </row>
    <row r="424">
      <c r="A424" t="str">
        <f>IFERROR(__xludf.DUMMYFUNCTION("""COMPUTED_VALUE"""),"Muller")</f>
        <v>Muller</v>
      </c>
      <c r="B424" t="str">
        <f>IFERROR(__xludf.DUMMYFUNCTION("""COMPUTED_VALUE"""),"Serge Muller")</f>
        <v>Serge Muller</v>
      </c>
      <c r="C424">
        <f>IFERROR(__xludf.DUMMYFUNCTION("""COMPUTED_VALUE"""),3.89)</f>
        <v>3.89</v>
      </c>
      <c r="D424">
        <f>IFERROR(__xludf.DUMMYFUNCTION("""COMPUTED_VALUE"""),7.42)</f>
        <v>7.42</v>
      </c>
      <c r="E424">
        <f>IFERROR(__xludf.DUMMYFUNCTION("""COMPUTED_VALUE"""),3.84)</f>
        <v>3.84</v>
      </c>
      <c r="F424">
        <f>IFERROR(__xludf.DUMMYFUNCTION("""COMPUTED_VALUE"""),1.89)</f>
        <v>1.89</v>
      </c>
      <c r="G424">
        <f>IFERROR(__xludf.DUMMYFUNCTION("""COMPUTED_VALUE"""),0.58)</f>
        <v>0.58</v>
      </c>
      <c r="H424">
        <f>IFERROR(__xludf.DUMMYFUNCTION("""COMPUTED_VALUE"""),17.0)</f>
        <v>17</v>
      </c>
      <c r="I424">
        <f>IFERROR(__xludf.DUMMYFUNCTION("""COMPUTED_VALUE"""),498.53)</f>
        <v>498.53</v>
      </c>
      <c r="J424">
        <f>IFERROR(__xludf.DUMMYFUNCTION("""COMPUTED_VALUE"""),6.11)</f>
        <v>6.11</v>
      </c>
      <c r="K424">
        <f>IFERROR(__xludf.DUMMYFUNCTION("""COMPUTED_VALUE"""),0.05)</f>
        <v>0.05</v>
      </c>
      <c r="L424">
        <f>IFERROR(__xludf.DUMMYFUNCTION("""COMPUTED_VALUE"""),0.05)</f>
        <v>0.05</v>
      </c>
      <c r="M424">
        <f>IFERROR(__xludf.DUMMYFUNCTION("""COMPUTED_VALUE"""),7.0)</f>
        <v>7</v>
      </c>
      <c r="N424">
        <f>IFERROR(__xludf.DUMMYFUNCTION("""COMPUTED_VALUE"""),2.26)</f>
        <v>2.26</v>
      </c>
      <c r="O424">
        <f>IFERROR(__xludf.DUMMYFUNCTION("""COMPUTED_VALUE"""),0.16)</f>
        <v>0.16</v>
      </c>
    </row>
    <row r="425">
      <c r="A425" t="str">
        <f>IFERROR(__xludf.DUMMYFUNCTION("""COMPUTED_VALUE"""),"Nadeau")</f>
        <v>Nadeau</v>
      </c>
      <c r="B425" t="str">
        <f>IFERROR(__xludf.DUMMYFUNCTION("""COMPUTED_VALUE"""),"Marcellin Nadeau")</f>
        <v>Marcellin Nadeau</v>
      </c>
      <c r="C425">
        <f>IFERROR(__xludf.DUMMYFUNCTION("""COMPUTED_VALUE"""),2.47)</f>
        <v>2.47</v>
      </c>
      <c r="D425">
        <f>IFERROR(__xludf.DUMMYFUNCTION("""COMPUTED_VALUE"""),1.79)</f>
        <v>1.79</v>
      </c>
      <c r="E425">
        <f>IFERROR(__xludf.DUMMYFUNCTION("""COMPUTED_VALUE"""),2.68)</f>
        <v>2.68</v>
      </c>
      <c r="F425">
        <f>IFERROR(__xludf.DUMMYFUNCTION("""COMPUTED_VALUE"""),7.74)</f>
        <v>7.74</v>
      </c>
      <c r="G425">
        <f>IFERROR(__xludf.DUMMYFUNCTION("""COMPUTED_VALUE"""),2.21)</f>
        <v>2.21</v>
      </c>
      <c r="H425">
        <f>IFERROR(__xludf.DUMMYFUNCTION("""COMPUTED_VALUE"""),5.89)</f>
        <v>5.89</v>
      </c>
      <c r="I425">
        <f>IFERROR(__xludf.DUMMYFUNCTION("""COMPUTED_VALUE"""),213.74)</f>
        <v>213.74</v>
      </c>
      <c r="J425">
        <f>IFERROR(__xludf.DUMMYFUNCTION("""COMPUTED_VALUE"""),13.05)</f>
        <v>13.05</v>
      </c>
      <c r="K425">
        <f>IFERROR(__xludf.DUMMYFUNCTION("""COMPUTED_VALUE"""),0.11)</f>
        <v>0.11</v>
      </c>
      <c r="L425">
        <f>IFERROR(__xludf.DUMMYFUNCTION("""COMPUTED_VALUE"""),0.42)</f>
        <v>0.42</v>
      </c>
      <c r="M425">
        <f>IFERROR(__xludf.DUMMYFUNCTION("""COMPUTED_VALUE"""),4.84)</f>
        <v>4.84</v>
      </c>
      <c r="N425">
        <f>IFERROR(__xludf.DUMMYFUNCTION("""COMPUTED_VALUE"""),1.63)</f>
        <v>1.63</v>
      </c>
      <c r="O425">
        <f>IFERROR(__xludf.DUMMYFUNCTION("""COMPUTED_VALUE"""),0.37)</f>
        <v>0.37</v>
      </c>
    </row>
    <row r="426">
      <c r="A426" t="str">
        <f>IFERROR(__xludf.DUMMYFUNCTION("""COMPUTED_VALUE"""),"Naegelen")</f>
        <v>Naegelen</v>
      </c>
      <c r="B426" t="str">
        <f>IFERROR(__xludf.DUMMYFUNCTION("""COMPUTED_VALUE"""),"Christophe Naegelen")</f>
        <v>Christophe Naegelen</v>
      </c>
      <c r="C426">
        <f>IFERROR(__xludf.DUMMYFUNCTION("""COMPUTED_VALUE"""),3.79)</f>
        <v>3.79</v>
      </c>
      <c r="D426">
        <f>IFERROR(__xludf.DUMMYFUNCTION("""COMPUTED_VALUE"""),8.16)</f>
        <v>8.16</v>
      </c>
      <c r="E426">
        <f>IFERROR(__xludf.DUMMYFUNCTION("""COMPUTED_VALUE"""),8.05)</f>
        <v>8.05</v>
      </c>
      <c r="F426">
        <f>IFERROR(__xludf.DUMMYFUNCTION("""COMPUTED_VALUE"""),11.89)</f>
        <v>11.89</v>
      </c>
      <c r="G426">
        <f>IFERROR(__xludf.DUMMYFUNCTION("""COMPUTED_VALUE"""),2.11)</f>
        <v>2.11</v>
      </c>
      <c r="H426">
        <f>IFERROR(__xludf.DUMMYFUNCTION("""COMPUTED_VALUE"""),21.32)</f>
        <v>21.32</v>
      </c>
      <c r="I426">
        <f>IFERROR(__xludf.DUMMYFUNCTION("""COMPUTED_VALUE"""),223.42)</f>
        <v>223.42</v>
      </c>
      <c r="J426">
        <f>IFERROR(__xludf.DUMMYFUNCTION("""COMPUTED_VALUE"""),15.68)</f>
        <v>15.68</v>
      </c>
      <c r="K426">
        <f>IFERROR(__xludf.DUMMYFUNCTION("""COMPUTED_VALUE"""),0.16)</f>
        <v>0.16</v>
      </c>
      <c r="L426">
        <f>IFERROR(__xludf.DUMMYFUNCTION("""COMPUTED_VALUE"""),1.95)</f>
        <v>1.95</v>
      </c>
      <c r="M426">
        <f>IFERROR(__xludf.DUMMYFUNCTION("""COMPUTED_VALUE"""),4.47)</f>
        <v>4.47</v>
      </c>
      <c r="N426">
        <f>IFERROR(__xludf.DUMMYFUNCTION("""COMPUTED_VALUE"""),4.84)</f>
        <v>4.84</v>
      </c>
      <c r="O426">
        <f>IFERROR(__xludf.DUMMYFUNCTION("""COMPUTED_VALUE"""),0.58)</f>
        <v>0.58</v>
      </c>
    </row>
    <row r="427">
      <c r="A427" t="str">
        <f>IFERROR(__xludf.DUMMYFUNCTION("""COMPUTED_VALUE"""),"Naillet")</f>
        <v>Naillet</v>
      </c>
      <c r="B427" t="str">
        <f>IFERROR(__xludf.DUMMYFUNCTION("""COMPUTED_VALUE"""),"Philippe Naillet")</f>
        <v>Philippe Naillet</v>
      </c>
      <c r="C427">
        <f>IFERROR(__xludf.DUMMYFUNCTION("""COMPUTED_VALUE"""),2.89)</f>
        <v>2.89</v>
      </c>
      <c r="D427">
        <f>IFERROR(__xludf.DUMMYFUNCTION("""COMPUTED_VALUE"""),4.11)</f>
        <v>4.11</v>
      </c>
      <c r="E427">
        <f>IFERROR(__xludf.DUMMYFUNCTION("""COMPUTED_VALUE"""),5.84)</f>
        <v>5.84</v>
      </c>
      <c r="F427">
        <f>IFERROR(__xludf.DUMMYFUNCTION("""COMPUTED_VALUE"""),5.74)</f>
        <v>5.74</v>
      </c>
      <c r="G427">
        <f>IFERROR(__xludf.DUMMYFUNCTION("""COMPUTED_VALUE"""),0.21)</f>
        <v>0.21</v>
      </c>
      <c r="H427">
        <f>IFERROR(__xludf.DUMMYFUNCTION("""COMPUTED_VALUE"""),14.84)</f>
        <v>14.84</v>
      </c>
      <c r="I427">
        <f>IFERROR(__xludf.DUMMYFUNCTION("""COMPUTED_VALUE"""),475.32)</f>
        <v>475.32</v>
      </c>
      <c r="J427">
        <f>IFERROR(__xludf.DUMMYFUNCTION("""COMPUTED_VALUE"""),26.11)</f>
        <v>26.11</v>
      </c>
      <c r="K427">
        <f>IFERROR(__xludf.DUMMYFUNCTION("""COMPUTED_VALUE"""),0.05)</f>
        <v>0.05</v>
      </c>
      <c r="L427">
        <f>IFERROR(__xludf.DUMMYFUNCTION("""COMPUTED_VALUE"""),0.11)</f>
        <v>0.11</v>
      </c>
      <c r="M427">
        <f>IFERROR(__xludf.DUMMYFUNCTION("""COMPUTED_VALUE"""),3.47)</f>
        <v>3.47</v>
      </c>
      <c r="N427">
        <f>IFERROR(__xludf.DUMMYFUNCTION("""COMPUTED_VALUE"""),0.37)</f>
        <v>0.37</v>
      </c>
      <c r="O427">
        <f>IFERROR(__xludf.DUMMYFUNCTION("""COMPUTED_VALUE"""),0.26)</f>
        <v>0.26</v>
      </c>
    </row>
    <row r="428">
      <c r="A428" t="str">
        <f>IFERROR(__xludf.DUMMYFUNCTION("""COMPUTED_VALUE"""),"Neuder")</f>
        <v>Neuder</v>
      </c>
      <c r="B428" t="str">
        <f>IFERROR(__xludf.DUMMYFUNCTION("""COMPUTED_VALUE"""),"Yannick Neuder")</f>
        <v>Yannick Neuder</v>
      </c>
      <c r="C428">
        <f>IFERROR(__xludf.DUMMYFUNCTION("""COMPUTED_VALUE"""),3.84)</f>
        <v>3.84</v>
      </c>
      <c r="D428">
        <f>IFERROR(__xludf.DUMMYFUNCTION("""COMPUTED_VALUE"""),7.05)</f>
        <v>7.05</v>
      </c>
      <c r="E428">
        <f>IFERROR(__xludf.DUMMYFUNCTION("""COMPUTED_VALUE"""),19.0)</f>
        <v>19</v>
      </c>
      <c r="F428">
        <f>IFERROR(__xludf.DUMMYFUNCTION("""COMPUTED_VALUE"""),16.79)</f>
        <v>16.79</v>
      </c>
      <c r="G428">
        <f>IFERROR(__xludf.DUMMYFUNCTION("""COMPUTED_VALUE"""),4.42)</f>
        <v>4.42</v>
      </c>
      <c r="H428">
        <f>IFERROR(__xludf.DUMMYFUNCTION("""COMPUTED_VALUE"""),65.26)</f>
        <v>65.26</v>
      </c>
      <c r="I428">
        <f>IFERROR(__xludf.DUMMYFUNCTION("""COMPUTED_VALUE"""),452.21)</f>
        <v>452.21</v>
      </c>
      <c r="J428">
        <f>IFERROR(__xludf.DUMMYFUNCTION("""COMPUTED_VALUE"""),15.0)</f>
        <v>15</v>
      </c>
      <c r="K428">
        <f>IFERROR(__xludf.DUMMYFUNCTION("""COMPUTED_VALUE"""),0.05)</f>
        <v>0.05</v>
      </c>
      <c r="L428">
        <f>IFERROR(__xludf.DUMMYFUNCTION("""COMPUTED_VALUE"""),0.79)</f>
        <v>0.79</v>
      </c>
      <c r="M428">
        <f>IFERROR(__xludf.DUMMYFUNCTION("""COMPUTED_VALUE"""),10.95)</f>
        <v>10.95</v>
      </c>
      <c r="N428">
        <f>IFERROR(__xludf.DUMMYFUNCTION("""COMPUTED_VALUE"""),2.63)</f>
        <v>2.63</v>
      </c>
      <c r="O428">
        <f>IFERROR(__xludf.DUMMYFUNCTION("""COMPUTED_VALUE"""),0.42)</f>
        <v>0.42</v>
      </c>
    </row>
    <row r="429">
      <c r="A429" t="str">
        <f>IFERROR(__xludf.DUMMYFUNCTION("""COMPUTED_VALUE"""),"Nilor")</f>
        <v>Nilor</v>
      </c>
      <c r="B429" t="str">
        <f>IFERROR(__xludf.DUMMYFUNCTION("""COMPUTED_VALUE"""),"Jean-Philippe Nilor")</f>
        <v>Jean-Philippe Nilor</v>
      </c>
      <c r="C429">
        <f>IFERROR(__xludf.DUMMYFUNCTION("""COMPUTED_VALUE"""),2.26)</f>
        <v>2.26</v>
      </c>
      <c r="D429">
        <f>IFERROR(__xludf.DUMMYFUNCTION("""COMPUTED_VALUE"""),2.26)</f>
        <v>2.26</v>
      </c>
      <c r="E429">
        <f>IFERROR(__xludf.DUMMYFUNCTION("""COMPUTED_VALUE"""),5.0)</f>
        <v>5</v>
      </c>
      <c r="F429">
        <f>IFERROR(__xludf.DUMMYFUNCTION("""COMPUTED_VALUE"""),7.21)</f>
        <v>7.21</v>
      </c>
      <c r="G429">
        <f>IFERROR(__xludf.DUMMYFUNCTION("""COMPUTED_VALUE"""),2.0)</f>
        <v>2</v>
      </c>
      <c r="H429">
        <f>IFERROR(__xludf.DUMMYFUNCTION("""COMPUTED_VALUE"""),7.79)</f>
        <v>7.79</v>
      </c>
      <c r="I429">
        <f>IFERROR(__xludf.DUMMYFUNCTION("""COMPUTED_VALUE"""),892.16)</f>
        <v>892.16</v>
      </c>
      <c r="J429">
        <f>IFERROR(__xludf.DUMMYFUNCTION("""COMPUTED_VALUE"""),29.21)</f>
        <v>29.21</v>
      </c>
      <c r="K429">
        <f>IFERROR(__xludf.DUMMYFUNCTION("""COMPUTED_VALUE"""),0.05)</f>
        <v>0.05</v>
      </c>
      <c r="L429">
        <f>IFERROR(__xludf.DUMMYFUNCTION("""COMPUTED_VALUE"""),0.16)</f>
        <v>0.16</v>
      </c>
      <c r="M429">
        <f>IFERROR(__xludf.DUMMYFUNCTION("""COMPUTED_VALUE"""),6.89)</f>
        <v>6.89</v>
      </c>
      <c r="N429">
        <f>IFERROR(__xludf.DUMMYFUNCTION("""COMPUTED_VALUE"""),0.37)</f>
        <v>0.37</v>
      </c>
      <c r="O429">
        <f>IFERROR(__xludf.DUMMYFUNCTION("""COMPUTED_VALUE"""),0.16)</f>
        <v>0.16</v>
      </c>
    </row>
    <row r="430">
      <c r="A430" t="str">
        <f>IFERROR(__xludf.DUMMYFUNCTION("""COMPUTED_VALUE"""),"Nury")</f>
        <v>Nury</v>
      </c>
      <c r="B430" t="str">
        <f>IFERROR(__xludf.DUMMYFUNCTION("""COMPUTED_VALUE"""),"Jérôme Nury")</f>
        <v>Jérôme Nury</v>
      </c>
      <c r="C430">
        <f>IFERROR(__xludf.DUMMYFUNCTION("""COMPUTED_VALUE"""),3.42)</f>
        <v>3.42</v>
      </c>
      <c r="D430">
        <f>IFERROR(__xludf.DUMMYFUNCTION("""COMPUTED_VALUE"""),4.26)</f>
        <v>4.26</v>
      </c>
      <c r="E430">
        <f>IFERROR(__xludf.DUMMYFUNCTION("""COMPUTED_VALUE"""),7.84)</f>
        <v>7.84</v>
      </c>
      <c r="F430">
        <f>IFERROR(__xludf.DUMMYFUNCTION("""COMPUTED_VALUE"""),10.68)</f>
        <v>10.68</v>
      </c>
      <c r="G430">
        <f>IFERROR(__xludf.DUMMYFUNCTION("""COMPUTED_VALUE"""),8.37)</f>
        <v>8.37</v>
      </c>
      <c r="H430">
        <f>IFERROR(__xludf.DUMMYFUNCTION("""COMPUTED_VALUE"""),25.68)</f>
        <v>25.68</v>
      </c>
      <c r="I430">
        <f>IFERROR(__xludf.DUMMYFUNCTION("""COMPUTED_VALUE"""),213.42)</f>
        <v>213.42</v>
      </c>
      <c r="J430">
        <f>IFERROR(__xludf.DUMMYFUNCTION("""COMPUTED_VALUE"""),8.63)</f>
        <v>8.63</v>
      </c>
      <c r="K430">
        <f>IFERROR(__xludf.DUMMYFUNCTION("""COMPUTED_VALUE"""),0.16)</f>
        <v>0.16</v>
      </c>
      <c r="L430">
        <f>IFERROR(__xludf.DUMMYFUNCTION("""COMPUTED_VALUE"""),0.53)</f>
        <v>0.53</v>
      </c>
      <c r="M430">
        <f>IFERROR(__xludf.DUMMYFUNCTION("""COMPUTED_VALUE"""),3.95)</f>
        <v>3.95</v>
      </c>
      <c r="N430">
        <f>IFERROR(__xludf.DUMMYFUNCTION("""COMPUTED_VALUE"""),3.74)</f>
        <v>3.74</v>
      </c>
      <c r="O430">
        <f>IFERROR(__xludf.DUMMYFUNCTION("""COMPUTED_VALUE"""),0.21)</f>
        <v>0.21</v>
      </c>
    </row>
    <row r="431">
      <c r="A431" t="str">
        <f>IFERROR(__xludf.DUMMYFUNCTION("""COMPUTED_VALUE"""),"Obono")</f>
        <v>Obono</v>
      </c>
      <c r="B431" t="str">
        <f>IFERROR(__xludf.DUMMYFUNCTION("""COMPUTED_VALUE"""),"Danièle Obono")</f>
        <v>Danièle Obono</v>
      </c>
      <c r="C431">
        <f>IFERROR(__xludf.DUMMYFUNCTION("""COMPUTED_VALUE"""),3.84)</f>
        <v>3.84</v>
      </c>
      <c r="D431">
        <f>IFERROR(__xludf.DUMMYFUNCTION("""COMPUTED_VALUE"""),5.68)</f>
        <v>5.68</v>
      </c>
      <c r="E431">
        <f>IFERROR(__xludf.DUMMYFUNCTION("""COMPUTED_VALUE"""),5.21)</f>
        <v>5.21</v>
      </c>
      <c r="F431">
        <f>IFERROR(__xludf.DUMMYFUNCTION("""COMPUTED_VALUE"""),17.95)</f>
        <v>17.95</v>
      </c>
      <c r="G431">
        <f>IFERROR(__xludf.DUMMYFUNCTION("""COMPUTED_VALUE"""),34.05)</f>
        <v>34.05</v>
      </c>
      <c r="H431">
        <f>IFERROR(__xludf.DUMMYFUNCTION("""COMPUTED_VALUE"""),27.89)</f>
        <v>27.89</v>
      </c>
      <c r="I431">
        <f>IFERROR(__xludf.DUMMYFUNCTION("""COMPUTED_VALUE"""),901.89)</f>
        <v>901.89</v>
      </c>
      <c r="J431">
        <f>IFERROR(__xludf.DUMMYFUNCTION("""COMPUTED_VALUE"""),28.79)</f>
        <v>28.79</v>
      </c>
      <c r="K431">
        <f>IFERROR(__xludf.DUMMYFUNCTION("""COMPUTED_VALUE"""),0.05)</f>
        <v>0.05</v>
      </c>
      <c r="L431">
        <f>IFERROR(__xludf.DUMMYFUNCTION("""COMPUTED_VALUE"""),0.26)</f>
        <v>0.26</v>
      </c>
      <c r="M431">
        <f>IFERROR(__xludf.DUMMYFUNCTION("""COMPUTED_VALUE"""),7.47)</f>
        <v>7.47</v>
      </c>
      <c r="N431">
        <f>IFERROR(__xludf.DUMMYFUNCTION("""COMPUTED_VALUE"""),1.11)</f>
        <v>1.11</v>
      </c>
      <c r="O431">
        <f>IFERROR(__xludf.DUMMYFUNCTION("""COMPUTED_VALUE"""),0.26)</f>
        <v>0.26</v>
      </c>
    </row>
    <row r="432">
      <c r="A432" t="str">
        <f>IFERROR(__xludf.DUMMYFUNCTION("""COMPUTED_VALUE"""),"Odoul")</f>
        <v>Odoul</v>
      </c>
      <c r="B432" t="str">
        <f>IFERROR(__xludf.DUMMYFUNCTION("""COMPUTED_VALUE"""),"Julien Odoul")</f>
        <v>Julien Odoul</v>
      </c>
      <c r="C432">
        <f>IFERROR(__xludf.DUMMYFUNCTION("""COMPUTED_VALUE"""),4.0)</f>
        <v>4</v>
      </c>
      <c r="D432">
        <f>IFERROR(__xludf.DUMMYFUNCTION("""COMPUTED_VALUE"""),5.26)</f>
        <v>5.26</v>
      </c>
      <c r="E432">
        <f>IFERROR(__xludf.DUMMYFUNCTION("""COMPUTED_VALUE"""),5.42)</f>
        <v>5.42</v>
      </c>
      <c r="F432">
        <f>IFERROR(__xludf.DUMMYFUNCTION("""COMPUTED_VALUE"""),16.32)</f>
        <v>16.32</v>
      </c>
      <c r="G432">
        <f>IFERROR(__xludf.DUMMYFUNCTION("""COMPUTED_VALUE"""),18.05)</f>
        <v>18.05</v>
      </c>
      <c r="H432">
        <f>IFERROR(__xludf.DUMMYFUNCTION("""COMPUTED_VALUE"""),12.05)</f>
        <v>12.05</v>
      </c>
      <c r="I432">
        <f>IFERROR(__xludf.DUMMYFUNCTION("""COMPUTED_VALUE"""),448.37)</f>
        <v>448.37</v>
      </c>
      <c r="J432">
        <f>IFERROR(__xludf.DUMMYFUNCTION("""COMPUTED_VALUE"""),5.42)</f>
        <v>5.42</v>
      </c>
      <c r="K432">
        <f>IFERROR(__xludf.DUMMYFUNCTION("""COMPUTED_VALUE"""),0.0)</f>
        <v>0</v>
      </c>
      <c r="L432">
        <f>IFERROR(__xludf.DUMMYFUNCTION("""COMPUTED_VALUE"""),0.53)</f>
        <v>0.53</v>
      </c>
      <c r="M432">
        <f>IFERROR(__xludf.DUMMYFUNCTION("""COMPUTED_VALUE"""),6.0)</f>
        <v>6</v>
      </c>
      <c r="N432">
        <f>IFERROR(__xludf.DUMMYFUNCTION("""COMPUTED_VALUE"""),5.84)</f>
        <v>5.84</v>
      </c>
      <c r="O432">
        <f>IFERROR(__xludf.DUMMYFUNCTION("""COMPUTED_VALUE"""),0.26)</f>
        <v>0.26</v>
      </c>
    </row>
    <row r="433">
      <c r="A433" t="str">
        <f>IFERROR(__xludf.DUMMYFUNCTION("""COMPUTED_VALUE"""),"Olive")</f>
        <v>Olive</v>
      </c>
      <c r="B433" t="str">
        <f>IFERROR(__xludf.DUMMYFUNCTION("""COMPUTED_VALUE"""),"Karl Olive")</f>
        <v>Karl Olive</v>
      </c>
      <c r="C433">
        <f>IFERROR(__xludf.DUMMYFUNCTION("""COMPUTED_VALUE"""),3.53)</f>
        <v>3.53</v>
      </c>
      <c r="D433">
        <f>IFERROR(__xludf.DUMMYFUNCTION("""COMPUTED_VALUE"""),4.47)</f>
        <v>4.47</v>
      </c>
      <c r="E433">
        <f>IFERROR(__xludf.DUMMYFUNCTION("""COMPUTED_VALUE"""),2.63)</f>
        <v>2.63</v>
      </c>
      <c r="F433">
        <f>IFERROR(__xludf.DUMMYFUNCTION("""COMPUTED_VALUE"""),1.37)</f>
        <v>1.37</v>
      </c>
      <c r="G433">
        <f>IFERROR(__xludf.DUMMYFUNCTION("""COMPUTED_VALUE"""),1.21)</f>
        <v>1.21</v>
      </c>
      <c r="H433">
        <f>IFERROR(__xludf.DUMMYFUNCTION("""COMPUTED_VALUE"""),2.05)</f>
        <v>2.05</v>
      </c>
      <c r="I433">
        <f>IFERROR(__xludf.DUMMYFUNCTION("""COMPUTED_VALUE"""),67.68)</f>
        <v>67.68</v>
      </c>
      <c r="J433">
        <f>IFERROR(__xludf.DUMMYFUNCTION("""COMPUTED_VALUE"""),15.37)</f>
        <v>15.37</v>
      </c>
      <c r="K433">
        <f>IFERROR(__xludf.DUMMYFUNCTION("""COMPUTED_VALUE"""),0.0)</f>
        <v>0</v>
      </c>
      <c r="L433">
        <f>IFERROR(__xludf.DUMMYFUNCTION("""COMPUTED_VALUE"""),0.11)</f>
        <v>0.11</v>
      </c>
      <c r="M433">
        <f>IFERROR(__xludf.DUMMYFUNCTION("""COMPUTED_VALUE"""),3.11)</f>
        <v>3.11</v>
      </c>
      <c r="N433">
        <f>IFERROR(__xludf.DUMMYFUNCTION("""COMPUTED_VALUE"""),3.37)</f>
        <v>3.37</v>
      </c>
      <c r="O433">
        <f>IFERROR(__xludf.DUMMYFUNCTION("""COMPUTED_VALUE"""),0.11)</f>
        <v>0.11</v>
      </c>
    </row>
    <row r="434">
      <c r="A434" t="str">
        <f>IFERROR(__xludf.DUMMYFUNCTION("""COMPUTED_VALUE"""),"Ott")</f>
        <v>Ott</v>
      </c>
      <c r="B434" t="str">
        <f>IFERROR(__xludf.DUMMYFUNCTION("""COMPUTED_VALUE"""),"Hubert Ott")</f>
        <v>Hubert Ott</v>
      </c>
      <c r="C434">
        <f>IFERROR(__xludf.DUMMYFUNCTION("""COMPUTED_VALUE"""),3.21)</f>
        <v>3.21</v>
      </c>
      <c r="D434">
        <f>IFERROR(__xludf.DUMMYFUNCTION("""COMPUTED_VALUE"""),5.63)</f>
        <v>5.63</v>
      </c>
      <c r="E434">
        <f>IFERROR(__xludf.DUMMYFUNCTION("""COMPUTED_VALUE"""),3.84)</f>
        <v>3.84</v>
      </c>
      <c r="F434">
        <f>IFERROR(__xludf.DUMMYFUNCTION("""COMPUTED_VALUE"""),1.84)</f>
        <v>1.84</v>
      </c>
      <c r="G434">
        <f>IFERROR(__xludf.DUMMYFUNCTION("""COMPUTED_VALUE"""),0.21)</f>
        <v>0.21</v>
      </c>
      <c r="H434">
        <f>IFERROR(__xludf.DUMMYFUNCTION("""COMPUTED_VALUE"""),7.32)</f>
        <v>7.32</v>
      </c>
      <c r="I434">
        <f>IFERROR(__xludf.DUMMYFUNCTION("""COMPUTED_VALUE"""),92.58)</f>
        <v>92.58</v>
      </c>
      <c r="J434">
        <f>IFERROR(__xludf.DUMMYFUNCTION("""COMPUTED_VALUE"""),16.63)</f>
        <v>16.63</v>
      </c>
      <c r="K434">
        <f>IFERROR(__xludf.DUMMYFUNCTION("""COMPUTED_VALUE"""),0.05)</f>
        <v>0.05</v>
      </c>
      <c r="L434">
        <f>IFERROR(__xludf.DUMMYFUNCTION("""COMPUTED_VALUE"""),0.11)</f>
        <v>0.11</v>
      </c>
      <c r="M434">
        <f>IFERROR(__xludf.DUMMYFUNCTION("""COMPUTED_VALUE"""),2.58)</f>
        <v>2.58</v>
      </c>
      <c r="N434">
        <f>IFERROR(__xludf.DUMMYFUNCTION("""COMPUTED_VALUE"""),2.58)</f>
        <v>2.58</v>
      </c>
      <c r="O434">
        <f>IFERROR(__xludf.DUMMYFUNCTION("""COMPUTED_VALUE"""),0.21)</f>
        <v>0.21</v>
      </c>
    </row>
    <row r="435">
      <c r="A435" t="str">
        <f>IFERROR(__xludf.DUMMYFUNCTION("""COMPUTED_VALUE"""),"Oziol")</f>
        <v>Oziol</v>
      </c>
      <c r="B435" t="str">
        <f>IFERROR(__xludf.DUMMYFUNCTION("""COMPUTED_VALUE"""),"Nathalie Oziol")</f>
        <v>Nathalie Oziol</v>
      </c>
      <c r="C435">
        <f>IFERROR(__xludf.DUMMYFUNCTION("""COMPUTED_VALUE"""),3.74)</f>
        <v>3.74</v>
      </c>
      <c r="D435">
        <f>IFERROR(__xludf.DUMMYFUNCTION("""COMPUTED_VALUE"""),7.21)</f>
        <v>7.21</v>
      </c>
      <c r="E435">
        <f>IFERROR(__xludf.DUMMYFUNCTION("""COMPUTED_VALUE"""),4.26)</f>
        <v>4.26</v>
      </c>
      <c r="F435">
        <f>IFERROR(__xludf.DUMMYFUNCTION("""COMPUTED_VALUE"""),9.74)</f>
        <v>9.74</v>
      </c>
      <c r="G435">
        <f>IFERROR(__xludf.DUMMYFUNCTION("""COMPUTED_VALUE"""),20.84)</f>
        <v>20.84</v>
      </c>
      <c r="H435">
        <f>IFERROR(__xludf.DUMMYFUNCTION("""COMPUTED_VALUE"""),11.32)</f>
        <v>11.32</v>
      </c>
      <c r="I435">
        <f>IFERROR(__xludf.DUMMYFUNCTION("""COMPUTED_VALUE"""),889.21)</f>
        <v>889.21</v>
      </c>
      <c r="J435">
        <f>IFERROR(__xludf.DUMMYFUNCTION("""COMPUTED_VALUE"""),28.68)</f>
        <v>28.68</v>
      </c>
      <c r="K435">
        <f>IFERROR(__xludf.DUMMYFUNCTION("""COMPUTED_VALUE"""),0.05)</f>
        <v>0.05</v>
      </c>
      <c r="L435">
        <f>IFERROR(__xludf.DUMMYFUNCTION("""COMPUTED_VALUE"""),0.21)</f>
        <v>0.21</v>
      </c>
      <c r="M435">
        <f>IFERROR(__xludf.DUMMYFUNCTION("""COMPUTED_VALUE"""),7.0)</f>
        <v>7</v>
      </c>
      <c r="N435">
        <f>IFERROR(__xludf.DUMMYFUNCTION("""COMPUTED_VALUE"""),0.74)</f>
        <v>0.74</v>
      </c>
      <c r="O435">
        <f>IFERROR(__xludf.DUMMYFUNCTION("""COMPUTED_VALUE"""),0.26)</f>
        <v>0.26</v>
      </c>
    </row>
    <row r="436">
      <c r="A436" t="str">
        <f>IFERROR(__xludf.DUMMYFUNCTION("""COMPUTED_VALUE"""),"Pacquot")</f>
        <v>Pacquot</v>
      </c>
      <c r="B436" t="str">
        <f>IFERROR(__xludf.DUMMYFUNCTION("""COMPUTED_VALUE"""),"Nicolas Pacquot")</f>
        <v>Nicolas Pacquot</v>
      </c>
      <c r="C436">
        <f>IFERROR(__xludf.DUMMYFUNCTION("""COMPUTED_VALUE"""),3.26)</f>
        <v>3.26</v>
      </c>
      <c r="D436">
        <f>IFERROR(__xludf.DUMMYFUNCTION("""COMPUTED_VALUE"""),4.58)</f>
        <v>4.58</v>
      </c>
      <c r="E436">
        <f>IFERROR(__xludf.DUMMYFUNCTION("""COMPUTED_VALUE"""),0.95)</f>
        <v>0.95</v>
      </c>
      <c r="F436">
        <f>IFERROR(__xludf.DUMMYFUNCTION("""COMPUTED_VALUE"""),1.11)</f>
        <v>1.11</v>
      </c>
      <c r="G436">
        <f>IFERROR(__xludf.DUMMYFUNCTION("""COMPUTED_VALUE"""),0.16)</f>
        <v>0.16</v>
      </c>
      <c r="H436">
        <f>IFERROR(__xludf.DUMMYFUNCTION("""COMPUTED_VALUE"""),1.68)</f>
        <v>1.68</v>
      </c>
      <c r="I436">
        <f>IFERROR(__xludf.DUMMYFUNCTION("""COMPUTED_VALUE"""),72.53)</f>
        <v>72.53</v>
      </c>
      <c r="J436">
        <f>IFERROR(__xludf.DUMMYFUNCTION("""COMPUTED_VALUE"""),19.79)</f>
        <v>19.79</v>
      </c>
      <c r="K436">
        <f>IFERROR(__xludf.DUMMYFUNCTION("""COMPUTED_VALUE"""),0.0)</f>
        <v>0</v>
      </c>
      <c r="L436">
        <f>IFERROR(__xludf.DUMMYFUNCTION("""COMPUTED_VALUE"""),0.0)</f>
        <v>0</v>
      </c>
      <c r="M436">
        <f>IFERROR(__xludf.DUMMYFUNCTION("""COMPUTED_VALUE"""),2.89)</f>
        <v>2.89</v>
      </c>
      <c r="N436">
        <f>IFERROR(__xludf.DUMMYFUNCTION("""COMPUTED_VALUE"""),2.63)</f>
        <v>2.63</v>
      </c>
      <c r="O436">
        <f>IFERROR(__xludf.DUMMYFUNCTION("""COMPUTED_VALUE"""),0.16)</f>
        <v>0.16</v>
      </c>
    </row>
    <row r="437">
      <c r="A437" t="str">
        <f>IFERROR(__xludf.DUMMYFUNCTION("""COMPUTED_VALUE"""),"Pahun")</f>
        <v>Pahun</v>
      </c>
      <c r="B437" t="str">
        <f>IFERROR(__xludf.DUMMYFUNCTION("""COMPUTED_VALUE"""),"Jimmy Pahun")</f>
        <v>Jimmy Pahun</v>
      </c>
      <c r="C437">
        <f>IFERROR(__xludf.DUMMYFUNCTION("""COMPUTED_VALUE"""),3.79)</f>
        <v>3.79</v>
      </c>
      <c r="D437">
        <f>IFERROR(__xludf.DUMMYFUNCTION("""COMPUTED_VALUE"""),7.37)</f>
        <v>7.37</v>
      </c>
      <c r="E437">
        <f>IFERROR(__xludf.DUMMYFUNCTION("""COMPUTED_VALUE"""),5.74)</f>
        <v>5.74</v>
      </c>
      <c r="F437">
        <f>IFERROR(__xludf.DUMMYFUNCTION("""COMPUTED_VALUE"""),5.58)</f>
        <v>5.58</v>
      </c>
      <c r="G437">
        <f>IFERROR(__xludf.DUMMYFUNCTION("""COMPUTED_VALUE"""),4.26)</f>
        <v>4.26</v>
      </c>
      <c r="H437">
        <f>IFERROR(__xludf.DUMMYFUNCTION("""COMPUTED_VALUE"""),3.79)</f>
        <v>3.79</v>
      </c>
      <c r="I437">
        <f>IFERROR(__xludf.DUMMYFUNCTION("""COMPUTED_VALUE"""),62.53)</f>
        <v>62.53</v>
      </c>
      <c r="J437">
        <f>IFERROR(__xludf.DUMMYFUNCTION("""COMPUTED_VALUE"""),15.42)</f>
        <v>15.42</v>
      </c>
      <c r="K437">
        <f>IFERROR(__xludf.DUMMYFUNCTION("""COMPUTED_VALUE"""),0.11)</f>
        <v>0.11</v>
      </c>
      <c r="L437">
        <f>IFERROR(__xludf.DUMMYFUNCTION("""COMPUTED_VALUE"""),0.16)</f>
        <v>0.16</v>
      </c>
      <c r="M437">
        <f>IFERROR(__xludf.DUMMYFUNCTION("""COMPUTED_VALUE"""),1.11)</f>
        <v>1.11</v>
      </c>
      <c r="N437">
        <f>IFERROR(__xludf.DUMMYFUNCTION("""COMPUTED_VALUE"""),0.37)</f>
        <v>0.37</v>
      </c>
      <c r="O437">
        <f>IFERROR(__xludf.DUMMYFUNCTION("""COMPUTED_VALUE"""),0.11)</f>
        <v>0.11</v>
      </c>
    </row>
    <row r="438">
      <c r="A438" t="str">
        <f>IFERROR(__xludf.DUMMYFUNCTION("""COMPUTED_VALUE"""),"Pancher")</f>
        <v>Pancher</v>
      </c>
      <c r="B438" t="str">
        <f>IFERROR(__xludf.DUMMYFUNCTION("""COMPUTED_VALUE"""),"Bertrand Pancher")</f>
        <v>Bertrand Pancher</v>
      </c>
      <c r="C438">
        <f>IFERROR(__xludf.DUMMYFUNCTION("""COMPUTED_VALUE"""),3.84)</f>
        <v>3.84</v>
      </c>
      <c r="D438">
        <f>IFERROR(__xludf.DUMMYFUNCTION("""COMPUTED_VALUE"""),5.58)</f>
        <v>5.58</v>
      </c>
      <c r="E438">
        <f>IFERROR(__xludf.DUMMYFUNCTION("""COMPUTED_VALUE"""),1.11)</f>
        <v>1.11</v>
      </c>
      <c r="F438">
        <f>IFERROR(__xludf.DUMMYFUNCTION("""COMPUTED_VALUE"""),10.37)</f>
        <v>10.37</v>
      </c>
      <c r="G438">
        <f>IFERROR(__xludf.DUMMYFUNCTION("""COMPUTED_VALUE"""),3.26)</f>
        <v>3.26</v>
      </c>
      <c r="H438">
        <f>IFERROR(__xludf.DUMMYFUNCTION("""COMPUTED_VALUE"""),15.84)</f>
        <v>15.84</v>
      </c>
      <c r="I438">
        <f>IFERROR(__xludf.DUMMYFUNCTION("""COMPUTED_VALUE"""),204.42)</f>
        <v>204.42</v>
      </c>
      <c r="J438">
        <f>IFERROR(__xludf.DUMMYFUNCTION("""COMPUTED_VALUE"""),14.26)</f>
        <v>14.26</v>
      </c>
      <c r="K438">
        <f>IFERROR(__xludf.DUMMYFUNCTION("""COMPUTED_VALUE"""),0.0)</f>
        <v>0</v>
      </c>
      <c r="L438">
        <f>IFERROR(__xludf.DUMMYFUNCTION("""COMPUTED_VALUE"""),0.42)</f>
        <v>0.42</v>
      </c>
      <c r="M438">
        <f>IFERROR(__xludf.DUMMYFUNCTION("""COMPUTED_VALUE"""),2.79)</f>
        <v>2.79</v>
      </c>
      <c r="N438">
        <f>IFERROR(__xludf.DUMMYFUNCTION("""COMPUTED_VALUE"""),0.58)</f>
        <v>0.58</v>
      </c>
      <c r="O438">
        <f>IFERROR(__xludf.DUMMYFUNCTION("""COMPUTED_VALUE"""),0.58)</f>
        <v>0.58</v>
      </c>
    </row>
    <row r="439">
      <c r="A439" t="str">
        <f>IFERROR(__xludf.DUMMYFUNCTION("""COMPUTED_VALUE"""),"Panifous")</f>
        <v>Panifous</v>
      </c>
      <c r="B439" t="str">
        <f>IFERROR(__xludf.DUMMYFUNCTION("""COMPUTED_VALUE"""),"Laurent Panifous")</f>
        <v>Laurent Panifous</v>
      </c>
      <c r="C439">
        <f>IFERROR(__xludf.DUMMYFUNCTION("""COMPUTED_VALUE"""),3.74)</f>
        <v>3.74</v>
      </c>
      <c r="D439">
        <f>IFERROR(__xludf.DUMMYFUNCTION("""COMPUTED_VALUE"""),5.68)</f>
        <v>5.68</v>
      </c>
      <c r="E439">
        <f>IFERROR(__xludf.DUMMYFUNCTION("""COMPUTED_VALUE"""),5.79)</f>
        <v>5.79</v>
      </c>
      <c r="F439">
        <f>IFERROR(__xludf.DUMMYFUNCTION("""COMPUTED_VALUE"""),7.74)</f>
        <v>7.74</v>
      </c>
      <c r="G439">
        <f>IFERROR(__xludf.DUMMYFUNCTION("""COMPUTED_VALUE"""),0.47)</f>
        <v>0.47</v>
      </c>
      <c r="H439">
        <f>IFERROR(__xludf.DUMMYFUNCTION("""COMPUTED_VALUE"""),14.95)</f>
        <v>14.95</v>
      </c>
      <c r="I439">
        <f>IFERROR(__xludf.DUMMYFUNCTION("""COMPUTED_VALUE"""),218.05)</f>
        <v>218.05</v>
      </c>
      <c r="J439">
        <f>IFERROR(__xludf.DUMMYFUNCTION("""COMPUTED_VALUE"""),14.68)</f>
        <v>14.68</v>
      </c>
      <c r="K439">
        <f>IFERROR(__xludf.DUMMYFUNCTION("""COMPUTED_VALUE"""),0.05)</f>
        <v>0.05</v>
      </c>
      <c r="L439">
        <f>IFERROR(__xludf.DUMMYFUNCTION("""COMPUTED_VALUE"""),0.32)</f>
        <v>0.32</v>
      </c>
      <c r="M439">
        <f>IFERROR(__xludf.DUMMYFUNCTION("""COMPUTED_VALUE"""),1.47)</f>
        <v>1.47</v>
      </c>
      <c r="N439">
        <f>IFERROR(__xludf.DUMMYFUNCTION("""COMPUTED_VALUE"""),1.58)</f>
        <v>1.58</v>
      </c>
      <c r="O439">
        <f>IFERROR(__xludf.DUMMYFUNCTION("""COMPUTED_VALUE"""),0.63)</f>
        <v>0.63</v>
      </c>
    </row>
    <row r="440">
      <c r="A440" t="str">
        <f>IFERROR(__xludf.DUMMYFUNCTION("""COMPUTED_VALUE"""),"Panonacle")</f>
        <v>Panonacle</v>
      </c>
      <c r="B440" t="str">
        <f>IFERROR(__xludf.DUMMYFUNCTION("""COMPUTED_VALUE"""),"Sophie Panonacle")</f>
        <v>Sophie Panonacle</v>
      </c>
      <c r="C440">
        <f>IFERROR(__xludf.DUMMYFUNCTION("""COMPUTED_VALUE"""),3.58)</f>
        <v>3.58</v>
      </c>
      <c r="D440">
        <f>IFERROR(__xludf.DUMMYFUNCTION("""COMPUTED_VALUE"""),5.63)</f>
        <v>5.63</v>
      </c>
      <c r="E440">
        <f>IFERROR(__xludf.DUMMYFUNCTION("""COMPUTED_VALUE"""),8.26)</f>
        <v>8.26</v>
      </c>
      <c r="F440">
        <f>IFERROR(__xludf.DUMMYFUNCTION("""COMPUTED_VALUE"""),3.26)</f>
        <v>3.26</v>
      </c>
      <c r="G440">
        <f>IFERROR(__xludf.DUMMYFUNCTION("""COMPUTED_VALUE"""),1.21)</f>
        <v>1.21</v>
      </c>
      <c r="H440">
        <f>IFERROR(__xludf.DUMMYFUNCTION("""COMPUTED_VALUE"""),5.26)</f>
        <v>5.26</v>
      </c>
      <c r="I440">
        <f>IFERROR(__xludf.DUMMYFUNCTION("""COMPUTED_VALUE"""),66.42)</f>
        <v>66.42</v>
      </c>
      <c r="J440">
        <f>IFERROR(__xludf.DUMMYFUNCTION("""COMPUTED_VALUE"""),19.79)</f>
        <v>19.79</v>
      </c>
      <c r="K440">
        <f>IFERROR(__xludf.DUMMYFUNCTION("""COMPUTED_VALUE"""),0.21)</f>
        <v>0.21</v>
      </c>
      <c r="L440">
        <f>IFERROR(__xludf.DUMMYFUNCTION("""COMPUTED_VALUE"""),0.11)</f>
        <v>0.11</v>
      </c>
      <c r="M440">
        <f>IFERROR(__xludf.DUMMYFUNCTION("""COMPUTED_VALUE"""),2.32)</f>
        <v>2.32</v>
      </c>
      <c r="N440">
        <f>IFERROR(__xludf.DUMMYFUNCTION("""COMPUTED_VALUE"""),1.37)</f>
        <v>1.37</v>
      </c>
      <c r="O440">
        <f>IFERROR(__xludf.DUMMYFUNCTION("""COMPUTED_VALUE"""),0.11)</f>
        <v>0.11</v>
      </c>
    </row>
    <row r="441">
      <c r="A441" t="str">
        <f>IFERROR(__xludf.DUMMYFUNCTION("""COMPUTED_VALUE"""),"Panosyan-Bouvet")</f>
        <v>Panosyan-Bouvet</v>
      </c>
      <c r="B441" t="str">
        <f>IFERROR(__xludf.DUMMYFUNCTION("""COMPUTED_VALUE"""),"Astrid Panosyan-Bouvet")</f>
        <v>Astrid Panosyan-Bouvet</v>
      </c>
      <c r="C441">
        <f>IFERROR(__xludf.DUMMYFUNCTION("""COMPUTED_VALUE"""),3.84)</f>
        <v>3.84</v>
      </c>
      <c r="D441">
        <f>IFERROR(__xludf.DUMMYFUNCTION("""COMPUTED_VALUE"""),6.05)</f>
        <v>6.05</v>
      </c>
      <c r="E441">
        <f>IFERROR(__xludf.DUMMYFUNCTION("""COMPUTED_VALUE"""),3.47)</f>
        <v>3.47</v>
      </c>
      <c r="F441">
        <f>IFERROR(__xludf.DUMMYFUNCTION("""COMPUTED_VALUE"""),4.84)</f>
        <v>4.84</v>
      </c>
      <c r="G441">
        <f>IFERROR(__xludf.DUMMYFUNCTION("""COMPUTED_VALUE"""),2.79)</f>
        <v>2.79</v>
      </c>
      <c r="H441">
        <f>IFERROR(__xludf.DUMMYFUNCTION("""COMPUTED_VALUE"""),3.53)</f>
        <v>3.53</v>
      </c>
      <c r="I441">
        <f>IFERROR(__xludf.DUMMYFUNCTION("""COMPUTED_VALUE"""),60.74)</f>
        <v>60.74</v>
      </c>
      <c r="J441">
        <f>IFERROR(__xludf.DUMMYFUNCTION("""COMPUTED_VALUE"""),17.0)</f>
        <v>17</v>
      </c>
      <c r="K441">
        <f>IFERROR(__xludf.DUMMYFUNCTION("""COMPUTED_VALUE"""),0.0)</f>
        <v>0</v>
      </c>
      <c r="L441">
        <f>IFERROR(__xludf.DUMMYFUNCTION("""COMPUTED_VALUE"""),0.16)</f>
        <v>0.16</v>
      </c>
      <c r="M441">
        <f>IFERROR(__xludf.DUMMYFUNCTION("""COMPUTED_VALUE"""),2.21)</f>
        <v>2.21</v>
      </c>
      <c r="N441">
        <f>IFERROR(__xludf.DUMMYFUNCTION("""COMPUTED_VALUE"""),0.0)</f>
        <v>0</v>
      </c>
      <c r="O441">
        <f>IFERROR(__xludf.DUMMYFUNCTION("""COMPUTED_VALUE"""),0.11)</f>
        <v>0.11</v>
      </c>
    </row>
    <row r="442">
      <c r="A442" t="str">
        <f>IFERROR(__xludf.DUMMYFUNCTION("""COMPUTED_VALUE"""),"Panot")</f>
        <v>Panot</v>
      </c>
      <c r="B442" t="str">
        <f>IFERROR(__xludf.DUMMYFUNCTION("""COMPUTED_VALUE"""),"Mathilde Panot")</f>
        <v>Mathilde Panot</v>
      </c>
      <c r="C442">
        <f>IFERROR(__xludf.DUMMYFUNCTION("""COMPUTED_VALUE"""),3.89)</f>
        <v>3.89</v>
      </c>
      <c r="D442">
        <f>IFERROR(__xludf.DUMMYFUNCTION("""COMPUTED_VALUE"""),4.47)</f>
        <v>4.47</v>
      </c>
      <c r="E442">
        <f>IFERROR(__xludf.DUMMYFUNCTION("""COMPUTED_VALUE"""),3.58)</f>
        <v>3.58</v>
      </c>
      <c r="F442">
        <f>IFERROR(__xludf.DUMMYFUNCTION("""COMPUTED_VALUE"""),44.26)</f>
        <v>44.26</v>
      </c>
      <c r="G442">
        <f>IFERROR(__xludf.DUMMYFUNCTION("""COMPUTED_VALUE"""),36.89)</f>
        <v>36.89</v>
      </c>
      <c r="H442">
        <f>IFERROR(__xludf.DUMMYFUNCTION("""COMPUTED_VALUE"""),67.37)</f>
        <v>67.37</v>
      </c>
      <c r="I442">
        <f>IFERROR(__xludf.DUMMYFUNCTION("""COMPUTED_VALUE"""),883.74)</f>
        <v>883.74</v>
      </c>
      <c r="J442">
        <f>IFERROR(__xludf.DUMMYFUNCTION("""COMPUTED_VALUE"""),28.68)</f>
        <v>28.68</v>
      </c>
      <c r="K442">
        <f>IFERROR(__xludf.DUMMYFUNCTION("""COMPUTED_VALUE"""),0.11)</f>
        <v>0.11</v>
      </c>
      <c r="L442">
        <f>IFERROR(__xludf.DUMMYFUNCTION("""COMPUTED_VALUE"""),1.11)</f>
        <v>1.11</v>
      </c>
      <c r="M442">
        <f>IFERROR(__xludf.DUMMYFUNCTION("""COMPUTED_VALUE"""),8.32)</f>
        <v>8.32</v>
      </c>
      <c r="N442">
        <f>IFERROR(__xludf.DUMMYFUNCTION("""COMPUTED_VALUE"""),0.74)</f>
        <v>0.74</v>
      </c>
      <c r="O442">
        <f>IFERROR(__xludf.DUMMYFUNCTION("""COMPUTED_VALUE"""),0.74)</f>
        <v>0.74</v>
      </c>
    </row>
    <row r="443">
      <c r="A443" t="str">
        <f>IFERROR(__xludf.DUMMYFUNCTION("""COMPUTED_VALUE"""),"Parakian")</f>
        <v>Parakian</v>
      </c>
      <c r="B443" t="str">
        <f>IFERROR(__xludf.DUMMYFUNCTION("""COMPUTED_VALUE"""),"Didier Parakian")</f>
        <v>Didier Parakian</v>
      </c>
      <c r="C443">
        <f>IFERROR(__xludf.DUMMYFUNCTION("""COMPUTED_VALUE"""),2.89)</f>
        <v>2.89</v>
      </c>
      <c r="D443">
        <f>IFERROR(__xludf.DUMMYFUNCTION("""COMPUTED_VALUE"""),4.89)</f>
        <v>4.89</v>
      </c>
      <c r="E443">
        <f>IFERROR(__xludf.DUMMYFUNCTION("""COMPUTED_VALUE"""),1.33)</f>
        <v>1.33</v>
      </c>
      <c r="F443">
        <f>IFERROR(__xludf.DUMMYFUNCTION("""COMPUTED_VALUE"""),0.56)</f>
        <v>0.56</v>
      </c>
      <c r="G443">
        <f>IFERROR(__xludf.DUMMYFUNCTION("""COMPUTED_VALUE"""),0.44)</f>
        <v>0.44</v>
      </c>
      <c r="H443">
        <f>IFERROR(__xludf.DUMMYFUNCTION("""COMPUTED_VALUE"""),0.89)</f>
        <v>0.89</v>
      </c>
      <c r="I443">
        <f>IFERROR(__xludf.DUMMYFUNCTION("""COMPUTED_VALUE"""),56.56)</f>
        <v>56.56</v>
      </c>
      <c r="J443">
        <f>IFERROR(__xludf.DUMMYFUNCTION("""COMPUTED_VALUE"""),11.56)</f>
        <v>11.56</v>
      </c>
      <c r="K443">
        <f>IFERROR(__xludf.DUMMYFUNCTION("""COMPUTED_VALUE"""),0.0)</f>
        <v>0</v>
      </c>
      <c r="L443">
        <f>IFERROR(__xludf.DUMMYFUNCTION("""COMPUTED_VALUE"""),0.11)</f>
        <v>0.11</v>
      </c>
      <c r="M443">
        <f>IFERROR(__xludf.DUMMYFUNCTION("""COMPUTED_VALUE"""),1.33)</f>
        <v>1.33</v>
      </c>
      <c r="N443">
        <f>IFERROR(__xludf.DUMMYFUNCTION("""COMPUTED_VALUE"""),0.67)</f>
        <v>0.67</v>
      </c>
      <c r="O443">
        <f>IFERROR(__xludf.DUMMYFUNCTION("""COMPUTED_VALUE"""),0.11)</f>
        <v>0.11</v>
      </c>
    </row>
    <row r="444">
      <c r="A444" t="str">
        <f>IFERROR(__xludf.DUMMYFUNCTION("""COMPUTED_VALUE"""),"Paris")</f>
        <v>Paris</v>
      </c>
      <c r="B444" t="str">
        <f>IFERROR(__xludf.DUMMYFUNCTION("""COMPUTED_VALUE"""),"Mathilde Paris")</f>
        <v>Mathilde Paris</v>
      </c>
      <c r="C444">
        <f>IFERROR(__xludf.DUMMYFUNCTION("""COMPUTED_VALUE"""),3.32)</f>
        <v>3.32</v>
      </c>
      <c r="D444">
        <f>IFERROR(__xludf.DUMMYFUNCTION("""COMPUTED_VALUE"""),5.26)</f>
        <v>5.26</v>
      </c>
      <c r="E444">
        <f>IFERROR(__xludf.DUMMYFUNCTION("""COMPUTED_VALUE"""),5.0)</f>
        <v>5</v>
      </c>
      <c r="F444">
        <f>IFERROR(__xludf.DUMMYFUNCTION("""COMPUTED_VALUE"""),6.32)</f>
        <v>6.32</v>
      </c>
      <c r="G444">
        <f>IFERROR(__xludf.DUMMYFUNCTION("""COMPUTED_VALUE"""),1.21)</f>
        <v>1.21</v>
      </c>
      <c r="H444">
        <f>IFERROR(__xludf.DUMMYFUNCTION("""COMPUTED_VALUE"""),16.95)</f>
        <v>16.95</v>
      </c>
      <c r="I444">
        <f>IFERROR(__xludf.DUMMYFUNCTION("""COMPUTED_VALUE"""),481.05)</f>
        <v>481.05</v>
      </c>
      <c r="J444">
        <f>IFERROR(__xludf.DUMMYFUNCTION("""COMPUTED_VALUE"""),5.68)</f>
        <v>5.68</v>
      </c>
      <c r="K444">
        <f>IFERROR(__xludf.DUMMYFUNCTION("""COMPUTED_VALUE"""),0.0)</f>
        <v>0</v>
      </c>
      <c r="L444">
        <f>IFERROR(__xludf.DUMMYFUNCTION("""COMPUTED_VALUE"""),0.11)</f>
        <v>0.11</v>
      </c>
      <c r="M444">
        <f>IFERROR(__xludf.DUMMYFUNCTION("""COMPUTED_VALUE"""),5.42)</f>
        <v>5.42</v>
      </c>
      <c r="N444">
        <f>IFERROR(__xludf.DUMMYFUNCTION("""COMPUTED_VALUE"""),3.21)</f>
        <v>3.21</v>
      </c>
      <c r="O444">
        <f>IFERROR(__xludf.DUMMYFUNCTION("""COMPUTED_VALUE"""),0.26)</f>
        <v>0.26</v>
      </c>
    </row>
    <row r="445">
      <c r="A445" t="str">
        <f>IFERROR(__xludf.DUMMYFUNCTION("""COMPUTED_VALUE"""),"Paris")</f>
        <v>Paris</v>
      </c>
      <c r="B445" t="str">
        <f>IFERROR(__xludf.DUMMYFUNCTION("""COMPUTED_VALUE"""),"Didier Paris")</f>
        <v>Didier Paris</v>
      </c>
      <c r="C445">
        <f>IFERROR(__xludf.DUMMYFUNCTION("""COMPUTED_VALUE"""),3.58)</f>
        <v>3.58</v>
      </c>
      <c r="D445">
        <f>IFERROR(__xludf.DUMMYFUNCTION("""COMPUTED_VALUE"""),5.21)</f>
        <v>5.21</v>
      </c>
      <c r="E445">
        <f>IFERROR(__xludf.DUMMYFUNCTION("""COMPUTED_VALUE"""),5.79)</f>
        <v>5.79</v>
      </c>
      <c r="F445">
        <f>IFERROR(__xludf.DUMMYFUNCTION("""COMPUTED_VALUE"""),4.95)</f>
        <v>4.95</v>
      </c>
      <c r="G445">
        <f>IFERROR(__xludf.DUMMYFUNCTION("""COMPUTED_VALUE"""),1.47)</f>
        <v>1.47</v>
      </c>
      <c r="H445">
        <f>IFERROR(__xludf.DUMMYFUNCTION("""COMPUTED_VALUE"""),7.58)</f>
        <v>7.58</v>
      </c>
      <c r="I445">
        <f>IFERROR(__xludf.DUMMYFUNCTION("""COMPUTED_VALUE"""),59.11)</f>
        <v>59.11</v>
      </c>
      <c r="J445">
        <f>IFERROR(__xludf.DUMMYFUNCTION("""COMPUTED_VALUE"""),23.26)</f>
        <v>23.26</v>
      </c>
      <c r="K445">
        <f>IFERROR(__xludf.DUMMYFUNCTION("""COMPUTED_VALUE"""),0.11)</f>
        <v>0.11</v>
      </c>
      <c r="L445">
        <f>IFERROR(__xludf.DUMMYFUNCTION("""COMPUTED_VALUE"""),0.0)</f>
        <v>0</v>
      </c>
      <c r="M445">
        <f>IFERROR(__xludf.DUMMYFUNCTION("""COMPUTED_VALUE"""),2.05)</f>
        <v>2.05</v>
      </c>
      <c r="N445">
        <f>IFERROR(__xludf.DUMMYFUNCTION("""COMPUTED_VALUE"""),0.0)</f>
        <v>0</v>
      </c>
      <c r="O445">
        <f>IFERROR(__xludf.DUMMYFUNCTION("""COMPUTED_VALUE"""),0.05)</f>
        <v>0.05</v>
      </c>
    </row>
    <row r="446">
      <c r="A446" t="str">
        <f>IFERROR(__xludf.DUMMYFUNCTION("""COMPUTED_VALUE"""),"Parmentier")</f>
        <v>Parmentier</v>
      </c>
      <c r="B446" t="str">
        <f>IFERROR(__xludf.DUMMYFUNCTION("""COMPUTED_VALUE"""),"Caroline Parmentier")</f>
        <v>Caroline Parmentier</v>
      </c>
      <c r="C446">
        <f>IFERROR(__xludf.DUMMYFUNCTION("""COMPUTED_VALUE"""),3.58)</f>
        <v>3.58</v>
      </c>
      <c r="D446">
        <f>IFERROR(__xludf.DUMMYFUNCTION("""COMPUTED_VALUE"""),4.42)</f>
        <v>4.42</v>
      </c>
      <c r="E446">
        <f>IFERROR(__xludf.DUMMYFUNCTION("""COMPUTED_VALUE"""),4.63)</f>
        <v>4.63</v>
      </c>
      <c r="F446">
        <f>IFERROR(__xludf.DUMMYFUNCTION("""COMPUTED_VALUE"""),6.58)</f>
        <v>6.58</v>
      </c>
      <c r="G446">
        <f>IFERROR(__xludf.DUMMYFUNCTION("""COMPUTED_VALUE"""),23.0)</f>
        <v>23</v>
      </c>
      <c r="H446">
        <f>IFERROR(__xludf.DUMMYFUNCTION("""COMPUTED_VALUE"""),14.84)</f>
        <v>14.84</v>
      </c>
      <c r="I446">
        <f>IFERROR(__xludf.DUMMYFUNCTION("""COMPUTED_VALUE"""),442.0)</f>
        <v>442</v>
      </c>
      <c r="J446">
        <f>IFERROR(__xludf.DUMMYFUNCTION("""COMPUTED_VALUE"""),5.58)</f>
        <v>5.58</v>
      </c>
      <c r="K446">
        <f>IFERROR(__xludf.DUMMYFUNCTION("""COMPUTED_VALUE"""),0.0)</f>
        <v>0</v>
      </c>
      <c r="L446">
        <f>IFERROR(__xludf.DUMMYFUNCTION("""COMPUTED_VALUE"""),0.42)</f>
        <v>0.42</v>
      </c>
      <c r="M446">
        <f>IFERROR(__xludf.DUMMYFUNCTION("""COMPUTED_VALUE"""),5.42)</f>
        <v>5.42</v>
      </c>
      <c r="N446">
        <f>IFERROR(__xludf.DUMMYFUNCTION("""COMPUTED_VALUE"""),1.58)</f>
        <v>1.58</v>
      </c>
      <c r="O446">
        <f>IFERROR(__xludf.DUMMYFUNCTION("""COMPUTED_VALUE"""),0.32)</f>
        <v>0.32</v>
      </c>
    </row>
    <row r="447">
      <c r="A447" t="str">
        <f>IFERROR(__xludf.DUMMYFUNCTION("""COMPUTED_VALUE"""),"Parmentier-Lecocq")</f>
        <v>Parmentier-Lecocq</v>
      </c>
      <c r="B447" t="str">
        <f>IFERROR(__xludf.DUMMYFUNCTION("""COMPUTED_VALUE"""),"Charlotte Parmentier-Lecocq")</f>
        <v>Charlotte Parmentier-Lecocq</v>
      </c>
      <c r="C447">
        <f>IFERROR(__xludf.DUMMYFUNCTION("""COMPUTED_VALUE"""),3.95)</f>
        <v>3.95</v>
      </c>
      <c r="D447">
        <f>IFERROR(__xludf.DUMMYFUNCTION("""COMPUTED_VALUE"""),7.89)</f>
        <v>7.89</v>
      </c>
      <c r="E447">
        <f>IFERROR(__xludf.DUMMYFUNCTION("""COMPUTED_VALUE"""),16.37)</f>
        <v>16.37</v>
      </c>
      <c r="F447">
        <f>IFERROR(__xludf.DUMMYFUNCTION("""COMPUTED_VALUE"""),10.74)</f>
        <v>10.74</v>
      </c>
      <c r="G447">
        <f>IFERROR(__xludf.DUMMYFUNCTION("""COMPUTED_VALUE"""),12.95)</f>
        <v>12.95</v>
      </c>
      <c r="H447">
        <f>IFERROR(__xludf.DUMMYFUNCTION("""COMPUTED_VALUE"""),4.63)</f>
        <v>4.63</v>
      </c>
      <c r="I447">
        <f>IFERROR(__xludf.DUMMYFUNCTION("""COMPUTED_VALUE"""),55.37)</f>
        <v>55.37</v>
      </c>
      <c r="J447">
        <f>IFERROR(__xludf.DUMMYFUNCTION("""COMPUTED_VALUE"""),18.16)</f>
        <v>18.16</v>
      </c>
      <c r="K447">
        <f>IFERROR(__xludf.DUMMYFUNCTION("""COMPUTED_VALUE"""),0.16)</f>
        <v>0.16</v>
      </c>
      <c r="L447">
        <f>IFERROR(__xludf.DUMMYFUNCTION("""COMPUTED_VALUE"""),0.0)</f>
        <v>0</v>
      </c>
      <c r="M447">
        <f>IFERROR(__xludf.DUMMYFUNCTION("""COMPUTED_VALUE"""),2.05)</f>
        <v>2.05</v>
      </c>
      <c r="N447">
        <f>IFERROR(__xludf.DUMMYFUNCTION("""COMPUTED_VALUE"""),0.32)</f>
        <v>0.32</v>
      </c>
      <c r="O447">
        <f>IFERROR(__xludf.DUMMYFUNCTION("""COMPUTED_VALUE"""),0.21)</f>
        <v>0.21</v>
      </c>
    </row>
    <row r="448">
      <c r="A448" t="str">
        <f>IFERROR(__xludf.DUMMYFUNCTION("""COMPUTED_VALUE"""),"Pasquini")</f>
        <v>Pasquini</v>
      </c>
      <c r="B448" t="str">
        <f>IFERROR(__xludf.DUMMYFUNCTION("""COMPUTED_VALUE"""),"Francesca Pasquini")</f>
        <v>Francesca Pasquini</v>
      </c>
      <c r="C448">
        <f>IFERROR(__xludf.DUMMYFUNCTION("""COMPUTED_VALUE"""),3.63)</f>
        <v>3.63</v>
      </c>
      <c r="D448">
        <f>IFERROR(__xludf.DUMMYFUNCTION("""COMPUTED_VALUE"""),5.16)</f>
        <v>5.16</v>
      </c>
      <c r="E448">
        <f>IFERROR(__xludf.DUMMYFUNCTION("""COMPUTED_VALUE"""),16.68)</f>
        <v>16.68</v>
      </c>
      <c r="F448">
        <f>IFERROR(__xludf.DUMMYFUNCTION("""COMPUTED_VALUE"""),6.74)</f>
        <v>6.74</v>
      </c>
      <c r="G448">
        <f>IFERROR(__xludf.DUMMYFUNCTION("""COMPUTED_VALUE"""),1.84)</f>
        <v>1.84</v>
      </c>
      <c r="H448">
        <f>IFERROR(__xludf.DUMMYFUNCTION("""COMPUTED_VALUE"""),15.68)</f>
        <v>15.68</v>
      </c>
      <c r="I448">
        <f>IFERROR(__xludf.DUMMYFUNCTION("""COMPUTED_VALUE"""),514.89)</f>
        <v>514.89</v>
      </c>
      <c r="J448">
        <f>IFERROR(__xludf.DUMMYFUNCTION("""COMPUTED_VALUE"""),19.21)</f>
        <v>19.21</v>
      </c>
      <c r="K448">
        <f>IFERROR(__xludf.DUMMYFUNCTION("""COMPUTED_VALUE"""),0.32)</f>
        <v>0.32</v>
      </c>
      <c r="L448">
        <f>IFERROR(__xludf.DUMMYFUNCTION("""COMPUTED_VALUE"""),0.47)</f>
        <v>0.47</v>
      </c>
      <c r="M448">
        <f>IFERROR(__xludf.DUMMYFUNCTION("""COMPUTED_VALUE"""),4.42)</f>
        <v>4.42</v>
      </c>
      <c r="N448">
        <f>IFERROR(__xludf.DUMMYFUNCTION("""COMPUTED_VALUE"""),0.58)</f>
        <v>0.58</v>
      </c>
      <c r="O448">
        <f>IFERROR(__xludf.DUMMYFUNCTION("""COMPUTED_VALUE"""),0.32)</f>
        <v>0.32</v>
      </c>
    </row>
    <row r="449">
      <c r="A449" t="str">
        <f>IFERROR(__xludf.DUMMYFUNCTION("""COMPUTED_VALUE"""),"Patrier-Leitus")</f>
        <v>Patrier-Leitus</v>
      </c>
      <c r="B449" t="str">
        <f>IFERROR(__xludf.DUMMYFUNCTION("""COMPUTED_VALUE"""),"Jérémie Patrier-Leitus")</f>
        <v>Jérémie Patrier-Leitus</v>
      </c>
      <c r="C449">
        <f>IFERROR(__xludf.DUMMYFUNCTION("""COMPUTED_VALUE"""),3.74)</f>
        <v>3.74</v>
      </c>
      <c r="D449">
        <f>IFERROR(__xludf.DUMMYFUNCTION("""COMPUTED_VALUE"""),5.26)</f>
        <v>5.26</v>
      </c>
      <c r="E449">
        <f>IFERROR(__xludf.DUMMYFUNCTION("""COMPUTED_VALUE"""),6.37)</f>
        <v>6.37</v>
      </c>
      <c r="F449">
        <f>IFERROR(__xludf.DUMMYFUNCTION("""COMPUTED_VALUE"""),6.58)</f>
        <v>6.58</v>
      </c>
      <c r="G449">
        <f>IFERROR(__xludf.DUMMYFUNCTION("""COMPUTED_VALUE"""),5.37)</f>
        <v>5.37</v>
      </c>
      <c r="H449">
        <f>IFERROR(__xludf.DUMMYFUNCTION("""COMPUTED_VALUE"""),13.05)</f>
        <v>13.05</v>
      </c>
      <c r="I449">
        <f>IFERROR(__xludf.DUMMYFUNCTION("""COMPUTED_VALUE"""),78.79)</f>
        <v>78.79</v>
      </c>
      <c r="J449">
        <f>IFERROR(__xludf.DUMMYFUNCTION("""COMPUTED_VALUE"""),15.32)</f>
        <v>15.32</v>
      </c>
      <c r="K449">
        <f>IFERROR(__xludf.DUMMYFUNCTION("""COMPUTED_VALUE"""),0.05)</f>
        <v>0.05</v>
      </c>
      <c r="L449">
        <f>IFERROR(__xludf.DUMMYFUNCTION("""COMPUTED_VALUE"""),0.11)</f>
        <v>0.11</v>
      </c>
      <c r="M449">
        <f>IFERROR(__xludf.DUMMYFUNCTION("""COMPUTED_VALUE"""),2.11)</f>
        <v>2.11</v>
      </c>
      <c r="N449">
        <f>IFERROR(__xludf.DUMMYFUNCTION("""COMPUTED_VALUE"""),1.21)</f>
        <v>1.21</v>
      </c>
      <c r="O449">
        <f>IFERROR(__xludf.DUMMYFUNCTION("""COMPUTED_VALUE"""),0.37)</f>
        <v>0.37</v>
      </c>
    </row>
    <row r="450">
      <c r="A450" t="str">
        <f>IFERROR(__xludf.DUMMYFUNCTION("""COMPUTED_VALUE"""),"Pauget")</f>
        <v>Pauget</v>
      </c>
      <c r="B450" t="str">
        <f>IFERROR(__xludf.DUMMYFUNCTION("""COMPUTED_VALUE"""),"Éric Pauget")</f>
        <v>Éric Pauget</v>
      </c>
      <c r="C450">
        <f>IFERROR(__xludf.DUMMYFUNCTION("""COMPUTED_VALUE"""),3.74)</f>
        <v>3.74</v>
      </c>
      <c r="D450">
        <f>IFERROR(__xludf.DUMMYFUNCTION("""COMPUTED_VALUE"""),5.21)</f>
        <v>5.21</v>
      </c>
      <c r="E450">
        <f>IFERROR(__xludf.DUMMYFUNCTION("""COMPUTED_VALUE"""),6.11)</f>
        <v>6.11</v>
      </c>
      <c r="F450">
        <f>IFERROR(__xludf.DUMMYFUNCTION("""COMPUTED_VALUE"""),7.74)</f>
        <v>7.74</v>
      </c>
      <c r="G450">
        <f>IFERROR(__xludf.DUMMYFUNCTION("""COMPUTED_VALUE"""),2.11)</f>
        <v>2.11</v>
      </c>
      <c r="H450">
        <f>IFERROR(__xludf.DUMMYFUNCTION("""COMPUTED_VALUE"""),29.26)</f>
        <v>29.26</v>
      </c>
      <c r="I450">
        <f>IFERROR(__xludf.DUMMYFUNCTION("""COMPUTED_VALUE"""),135.79)</f>
        <v>135.79</v>
      </c>
      <c r="J450">
        <f>IFERROR(__xludf.DUMMYFUNCTION("""COMPUTED_VALUE"""),9.58)</f>
        <v>9.58</v>
      </c>
      <c r="K450">
        <f>IFERROR(__xludf.DUMMYFUNCTION("""COMPUTED_VALUE"""),0.26)</f>
        <v>0.26</v>
      </c>
      <c r="L450">
        <f>IFERROR(__xludf.DUMMYFUNCTION("""COMPUTED_VALUE"""),0.63)</f>
        <v>0.63</v>
      </c>
      <c r="M450">
        <f>IFERROR(__xludf.DUMMYFUNCTION("""COMPUTED_VALUE"""),9.05)</f>
        <v>9.05</v>
      </c>
      <c r="N450">
        <f>IFERROR(__xludf.DUMMYFUNCTION("""COMPUTED_VALUE"""),2.89)</f>
        <v>2.89</v>
      </c>
      <c r="O450">
        <f>IFERROR(__xludf.DUMMYFUNCTION("""COMPUTED_VALUE"""),0.26)</f>
        <v>0.26</v>
      </c>
    </row>
    <row r="451">
      <c r="A451" t="str">
        <f>IFERROR(__xludf.DUMMYFUNCTION("""COMPUTED_VALUE"""),"Pellerin")</f>
        <v>Pellerin</v>
      </c>
      <c r="B451" t="str">
        <f>IFERROR(__xludf.DUMMYFUNCTION("""COMPUTED_VALUE"""),"Emmanuel Pellerin")</f>
        <v>Emmanuel Pellerin</v>
      </c>
      <c r="C451">
        <f>IFERROR(__xludf.DUMMYFUNCTION("""COMPUTED_VALUE"""),3.84)</f>
        <v>3.84</v>
      </c>
      <c r="D451">
        <f>IFERROR(__xludf.DUMMYFUNCTION("""COMPUTED_VALUE"""),7.0)</f>
        <v>7</v>
      </c>
      <c r="E451">
        <f>IFERROR(__xludf.DUMMYFUNCTION("""COMPUTED_VALUE"""),3.0)</f>
        <v>3</v>
      </c>
      <c r="F451">
        <f>IFERROR(__xludf.DUMMYFUNCTION("""COMPUTED_VALUE"""),2.26)</f>
        <v>2.26</v>
      </c>
      <c r="G451">
        <f>IFERROR(__xludf.DUMMYFUNCTION("""COMPUTED_VALUE"""),3.47)</f>
        <v>3.47</v>
      </c>
      <c r="H451">
        <f>IFERROR(__xludf.DUMMYFUNCTION("""COMPUTED_VALUE"""),1.32)</f>
        <v>1.32</v>
      </c>
      <c r="I451">
        <f>IFERROR(__xludf.DUMMYFUNCTION("""COMPUTED_VALUE"""),85.05)</f>
        <v>85.05</v>
      </c>
      <c r="J451">
        <f>IFERROR(__xludf.DUMMYFUNCTION("""COMPUTED_VALUE"""),19.58)</f>
        <v>19.58</v>
      </c>
      <c r="K451">
        <f>IFERROR(__xludf.DUMMYFUNCTION("""COMPUTED_VALUE"""),0.0)</f>
        <v>0</v>
      </c>
      <c r="L451">
        <f>IFERROR(__xludf.DUMMYFUNCTION("""COMPUTED_VALUE"""),0.05)</f>
        <v>0.05</v>
      </c>
      <c r="M451">
        <f>IFERROR(__xludf.DUMMYFUNCTION("""COMPUTED_VALUE"""),2.47)</f>
        <v>2.47</v>
      </c>
      <c r="N451">
        <f>IFERROR(__xludf.DUMMYFUNCTION("""COMPUTED_VALUE"""),0.26)</f>
        <v>0.26</v>
      </c>
      <c r="O451">
        <f>IFERROR(__xludf.DUMMYFUNCTION("""COMPUTED_VALUE"""),0.11)</f>
        <v>0.11</v>
      </c>
    </row>
    <row r="452">
      <c r="A452" t="str">
        <f>IFERROR(__xludf.DUMMYFUNCTION("""COMPUTED_VALUE"""),"Périgault")</f>
        <v>Périgault</v>
      </c>
      <c r="B452" t="str">
        <f>IFERROR(__xludf.DUMMYFUNCTION("""COMPUTED_VALUE"""),"Isabelle Périgault")</f>
        <v>Isabelle Périgault</v>
      </c>
      <c r="C452">
        <f>IFERROR(__xludf.DUMMYFUNCTION("""COMPUTED_VALUE"""),3.47)</f>
        <v>3.47</v>
      </c>
      <c r="D452">
        <f>IFERROR(__xludf.DUMMYFUNCTION("""COMPUTED_VALUE"""),3.79)</f>
        <v>3.79</v>
      </c>
      <c r="E452">
        <f>IFERROR(__xludf.DUMMYFUNCTION("""COMPUTED_VALUE"""),1.74)</f>
        <v>1.74</v>
      </c>
      <c r="F452">
        <f>IFERROR(__xludf.DUMMYFUNCTION("""COMPUTED_VALUE"""),1.84)</f>
        <v>1.84</v>
      </c>
      <c r="G452">
        <f>IFERROR(__xludf.DUMMYFUNCTION("""COMPUTED_VALUE"""),4.79)</f>
        <v>4.79</v>
      </c>
      <c r="H452">
        <f>IFERROR(__xludf.DUMMYFUNCTION("""COMPUTED_VALUE"""),5.89)</f>
        <v>5.89</v>
      </c>
      <c r="I452">
        <f>IFERROR(__xludf.DUMMYFUNCTION("""COMPUTED_VALUE"""),240.16)</f>
        <v>240.16</v>
      </c>
      <c r="J452">
        <f>IFERROR(__xludf.DUMMYFUNCTION("""COMPUTED_VALUE"""),9.95)</f>
        <v>9.95</v>
      </c>
      <c r="K452">
        <f>IFERROR(__xludf.DUMMYFUNCTION("""COMPUTED_VALUE"""),0.0)</f>
        <v>0</v>
      </c>
      <c r="L452">
        <f>IFERROR(__xludf.DUMMYFUNCTION("""COMPUTED_VALUE"""),0.16)</f>
        <v>0.16</v>
      </c>
      <c r="M452">
        <f>IFERROR(__xludf.DUMMYFUNCTION("""COMPUTED_VALUE"""),6.74)</f>
        <v>6.74</v>
      </c>
      <c r="N452">
        <f>IFERROR(__xludf.DUMMYFUNCTION("""COMPUTED_VALUE"""),0.89)</f>
        <v>0.89</v>
      </c>
      <c r="O452">
        <f>IFERROR(__xludf.DUMMYFUNCTION("""COMPUTED_VALUE"""),0.37)</f>
        <v>0.37</v>
      </c>
    </row>
    <row r="453">
      <c r="A453" t="str">
        <f>IFERROR(__xludf.DUMMYFUNCTION("""COMPUTED_VALUE"""),"Perrot")</f>
        <v>Perrot</v>
      </c>
      <c r="B453" t="str">
        <f>IFERROR(__xludf.DUMMYFUNCTION("""COMPUTED_VALUE"""),"Patrice Perrot")</f>
        <v>Patrice Perrot</v>
      </c>
      <c r="C453">
        <f>IFERROR(__xludf.DUMMYFUNCTION("""COMPUTED_VALUE"""),3.32)</f>
        <v>3.32</v>
      </c>
      <c r="D453">
        <f>IFERROR(__xludf.DUMMYFUNCTION("""COMPUTED_VALUE"""),4.26)</f>
        <v>4.26</v>
      </c>
      <c r="E453">
        <f>IFERROR(__xludf.DUMMYFUNCTION("""COMPUTED_VALUE"""),1.26)</f>
        <v>1.26</v>
      </c>
      <c r="F453">
        <f>IFERROR(__xludf.DUMMYFUNCTION("""COMPUTED_VALUE"""),0.53)</f>
        <v>0.53</v>
      </c>
      <c r="G453">
        <f>IFERROR(__xludf.DUMMYFUNCTION("""COMPUTED_VALUE"""),0.05)</f>
        <v>0.05</v>
      </c>
      <c r="H453">
        <f>IFERROR(__xludf.DUMMYFUNCTION("""COMPUTED_VALUE"""),0.68)</f>
        <v>0.68</v>
      </c>
      <c r="I453">
        <f>IFERROR(__xludf.DUMMYFUNCTION("""COMPUTED_VALUE"""),97.37)</f>
        <v>97.37</v>
      </c>
      <c r="J453">
        <f>IFERROR(__xludf.DUMMYFUNCTION("""COMPUTED_VALUE"""),21.58)</f>
        <v>21.58</v>
      </c>
      <c r="K453">
        <f>IFERROR(__xludf.DUMMYFUNCTION("""COMPUTED_VALUE"""),0.05)</f>
        <v>0.05</v>
      </c>
      <c r="L453">
        <f>IFERROR(__xludf.DUMMYFUNCTION("""COMPUTED_VALUE"""),0.0)</f>
        <v>0</v>
      </c>
      <c r="M453">
        <f>IFERROR(__xludf.DUMMYFUNCTION("""COMPUTED_VALUE"""),2.21)</f>
        <v>2.21</v>
      </c>
      <c r="N453">
        <f>IFERROR(__xludf.DUMMYFUNCTION("""COMPUTED_VALUE"""),0.79)</f>
        <v>0.79</v>
      </c>
      <c r="O453">
        <f>IFERROR(__xludf.DUMMYFUNCTION("""COMPUTED_VALUE"""),0.05)</f>
        <v>0.05</v>
      </c>
    </row>
    <row r="454">
      <c r="A454" t="str">
        <f>IFERROR(__xludf.DUMMYFUNCTION("""COMPUTED_VALUE"""),"Petel")</f>
        <v>Petel</v>
      </c>
      <c r="B454" t="str">
        <f>IFERROR(__xludf.DUMMYFUNCTION("""COMPUTED_VALUE"""),"Anne-Laurence Petel")</f>
        <v>Anne-Laurence Petel</v>
      </c>
      <c r="C454">
        <f>IFERROR(__xludf.DUMMYFUNCTION("""COMPUTED_VALUE"""),3.79)</f>
        <v>3.79</v>
      </c>
      <c r="D454">
        <f>IFERROR(__xludf.DUMMYFUNCTION("""COMPUTED_VALUE"""),6.63)</f>
        <v>6.63</v>
      </c>
      <c r="E454">
        <f>IFERROR(__xludf.DUMMYFUNCTION("""COMPUTED_VALUE"""),6.53)</f>
        <v>6.53</v>
      </c>
      <c r="F454">
        <f>IFERROR(__xludf.DUMMYFUNCTION("""COMPUTED_VALUE"""),1.79)</f>
        <v>1.79</v>
      </c>
      <c r="G454">
        <f>IFERROR(__xludf.DUMMYFUNCTION("""COMPUTED_VALUE"""),3.89)</f>
        <v>3.89</v>
      </c>
      <c r="H454">
        <f>IFERROR(__xludf.DUMMYFUNCTION("""COMPUTED_VALUE"""),4.37)</f>
        <v>4.37</v>
      </c>
      <c r="I454">
        <f>IFERROR(__xludf.DUMMYFUNCTION("""COMPUTED_VALUE"""),67.0)</f>
        <v>67</v>
      </c>
      <c r="J454">
        <f>IFERROR(__xludf.DUMMYFUNCTION("""COMPUTED_VALUE"""),19.74)</f>
        <v>19.74</v>
      </c>
      <c r="K454">
        <f>IFERROR(__xludf.DUMMYFUNCTION("""COMPUTED_VALUE"""),0.16)</f>
        <v>0.16</v>
      </c>
      <c r="L454">
        <f>IFERROR(__xludf.DUMMYFUNCTION("""COMPUTED_VALUE"""),0.16)</f>
        <v>0.16</v>
      </c>
      <c r="M454">
        <f>IFERROR(__xludf.DUMMYFUNCTION("""COMPUTED_VALUE"""),2.32)</f>
        <v>2.32</v>
      </c>
      <c r="N454">
        <f>IFERROR(__xludf.DUMMYFUNCTION("""COMPUTED_VALUE"""),0.37)</f>
        <v>0.37</v>
      </c>
      <c r="O454">
        <f>IFERROR(__xludf.DUMMYFUNCTION("""COMPUTED_VALUE"""),0.11)</f>
        <v>0.11</v>
      </c>
    </row>
    <row r="455">
      <c r="A455" t="str">
        <f>IFERROR(__xludf.DUMMYFUNCTION("""COMPUTED_VALUE"""),"Petex")</f>
        <v>Petex</v>
      </c>
      <c r="B455" t="str">
        <f>IFERROR(__xludf.DUMMYFUNCTION("""COMPUTED_VALUE"""),"Christelle Petex")</f>
        <v>Christelle Petex</v>
      </c>
      <c r="C455">
        <f>IFERROR(__xludf.DUMMYFUNCTION("""COMPUTED_VALUE"""),2.63)</f>
        <v>2.63</v>
      </c>
      <c r="D455">
        <f>IFERROR(__xludf.DUMMYFUNCTION("""COMPUTED_VALUE"""),4.89)</f>
        <v>4.89</v>
      </c>
      <c r="E455">
        <f>IFERROR(__xludf.DUMMYFUNCTION("""COMPUTED_VALUE"""),3.89)</f>
        <v>3.89</v>
      </c>
      <c r="F455">
        <f>IFERROR(__xludf.DUMMYFUNCTION("""COMPUTED_VALUE"""),2.53)</f>
        <v>2.53</v>
      </c>
      <c r="G455">
        <f>IFERROR(__xludf.DUMMYFUNCTION("""COMPUTED_VALUE"""),1.21)</f>
        <v>1.21</v>
      </c>
      <c r="H455">
        <f>IFERROR(__xludf.DUMMYFUNCTION("""COMPUTED_VALUE"""),20.21)</f>
        <v>20.21</v>
      </c>
      <c r="I455">
        <f>IFERROR(__xludf.DUMMYFUNCTION("""COMPUTED_VALUE"""),244.89)</f>
        <v>244.89</v>
      </c>
      <c r="J455">
        <f>IFERROR(__xludf.DUMMYFUNCTION("""COMPUTED_VALUE"""),12.21)</f>
        <v>12.21</v>
      </c>
      <c r="K455">
        <f>IFERROR(__xludf.DUMMYFUNCTION("""COMPUTED_VALUE"""),0.0)</f>
        <v>0</v>
      </c>
      <c r="L455">
        <f>IFERROR(__xludf.DUMMYFUNCTION("""COMPUTED_VALUE"""),0.47)</f>
        <v>0.47</v>
      </c>
      <c r="M455">
        <f>IFERROR(__xludf.DUMMYFUNCTION("""COMPUTED_VALUE"""),7.32)</f>
        <v>7.32</v>
      </c>
      <c r="N455">
        <f>IFERROR(__xludf.DUMMYFUNCTION("""COMPUTED_VALUE"""),2.21)</f>
        <v>2.21</v>
      </c>
      <c r="O455">
        <f>IFERROR(__xludf.DUMMYFUNCTION("""COMPUTED_VALUE"""),0.21)</f>
        <v>0.21</v>
      </c>
    </row>
    <row r="456">
      <c r="A456" t="str">
        <f>IFERROR(__xludf.DUMMYFUNCTION("""COMPUTED_VALUE"""),"Petit")</f>
        <v>Petit</v>
      </c>
      <c r="B456" t="str">
        <f>IFERROR(__xludf.DUMMYFUNCTION("""COMPUTED_VALUE"""),"Bertrand Petit")</f>
        <v>Bertrand Petit</v>
      </c>
      <c r="C456">
        <f>IFERROR(__xludf.DUMMYFUNCTION("""COMPUTED_VALUE"""),3.39)</f>
        <v>3.39</v>
      </c>
      <c r="D456">
        <f>IFERROR(__xludf.DUMMYFUNCTION("""COMPUTED_VALUE"""),4.39)</f>
        <v>4.39</v>
      </c>
      <c r="E456">
        <f>IFERROR(__xludf.DUMMYFUNCTION("""COMPUTED_VALUE"""),3.56)</f>
        <v>3.56</v>
      </c>
      <c r="F456">
        <f>IFERROR(__xludf.DUMMYFUNCTION("""COMPUTED_VALUE"""),2.56)</f>
        <v>2.56</v>
      </c>
      <c r="G456">
        <f>IFERROR(__xludf.DUMMYFUNCTION("""COMPUTED_VALUE"""),0.78)</f>
        <v>0.78</v>
      </c>
      <c r="H456">
        <f>IFERROR(__xludf.DUMMYFUNCTION("""COMPUTED_VALUE"""),6.17)</f>
        <v>6.17</v>
      </c>
      <c r="I456">
        <f>IFERROR(__xludf.DUMMYFUNCTION("""COMPUTED_VALUE"""),432.17)</f>
        <v>432.17</v>
      </c>
      <c r="J456">
        <f>IFERROR(__xludf.DUMMYFUNCTION("""COMPUTED_VALUE"""),24.5)</f>
        <v>24.5</v>
      </c>
      <c r="K456">
        <f>IFERROR(__xludf.DUMMYFUNCTION("""COMPUTED_VALUE"""),0.06)</f>
        <v>0.06</v>
      </c>
      <c r="L456">
        <f>IFERROR(__xludf.DUMMYFUNCTION("""COMPUTED_VALUE"""),0.17)</f>
        <v>0.17</v>
      </c>
      <c r="M456">
        <f>IFERROR(__xludf.DUMMYFUNCTION("""COMPUTED_VALUE"""),3.5)</f>
        <v>3.5</v>
      </c>
      <c r="N456">
        <f>IFERROR(__xludf.DUMMYFUNCTION("""COMPUTED_VALUE"""),6.28)</f>
        <v>6.28</v>
      </c>
      <c r="O456">
        <f>IFERROR(__xludf.DUMMYFUNCTION("""COMPUTED_VALUE"""),0.39)</f>
        <v>0.39</v>
      </c>
    </row>
    <row r="457">
      <c r="A457" t="str">
        <f>IFERROR(__xludf.DUMMYFUNCTION("""COMPUTED_VALUE"""),"Petit")</f>
        <v>Petit</v>
      </c>
      <c r="B457" t="str">
        <f>IFERROR(__xludf.DUMMYFUNCTION("""COMPUTED_VALUE"""),"Frédéric Petit")</f>
        <v>Frédéric Petit</v>
      </c>
      <c r="C457">
        <f>IFERROR(__xludf.DUMMYFUNCTION("""COMPUTED_VALUE"""),3.42)</f>
        <v>3.42</v>
      </c>
      <c r="D457">
        <f>IFERROR(__xludf.DUMMYFUNCTION("""COMPUTED_VALUE"""),7.26)</f>
        <v>7.26</v>
      </c>
      <c r="E457">
        <f>IFERROR(__xludf.DUMMYFUNCTION("""COMPUTED_VALUE"""),9.53)</f>
        <v>9.53</v>
      </c>
      <c r="F457">
        <f>IFERROR(__xludf.DUMMYFUNCTION("""COMPUTED_VALUE"""),11.53)</f>
        <v>11.53</v>
      </c>
      <c r="G457">
        <f>IFERROR(__xludf.DUMMYFUNCTION("""COMPUTED_VALUE"""),12.21)</f>
        <v>12.21</v>
      </c>
      <c r="H457">
        <f>IFERROR(__xludf.DUMMYFUNCTION("""COMPUTED_VALUE"""),1.0)</f>
        <v>1</v>
      </c>
      <c r="I457">
        <f>IFERROR(__xludf.DUMMYFUNCTION("""COMPUTED_VALUE"""),56.58)</f>
        <v>56.58</v>
      </c>
      <c r="J457">
        <f>IFERROR(__xludf.DUMMYFUNCTION("""COMPUTED_VALUE"""),13.21)</f>
        <v>13.21</v>
      </c>
      <c r="K457">
        <f>IFERROR(__xludf.DUMMYFUNCTION("""COMPUTED_VALUE"""),0.21)</f>
        <v>0.21</v>
      </c>
      <c r="L457">
        <f>IFERROR(__xludf.DUMMYFUNCTION("""COMPUTED_VALUE"""),0.05)</f>
        <v>0.05</v>
      </c>
      <c r="M457">
        <f>IFERROR(__xludf.DUMMYFUNCTION("""COMPUTED_VALUE"""),0.84)</f>
        <v>0.84</v>
      </c>
      <c r="N457">
        <f>IFERROR(__xludf.DUMMYFUNCTION("""COMPUTED_VALUE"""),2.79)</f>
        <v>2.79</v>
      </c>
      <c r="O457">
        <f>IFERROR(__xludf.DUMMYFUNCTION("""COMPUTED_VALUE"""),0.21)</f>
        <v>0.21</v>
      </c>
    </row>
    <row r="458">
      <c r="A458" t="str">
        <f>IFERROR(__xludf.DUMMYFUNCTION("""COMPUTED_VALUE"""),"Petit")</f>
        <v>Petit</v>
      </c>
      <c r="B458" t="str">
        <f>IFERROR(__xludf.DUMMYFUNCTION("""COMPUTED_VALUE"""),"Maud Petit")</f>
        <v>Maud Petit</v>
      </c>
      <c r="C458">
        <f>IFERROR(__xludf.DUMMYFUNCTION("""COMPUTED_VALUE"""),3.68)</f>
        <v>3.68</v>
      </c>
      <c r="D458">
        <f>IFERROR(__xludf.DUMMYFUNCTION("""COMPUTED_VALUE"""),6.11)</f>
        <v>6.11</v>
      </c>
      <c r="E458">
        <f>IFERROR(__xludf.DUMMYFUNCTION("""COMPUTED_VALUE"""),5.11)</f>
        <v>5.11</v>
      </c>
      <c r="F458">
        <f>IFERROR(__xludf.DUMMYFUNCTION("""COMPUTED_VALUE"""),3.79)</f>
        <v>3.79</v>
      </c>
      <c r="G458">
        <f>IFERROR(__xludf.DUMMYFUNCTION("""COMPUTED_VALUE"""),3.89)</f>
        <v>3.89</v>
      </c>
      <c r="H458">
        <f>IFERROR(__xludf.DUMMYFUNCTION("""COMPUTED_VALUE"""),4.32)</f>
        <v>4.32</v>
      </c>
      <c r="I458">
        <f>IFERROR(__xludf.DUMMYFUNCTION("""COMPUTED_VALUE"""),80.68)</f>
        <v>80.68</v>
      </c>
      <c r="J458">
        <f>IFERROR(__xludf.DUMMYFUNCTION("""COMPUTED_VALUE"""),15.0)</f>
        <v>15</v>
      </c>
      <c r="K458">
        <f>IFERROR(__xludf.DUMMYFUNCTION("""COMPUTED_VALUE"""),0.05)</f>
        <v>0.05</v>
      </c>
      <c r="L458">
        <f>IFERROR(__xludf.DUMMYFUNCTION("""COMPUTED_VALUE"""),0.05)</f>
        <v>0.05</v>
      </c>
      <c r="M458">
        <f>IFERROR(__xludf.DUMMYFUNCTION("""COMPUTED_VALUE"""),1.16)</f>
        <v>1.16</v>
      </c>
      <c r="N458">
        <f>IFERROR(__xludf.DUMMYFUNCTION("""COMPUTED_VALUE"""),1.95)</f>
        <v>1.95</v>
      </c>
      <c r="O458">
        <f>IFERROR(__xludf.DUMMYFUNCTION("""COMPUTED_VALUE"""),0.21)</f>
        <v>0.21</v>
      </c>
    </row>
    <row r="459">
      <c r="A459" t="str">
        <f>IFERROR(__xludf.DUMMYFUNCTION("""COMPUTED_VALUE"""),"Peu")</f>
        <v>Peu</v>
      </c>
      <c r="B459" t="str">
        <f>IFERROR(__xludf.DUMMYFUNCTION("""COMPUTED_VALUE"""),"Stéphane Peu")</f>
        <v>Stéphane Peu</v>
      </c>
      <c r="C459">
        <f>IFERROR(__xludf.DUMMYFUNCTION("""COMPUTED_VALUE"""),4.0)</f>
        <v>4</v>
      </c>
      <c r="D459">
        <f>IFERROR(__xludf.DUMMYFUNCTION("""COMPUTED_VALUE"""),5.63)</f>
        <v>5.63</v>
      </c>
      <c r="E459">
        <f>IFERROR(__xludf.DUMMYFUNCTION("""COMPUTED_VALUE"""),10.74)</f>
        <v>10.74</v>
      </c>
      <c r="F459">
        <f>IFERROR(__xludf.DUMMYFUNCTION("""COMPUTED_VALUE"""),17.47)</f>
        <v>17.47</v>
      </c>
      <c r="G459">
        <f>IFERROR(__xludf.DUMMYFUNCTION("""COMPUTED_VALUE"""),14.42)</f>
        <v>14.42</v>
      </c>
      <c r="H459">
        <f>IFERROR(__xludf.DUMMYFUNCTION("""COMPUTED_VALUE"""),32.68)</f>
        <v>32.68</v>
      </c>
      <c r="I459">
        <f>IFERROR(__xludf.DUMMYFUNCTION("""COMPUTED_VALUE"""),223.53)</f>
        <v>223.53</v>
      </c>
      <c r="J459">
        <f>IFERROR(__xludf.DUMMYFUNCTION("""COMPUTED_VALUE"""),13.11)</f>
        <v>13.11</v>
      </c>
      <c r="K459">
        <f>IFERROR(__xludf.DUMMYFUNCTION("""COMPUTED_VALUE"""),0.16)</f>
        <v>0.16</v>
      </c>
      <c r="L459">
        <f>IFERROR(__xludf.DUMMYFUNCTION("""COMPUTED_VALUE"""),0.42)</f>
        <v>0.42</v>
      </c>
      <c r="M459">
        <f>IFERROR(__xludf.DUMMYFUNCTION("""COMPUTED_VALUE"""),5.05)</f>
        <v>5.05</v>
      </c>
      <c r="N459">
        <f>IFERROR(__xludf.DUMMYFUNCTION("""COMPUTED_VALUE"""),3.58)</f>
        <v>3.58</v>
      </c>
      <c r="O459">
        <f>IFERROR(__xludf.DUMMYFUNCTION("""COMPUTED_VALUE"""),0.53)</f>
        <v>0.53</v>
      </c>
    </row>
    <row r="460">
      <c r="A460" t="str">
        <f>IFERROR(__xludf.DUMMYFUNCTION("""COMPUTED_VALUE"""),"Peyron")</f>
        <v>Peyron</v>
      </c>
      <c r="B460" t="str">
        <f>IFERROR(__xludf.DUMMYFUNCTION("""COMPUTED_VALUE"""),"Michèle Peyron")</f>
        <v>Michèle Peyron</v>
      </c>
      <c r="C460">
        <f>IFERROR(__xludf.DUMMYFUNCTION("""COMPUTED_VALUE"""),4.0)</f>
        <v>4</v>
      </c>
      <c r="D460">
        <f>IFERROR(__xludf.DUMMYFUNCTION("""COMPUTED_VALUE"""),10.89)</f>
        <v>10.89</v>
      </c>
      <c r="E460">
        <f>IFERROR(__xludf.DUMMYFUNCTION("""COMPUTED_VALUE"""),6.11)</f>
        <v>6.11</v>
      </c>
      <c r="F460">
        <f>IFERROR(__xludf.DUMMYFUNCTION("""COMPUTED_VALUE"""),2.37)</f>
        <v>2.37</v>
      </c>
      <c r="G460">
        <f>IFERROR(__xludf.DUMMYFUNCTION("""COMPUTED_VALUE"""),14.63)</f>
        <v>14.63</v>
      </c>
      <c r="H460">
        <f>IFERROR(__xludf.DUMMYFUNCTION("""COMPUTED_VALUE"""),2.95)</f>
        <v>2.95</v>
      </c>
      <c r="I460">
        <f>IFERROR(__xludf.DUMMYFUNCTION("""COMPUTED_VALUE"""),67.21)</f>
        <v>67.21</v>
      </c>
      <c r="J460">
        <f>IFERROR(__xludf.DUMMYFUNCTION("""COMPUTED_VALUE"""),17.68)</f>
        <v>17.68</v>
      </c>
      <c r="K460">
        <f>IFERROR(__xludf.DUMMYFUNCTION("""COMPUTED_VALUE"""),0.11)</f>
        <v>0.11</v>
      </c>
      <c r="L460">
        <f>IFERROR(__xludf.DUMMYFUNCTION("""COMPUTED_VALUE"""),0.0)</f>
        <v>0</v>
      </c>
      <c r="M460">
        <f>IFERROR(__xludf.DUMMYFUNCTION("""COMPUTED_VALUE"""),2.37)</f>
        <v>2.37</v>
      </c>
      <c r="N460">
        <f>IFERROR(__xludf.DUMMYFUNCTION("""COMPUTED_VALUE"""),0.53)</f>
        <v>0.53</v>
      </c>
      <c r="O460">
        <f>IFERROR(__xludf.DUMMYFUNCTION("""COMPUTED_VALUE"""),0.21)</f>
        <v>0.21</v>
      </c>
    </row>
    <row r="461">
      <c r="A461" t="str">
        <f>IFERROR(__xludf.DUMMYFUNCTION("""COMPUTED_VALUE"""),"Peytavie")</f>
        <v>Peytavie</v>
      </c>
      <c r="B461" t="str">
        <f>IFERROR(__xludf.DUMMYFUNCTION("""COMPUTED_VALUE"""),"Sébastien Peytavie")</f>
        <v>Sébastien Peytavie</v>
      </c>
      <c r="C461">
        <f>IFERROR(__xludf.DUMMYFUNCTION("""COMPUTED_VALUE"""),3.16)</f>
        <v>3.16</v>
      </c>
      <c r="D461">
        <f>IFERROR(__xludf.DUMMYFUNCTION("""COMPUTED_VALUE"""),6.53)</f>
        <v>6.53</v>
      </c>
      <c r="E461">
        <f>IFERROR(__xludf.DUMMYFUNCTION("""COMPUTED_VALUE"""),19.58)</f>
        <v>19.58</v>
      </c>
      <c r="F461">
        <f>IFERROR(__xludf.DUMMYFUNCTION("""COMPUTED_VALUE"""),17.26)</f>
        <v>17.26</v>
      </c>
      <c r="G461">
        <f>IFERROR(__xludf.DUMMYFUNCTION("""COMPUTED_VALUE"""),9.58)</f>
        <v>9.58</v>
      </c>
      <c r="H461">
        <f>IFERROR(__xludf.DUMMYFUNCTION("""COMPUTED_VALUE"""),125.11)</f>
        <v>125.11</v>
      </c>
      <c r="I461">
        <f>IFERROR(__xludf.DUMMYFUNCTION("""COMPUTED_VALUE"""),566.47)</f>
        <v>566.47</v>
      </c>
      <c r="J461">
        <f>IFERROR(__xludf.DUMMYFUNCTION("""COMPUTED_VALUE"""),21.63)</f>
        <v>21.63</v>
      </c>
      <c r="K461">
        <f>IFERROR(__xludf.DUMMYFUNCTION("""COMPUTED_VALUE"""),0.21)</f>
        <v>0.21</v>
      </c>
      <c r="L461">
        <f>IFERROR(__xludf.DUMMYFUNCTION("""COMPUTED_VALUE"""),0.37)</f>
        <v>0.37</v>
      </c>
      <c r="M461">
        <f>IFERROR(__xludf.DUMMYFUNCTION("""COMPUTED_VALUE"""),3.84)</f>
        <v>3.84</v>
      </c>
      <c r="N461">
        <f>IFERROR(__xludf.DUMMYFUNCTION("""COMPUTED_VALUE"""),0.63)</f>
        <v>0.63</v>
      </c>
      <c r="O461">
        <f>IFERROR(__xludf.DUMMYFUNCTION("""COMPUTED_VALUE"""),0.26)</f>
        <v>0.26</v>
      </c>
    </row>
    <row r="462">
      <c r="A462" t="str">
        <f>IFERROR(__xludf.DUMMYFUNCTION("""COMPUTED_VALUE"""),"Pfeffer")</f>
        <v>Pfeffer</v>
      </c>
      <c r="B462" t="str">
        <f>IFERROR(__xludf.DUMMYFUNCTION("""COMPUTED_VALUE"""),"Kévin Pfeffer")</f>
        <v>Kévin Pfeffer</v>
      </c>
      <c r="C462">
        <f>IFERROR(__xludf.DUMMYFUNCTION("""COMPUTED_VALUE"""),3.68)</f>
        <v>3.68</v>
      </c>
      <c r="D462">
        <f>IFERROR(__xludf.DUMMYFUNCTION("""COMPUTED_VALUE"""),7.42)</f>
        <v>7.42</v>
      </c>
      <c r="E462">
        <f>IFERROR(__xludf.DUMMYFUNCTION("""COMPUTED_VALUE"""),3.26)</f>
        <v>3.26</v>
      </c>
      <c r="F462">
        <f>IFERROR(__xludf.DUMMYFUNCTION("""COMPUTED_VALUE"""),5.26)</f>
        <v>5.26</v>
      </c>
      <c r="G462">
        <f>IFERROR(__xludf.DUMMYFUNCTION("""COMPUTED_VALUE"""),3.42)</f>
        <v>3.42</v>
      </c>
      <c r="H462">
        <f>IFERROR(__xludf.DUMMYFUNCTION("""COMPUTED_VALUE"""),2.47)</f>
        <v>2.47</v>
      </c>
      <c r="I462">
        <f>IFERROR(__xludf.DUMMYFUNCTION("""COMPUTED_VALUE"""),425.26)</f>
        <v>425.26</v>
      </c>
      <c r="J462">
        <f>IFERROR(__xludf.DUMMYFUNCTION("""COMPUTED_VALUE"""),5.26)</f>
        <v>5.26</v>
      </c>
      <c r="K462">
        <f>IFERROR(__xludf.DUMMYFUNCTION("""COMPUTED_VALUE"""),0.05)</f>
        <v>0.05</v>
      </c>
      <c r="L462">
        <f>IFERROR(__xludf.DUMMYFUNCTION("""COMPUTED_VALUE"""),0.05)</f>
        <v>0.05</v>
      </c>
      <c r="M462">
        <f>IFERROR(__xludf.DUMMYFUNCTION("""COMPUTED_VALUE"""),6.95)</f>
        <v>6.95</v>
      </c>
      <c r="N462">
        <f>IFERROR(__xludf.DUMMYFUNCTION("""COMPUTED_VALUE"""),1.63)</f>
        <v>1.63</v>
      </c>
      <c r="O462">
        <f>IFERROR(__xludf.DUMMYFUNCTION("""COMPUTED_VALUE"""),0.26)</f>
        <v>0.26</v>
      </c>
    </row>
    <row r="463">
      <c r="A463" t="str">
        <f>IFERROR(__xludf.DUMMYFUNCTION("""COMPUTED_VALUE"""),"Pic")</f>
        <v>Pic</v>
      </c>
      <c r="B463" t="str">
        <f>IFERROR(__xludf.DUMMYFUNCTION("""COMPUTED_VALUE"""),"Anna Pic")</f>
        <v>Anna Pic</v>
      </c>
      <c r="C463">
        <f>IFERROR(__xludf.DUMMYFUNCTION("""COMPUTED_VALUE"""),3.53)</f>
        <v>3.53</v>
      </c>
      <c r="D463">
        <f>IFERROR(__xludf.DUMMYFUNCTION("""COMPUTED_VALUE"""),5.95)</f>
        <v>5.95</v>
      </c>
      <c r="E463">
        <f>IFERROR(__xludf.DUMMYFUNCTION("""COMPUTED_VALUE"""),8.26)</f>
        <v>8.26</v>
      </c>
      <c r="F463">
        <f>IFERROR(__xludf.DUMMYFUNCTION("""COMPUTED_VALUE"""),7.79)</f>
        <v>7.79</v>
      </c>
      <c r="G463">
        <f>IFERROR(__xludf.DUMMYFUNCTION("""COMPUTED_VALUE"""),7.42)</f>
        <v>7.42</v>
      </c>
      <c r="H463">
        <f>IFERROR(__xludf.DUMMYFUNCTION("""COMPUTED_VALUE"""),13.26)</f>
        <v>13.26</v>
      </c>
      <c r="I463">
        <f>IFERROR(__xludf.DUMMYFUNCTION("""COMPUTED_VALUE"""),439.26)</f>
        <v>439.26</v>
      </c>
      <c r="J463">
        <f>IFERROR(__xludf.DUMMYFUNCTION("""COMPUTED_VALUE"""),21.42)</f>
        <v>21.42</v>
      </c>
      <c r="K463">
        <f>IFERROR(__xludf.DUMMYFUNCTION("""COMPUTED_VALUE"""),0.05)</f>
        <v>0.05</v>
      </c>
      <c r="L463">
        <f>IFERROR(__xludf.DUMMYFUNCTION("""COMPUTED_VALUE"""),0.21)</f>
        <v>0.21</v>
      </c>
      <c r="M463">
        <f>IFERROR(__xludf.DUMMYFUNCTION("""COMPUTED_VALUE"""),3.84)</f>
        <v>3.84</v>
      </c>
      <c r="N463">
        <f>IFERROR(__xludf.DUMMYFUNCTION("""COMPUTED_VALUE"""),1.68)</f>
        <v>1.68</v>
      </c>
      <c r="O463">
        <f>IFERROR(__xludf.DUMMYFUNCTION("""COMPUTED_VALUE"""),0.37)</f>
        <v>0.37</v>
      </c>
    </row>
    <row r="464">
      <c r="A464" t="str">
        <f>IFERROR(__xludf.DUMMYFUNCTION("""COMPUTED_VALUE"""),"Pilato")</f>
        <v>Pilato</v>
      </c>
      <c r="B464" t="str">
        <f>IFERROR(__xludf.DUMMYFUNCTION("""COMPUTED_VALUE"""),"René Pilato")</f>
        <v>René Pilato</v>
      </c>
      <c r="C464">
        <f>IFERROR(__xludf.DUMMYFUNCTION("""COMPUTED_VALUE"""),4.0)</f>
        <v>4</v>
      </c>
      <c r="D464">
        <f>IFERROR(__xludf.DUMMYFUNCTION("""COMPUTED_VALUE"""),7.5)</f>
        <v>7.5</v>
      </c>
      <c r="E464">
        <f>IFERROR(__xludf.DUMMYFUNCTION("""COMPUTED_VALUE"""),7.79)</f>
        <v>7.79</v>
      </c>
      <c r="F464">
        <f>IFERROR(__xludf.DUMMYFUNCTION("""COMPUTED_VALUE"""),13.21)</f>
        <v>13.21</v>
      </c>
      <c r="G464">
        <f>IFERROR(__xludf.DUMMYFUNCTION("""COMPUTED_VALUE"""),13.86)</f>
        <v>13.86</v>
      </c>
      <c r="H464">
        <f>IFERROR(__xludf.DUMMYFUNCTION("""COMPUTED_VALUE"""),16.79)</f>
        <v>16.79</v>
      </c>
      <c r="I464">
        <f>IFERROR(__xludf.DUMMYFUNCTION("""COMPUTED_VALUE"""),910.5)</f>
        <v>910.5</v>
      </c>
      <c r="J464">
        <f>IFERROR(__xludf.DUMMYFUNCTION("""COMPUTED_VALUE"""),29.07)</f>
        <v>29.07</v>
      </c>
      <c r="K464">
        <f>IFERROR(__xludf.DUMMYFUNCTION("""COMPUTED_VALUE"""),0.07)</f>
        <v>0.07</v>
      </c>
      <c r="L464">
        <f>IFERROR(__xludf.DUMMYFUNCTION("""COMPUTED_VALUE"""),0.07)</f>
        <v>0.07</v>
      </c>
      <c r="M464">
        <f>IFERROR(__xludf.DUMMYFUNCTION("""COMPUTED_VALUE"""),7.29)</f>
        <v>7.29</v>
      </c>
      <c r="N464">
        <f>IFERROR(__xludf.DUMMYFUNCTION("""COMPUTED_VALUE"""),2.0)</f>
        <v>2</v>
      </c>
      <c r="O464">
        <f>IFERROR(__xludf.DUMMYFUNCTION("""COMPUTED_VALUE"""),0.21)</f>
        <v>0.21</v>
      </c>
    </row>
    <row r="465">
      <c r="A465" t="str">
        <f>IFERROR(__xludf.DUMMYFUNCTION("""COMPUTED_VALUE"""),"Piquemal")</f>
        <v>Piquemal</v>
      </c>
      <c r="B465" t="str">
        <f>IFERROR(__xludf.DUMMYFUNCTION("""COMPUTED_VALUE"""),"François Piquemal")</f>
        <v>François Piquemal</v>
      </c>
      <c r="C465">
        <f>IFERROR(__xludf.DUMMYFUNCTION("""COMPUTED_VALUE"""),3.79)</f>
        <v>3.79</v>
      </c>
      <c r="D465">
        <f>IFERROR(__xludf.DUMMYFUNCTION("""COMPUTED_VALUE"""),6.89)</f>
        <v>6.89</v>
      </c>
      <c r="E465">
        <f>IFERROR(__xludf.DUMMYFUNCTION("""COMPUTED_VALUE"""),7.47)</f>
        <v>7.47</v>
      </c>
      <c r="F465">
        <f>IFERROR(__xludf.DUMMYFUNCTION("""COMPUTED_VALUE"""),26.53)</f>
        <v>26.53</v>
      </c>
      <c r="G465">
        <f>IFERROR(__xludf.DUMMYFUNCTION("""COMPUTED_VALUE"""),7.84)</f>
        <v>7.84</v>
      </c>
      <c r="H465">
        <f>IFERROR(__xludf.DUMMYFUNCTION("""COMPUTED_VALUE"""),20.21)</f>
        <v>20.21</v>
      </c>
      <c r="I465">
        <f>IFERROR(__xludf.DUMMYFUNCTION("""COMPUTED_VALUE"""),888.16)</f>
        <v>888.16</v>
      </c>
      <c r="J465">
        <f>IFERROR(__xludf.DUMMYFUNCTION("""COMPUTED_VALUE"""),28.68)</f>
        <v>28.68</v>
      </c>
      <c r="K465">
        <f>IFERROR(__xludf.DUMMYFUNCTION("""COMPUTED_VALUE"""),0.05)</f>
        <v>0.05</v>
      </c>
      <c r="L465">
        <f>IFERROR(__xludf.DUMMYFUNCTION("""COMPUTED_VALUE"""),0.32)</f>
        <v>0.32</v>
      </c>
      <c r="M465">
        <f>IFERROR(__xludf.DUMMYFUNCTION("""COMPUTED_VALUE"""),7.42)</f>
        <v>7.42</v>
      </c>
      <c r="N465">
        <f>IFERROR(__xludf.DUMMYFUNCTION("""COMPUTED_VALUE"""),1.89)</f>
        <v>1.89</v>
      </c>
      <c r="O465">
        <f>IFERROR(__xludf.DUMMYFUNCTION("""COMPUTED_VALUE"""),0.26)</f>
        <v>0.26</v>
      </c>
    </row>
    <row r="466">
      <c r="A466" t="str">
        <f>IFERROR(__xludf.DUMMYFUNCTION("""COMPUTED_VALUE"""),"Pires Beaune")</f>
        <v>Pires Beaune</v>
      </c>
      <c r="B466" t="str">
        <f>IFERROR(__xludf.DUMMYFUNCTION("""COMPUTED_VALUE"""),"Christine Pires Beaune")</f>
        <v>Christine Pires Beaune</v>
      </c>
      <c r="C466">
        <f>IFERROR(__xludf.DUMMYFUNCTION("""COMPUTED_VALUE"""),3.84)</f>
        <v>3.84</v>
      </c>
      <c r="D466">
        <f>IFERROR(__xludf.DUMMYFUNCTION("""COMPUTED_VALUE"""),9.68)</f>
        <v>9.68</v>
      </c>
      <c r="E466">
        <f>IFERROR(__xludf.DUMMYFUNCTION("""COMPUTED_VALUE"""),21.53)</f>
        <v>21.53</v>
      </c>
      <c r="F466">
        <f>IFERROR(__xludf.DUMMYFUNCTION("""COMPUTED_VALUE"""),16.89)</f>
        <v>16.89</v>
      </c>
      <c r="G466">
        <f>IFERROR(__xludf.DUMMYFUNCTION("""COMPUTED_VALUE"""),4.21)</f>
        <v>4.21</v>
      </c>
      <c r="H466">
        <f>IFERROR(__xludf.DUMMYFUNCTION("""COMPUTED_VALUE"""),36.16)</f>
        <v>36.16</v>
      </c>
      <c r="I466">
        <f>IFERROR(__xludf.DUMMYFUNCTION("""COMPUTED_VALUE"""),478.95)</f>
        <v>478.95</v>
      </c>
      <c r="J466">
        <f>IFERROR(__xludf.DUMMYFUNCTION("""COMPUTED_VALUE"""),24.16)</f>
        <v>24.16</v>
      </c>
      <c r="K466">
        <f>IFERROR(__xludf.DUMMYFUNCTION("""COMPUTED_VALUE"""),0.37)</f>
        <v>0.37</v>
      </c>
      <c r="L466">
        <f>IFERROR(__xludf.DUMMYFUNCTION("""COMPUTED_VALUE"""),0.21)</f>
        <v>0.21</v>
      </c>
      <c r="M466">
        <f>IFERROR(__xludf.DUMMYFUNCTION("""COMPUTED_VALUE"""),5.26)</f>
        <v>5.26</v>
      </c>
      <c r="N466">
        <f>IFERROR(__xludf.DUMMYFUNCTION("""COMPUTED_VALUE"""),3.47)</f>
        <v>3.47</v>
      </c>
      <c r="O466">
        <f>IFERROR(__xludf.DUMMYFUNCTION("""COMPUTED_VALUE"""),0.32)</f>
        <v>0.32</v>
      </c>
    </row>
    <row r="467">
      <c r="A467" t="str">
        <f>IFERROR(__xludf.DUMMYFUNCTION("""COMPUTED_VALUE"""),"Piron")</f>
        <v>Piron</v>
      </c>
      <c r="B467" t="str">
        <f>IFERROR(__xludf.DUMMYFUNCTION("""COMPUTED_VALUE"""),"Béatrice Piron")</f>
        <v>Béatrice Piron</v>
      </c>
      <c r="C467">
        <f>IFERROR(__xludf.DUMMYFUNCTION("""COMPUTED_VALUE"""),3.89)</f>
        <v>3.89</v>
      </c>
      <c r="D467">
        <f>IFERROR(__xludf.DUMMYFUNCTION("""COMPUTED_VALUE"""),7.79)</f>
        <v>7.79</v>
      </c>
      <c r="E467">
        <f>IFERROR(__xludf.DUMMYFUNCTION("""COMPUTED_VALUE"""),5.63)</f>
        <v>5.63</v>
      </c>
      <c r="F467">
        <f>IFERROR(__xludf.DUMMYFUNCTION("""COMPUTED_VALUE"""),2.63)</f>
        <v>2.63</v>
      </c>
      <c r="G467">
        <f>IFERROR(__xludf.DUMMYFUNCTION("""COMPUTED_VALUE"""),0.16)</f>
        <v>0.16</v>
      </c>
      <c r="H467">
        <f>IFERROR(__xludf.DUMMYFUNCTION("""COMPUTED_VALUE"""),7.11)</f>
        <v>7.11</v>
      </c>
      <c r="I467">
        <f>IFERROR(__xludf.DUMMYFUNCTION("""COMPUTED_VALUE"""),87.26)</f>
        <v>87.26</v>
      </c>
      <c r="J467">
        <f>IFERROR(__xludf.DUMMYFUNCTION("""COMPUTED_VALUE"""),17.0)</f>
        <v>17</v>
      </c>
      <c r="K467">
        <f>IFERROR(__xludf.DUMMYFUNCTION("""COMPUTED_VALUE"""),0.11)</f>
        <v>0.11</v>
      </c>
      <c r="L467">
        <f>IFERROR(__xludf.DUMMYFUNCTION("""COMPUTED_VALUE"""),0.0)</f>
        <v>0</v>
      </c>
      <c r="M467">
        <f>IFERROR(__xludf.DUMMYFUNCTION("""COMPUTED_VALUE"""),2.47)</f>
        <v>2.47</v>
      </c>
      <c r="N467">
        <f>IFERROR(__xludf.DUMMYFUNCTION("""COMPUTED_VALUE"""),0.58)</f>
        <v>0.58</v>
      </c>
      <c r="O467">
        <f>IFERROR(__xludf.DUMMYFUNCTION("""COMPUTED_VALUE"""),0.37)</f>
        <v>0.37</v>
      </c>
    </row>
    <row r="468">
      <c r="A468" t="str">
        <f>IFERROR(__xludf.DUMMYFUNCTION("""COMPUTED_VALUE"""),"Plassard")</f>
        <v>Plassard</v>
      </c>
      <c r="B468" t="str">
        <f>IFERROR(__xludf.DUMMYFUNCTION("""COMPUTED_VALUE"""),"Christophe Plassard")</f>
        <v>Christophe Plassard</v>
      </c>
      <c r="C468">
        <f>IFERROR(__xludf.DUMMYFUNCTION("""COMPUTED_VALUE"""),3.79)</f>
        <v>3.79</v>
      </c>
      <c r="D468">
        <f>IFERROR(__xludf.DUMMYFUNCTION("""COMPUTED_VALUE"""),7.74)</f>
        <v>7.74</v>
      </c>
      <c r="E468">
        <f>IFERROR(__xludf.DUMMYFUNCTION("""COMPUTED_VALUE"""),6.47)</f>
        <v>6.47</v>
      </c>
      <c r="F468">
        <f>IFERROR(__xludf.DUMMYFUNCTION("""COMPUTED_VALUE"""),5.79)</f>
        <v>5.79</v>
      </c>
      <c r="G468">
        <f>IFERROR(__xludf.DUMMYFUNCTION("""COMPUTED_VALUE"""),1.05)</f>
        <v>1.05</v>
      </c>
      <c r="H468">
        <f>IFERROR(__xludf.DUMMYFUNCTION("""COMPUTED_VALUE"""),8.16)</f>
        <v>8.16</v>
      </c>
      <c r="I468">
        <f>IFERROR(__xludf.DUMMYFUNCTION("""COMPUTED_VALUE"""),72.95)</f>
        <v>72.95</v>
      </c>
      <c r="J468">
        <f>IFERROR(__xludf.DUMMYFUNCTION("""COMPUTED_VALUE"""),15.21)</f>
        <v>15.21</v>
      </c>
      <c r="K468">
        <f>IFERROR(__xludf.DUMMYFUNCTION("""COMPUTED_VALUE"""),0.21)</f>
        <v>0.21</v>
      </c>
      <c r="L468">
        <f>IFERROR(__xludf.DUMMYFUNCTION("""COMPUTED_VALUE"""),0.16)</f>
        <v>0.16</v>
      </c>
      <c r="M468">
        <f>IFERROR(__xludf.DUMMYFUNCTION("""COMPUTED_VALUE"""),2.68)</f>
        <v>2.68</v>
      </c>
      <c r="N468">
        <f>IFERROR(__xludf.DUMMYFUNCTION("""COMPUTED_VALUE"""),2.42)</f>
        <v>2.42</v>
      </c>
      <c r="O468">
        <f>IFERROR(__xludf.DUMMYFUNCTION("""COMPUTED_VALUE"""),0.26)</f>
        <v>0.26</v>
      </c>
    </row>
    <row r="469">
      <c r="A469" t="str">
        <f>IFERROR(__xludf.DUMMYFUNCTION("""COMPUTED_VALUE"""),"Pochon")</f>
        <v>Pochon</v>
      </c>
      <c r="B469" t="str">
        <f>IFERROR(__xludf.DUMMYFUNCTION("""COMPUTED_VALUE"""),"Marie Pochon")</f>
        <v>Marie Pochon</v>
      </c>
      <c r="C469">
        <f>IFERROR(__xludf.DUMMYFUNCTION("""COMPUTED_VALUE"""),3.58)</f>
        <v>3.58</v>
      </c>
      <c r="D469">
        <f>IFERROR(__xludf.DUMMYFUNCTION("""COMPUTED_VALUE"""),6.89)</f>
        <v>6.89</v>
      </c>
      <c r="E469">
        <f>IFERROR(__xludf.DUMMYFUNCTION("""COMPUTED_VALUE"""),18.37)</f>
        <v>18.37</v>
      </c>
      <c r="F469">
        <f>IFERROR(__xludf.DUMMYFUNCTION("""COMPUTED_VALUE"""),20.0)</f>
        <v>20</v>
      </c>
      <c r="G469">
        <f>IFERROR(__xludf.DUMMYFUNCTION("""COMPUTED_VALUE"""),20.05)</f>
        <v>20.05</v>
      </c>
      <c r="H469">
        <f>IFERROR(__xludf.DUMMYFUNCTION("""COMPUTED_VALUE"""),60.42)</f>
        <v>60.42</v>
      </c>
      <c r="I469">
        <f>IFERROR(__xludf.DUMMYFUNCTION("""COMPUTED_VALUE"""),545.11)</f>
        <v>545.11</v>
      </c>
      <c r="J469">
        <f>IFERROR(__xludf.DUMMYFUNCTION("""COMPUTED_VALUE"""),22.58)</f>
        <v>22.58</v>
      </c>
      <c r="K469">
        <f>IFERROR(__xludf.DUMMYFUNCTION("""COMPUTED_VALUE"""),0.11)</f>
        <v>0.11</v>
      </c>
      <c r="L469">
        <f>IFERROR(__xludf.DUMMYFUNCTION("""COMPUTED_VALUE"""),0.26)</f>
        <v>0.26</v>
      </c>
      <c r="M469">
        <f>IFERROR(__xludf.DUMMYFUNCTION("""COMPUTED_VALUE"""),4.68)</f>
        <v>4.68</v>
      </c>
      <c r="N469">
        <f>IFERROR(__xludf.DUMMYFUNCTION("""COMPUTED_VALUE"""),2.47)</f>
        <v>2.47</v>
      </c>
      <c r="O469">
        <f>IFERROR(__xludf.DUMMYFUNCTION("""COMPUTED_VALUE"""),0.37)</f>
        <v>0.37</v>
      </c>
    </row>
    <row r="470">
      <c r="A470" t="str">
        <f>IFERROR(__xludf.DUMMYFUNCTION("""COMPUTED_VALUE"""),"Pollet")</f>
        <v>Pollet</v>
      </c>
      <c r="B470" t="str">
        <f>IFERROR(__xludf.DUMMYFUNCTION("""COMPUTED_VALUE"""),"Lisette Pollet")</f>
        <v>Lisette Pollet</v>
      </c>
      <c r="C470">
        <f>IFERROR(__xludf.DUMMYFUNCTION("""COMPUTED_VALUE"""),4.0)</f>
        <v>4</v>
      </c>
      <c r="D470">
        <f>IFERROR(__xludf.DUMMYFUNCTION("""COMPUTED_VALUE"""),7.21)</f>
        <v>7.21</v>
      </c>
      <c r="E470">
        <f>IFERROR(__xludf.DUMMYFUNCTION("""COMPUTED_VALUE"""),3.53)</f>
        <v>3.53</v>
      </c>
      <c r="F470">
        <f>IFERROR(__xludf.DUMMYFUNCTION("""COMPUTED_VALUE"""),1.58)</f>
        <v>1.58</v>
      </c>
      <c r="G470">
        <f>IFERROR(__xludf.DUMMYFUNCTION("""COMPUTED_VALUE"""),0.58)</f>
        <v>0.58</v>
      </c>
      <c r="H470">
        <f>IFERROR(__xludf.DUMMYFUNCTION("""COMPUTED_VALUE"""),3.26)</f>
        <v>3.26</v>
      </c>
      <c r="I470">
        <f>IFERROR(__xludf.DUMMYFUNCTION("""COMPUTED_VALUE"""),455.11)</f>
        <v>455.11</v>
      </c>
      <c r="J470">
        <f>IFERROR(__xludf.DUMMYFUNCTION("""COMPUTED_VALUE"""),5.42)</f>
        <v>5.42</v>
      </c>
      <c r="K470">
        <f>IFERROR(__xludf.DUMMYFUNCTION("""COMPUTED_VALUE"""),0.0)</f>
        <v>0</v>
      </c>
      <c r="L470">
        <f>IFERROR(__xludf.DUMMYFUNCTION("""COMPUTED_VALUE"""),0.0)</f>
        <v>0</v>
      </c>
      <c r="M470">
        <f>IFERROR(__xludf.DUMMYFUNCTION("""COMPUTED_VALUE"""),6.95)</f>
        <v>6.95</v>
      </c>
      <c r="N470">
        <f>IFERROR(__xludf.DUMMYFUNCTION("""COMPUTED_VALUE"""),1.68)</f>
        <v>1.68</v>
      </c>
      <c r="O470">
        <f>IFERROR(__xludf.DUMMYFUNCTION("""COMPUTED_VALUE"""),0.16)</f>
        <v>0.16</v>
      </c>
    </row>
    <row r="471">
      <c r="A471" t="str">
        <f>IFERROR(__xludf.DUMMYFUNCTION("""COMPUTED_VALUE"""),"Pompili")</f>
        <v>Pompili</v>
      </c>
      <c r="B471" t="str">
        <f>IFERROR(__xludf.DUMMYFUNCTION("""COMPUTED_VALUE"""),"Barbara Pompili")</f>
        <v>Barbara Pompili</v>
      </c>
      <c r="C471">
        <f>IFERROR(__xludf.DUMMYFUNCTION("""COMPUTED_VALUE"""),2.18)</f>
        <v>2.18</v>
      </c>
      <c r="D471">
        <f>IFERROR(__xludf.DUMMYFUNCTION("""COMPUTED_VALUE"""),3.45)</f>
        <v>3.45</v>
      </c>
      <c r="E471">
        <f>IFERROR(__xludf.DUMMYFUNCTION("""COMPUTED_VALUE"""),5.55)</f>
        <v>5.55</v>
      </c>
      <c r="F471">
        <f>IFERROR(__xludf.DUMMYFUNCTION("""COMPUTED_VALUE"""),7.64)</f>
        <v>7.64</v>
      </c>
      <c r="G471">
        <f>IFERROR(__xludf.DUMMYFUNCTION("""COMPUTED_VALUE"""),5.73)</f>
        <v>5.73</v>
      </c>
      <c r="H471">
        <f>IFERROR(__xludf.DUMMYFUNCTION("""COMPUTED_VALUE"""),5.73)</f>
        <v>5.73</v>
      </c>
      <c r="I471">
        <f>IFERROR(__xludf.DUMMYFUNCTION("""COMPUTED_VALUE"""),69.82)</f>
        <v>69.82</v>
      </c>
      <c r="J471">
        <f>IFERROR(__xludf.DUMMYFUNCTION("""COMPUTED_VALUE"""),16.64)</f>
        <v>16.64</v>
      </c>
      <c r="K471">
        <f>IFERROR(__xludf.DUMMYFUNCTION("""COMPUTED_VALUE"""),0.18)</f>
        <v>0.18</v>
      </c>
      <c r="L471">
        <f>IFERROR(__xludf.DUMMYFUNCTION("""COMPUTED_VALUE"""),0.0)</f>
        <v>0</v>
      </c>
      <c r="M471">
        <f>IFERROR(__xludf.DUMMYFUNCTION("""COMPUTED_VALUE"""),3.09)</f>
        <v>3.09</v>
      </c>
      <c r="N471">
        <f>IFERROR(__xludf.DUMMYFUNCTION("""COMPUTED_VALUE"""),1.0)</f>
        <v>1</v>
      </c>
      <c r="O471">
        <f>IFERROR(__xludf.DUMMYFUNCTION("""COMPUTED_VALUE"""),0.0)</f>
        <v>0</v>
      </c>
    </row>
    <row r="472">
      <c r="A472" t="str">
        <f>IFERROR(__xludf.DUMMYFUNCTION("""COMPUTED_VALUE"""),"Pont")</f>
        <v>Pont</v>
      </c>
      <c r="B472" t="str">
        <f>IFERROR(__xludf.DUMMYFUNCTION("""COMPUTED_VALUE"""),"Jean-Pierre Pont")</f>
        <v>Jean-Pierre Pont</v>
      </c>
      <c r="C472">
        <f>IFERROR(__xludf.DUMMYFUNCTION("""COMPUTED_VALUE"""),4.21)</f>
        <v>4.21</v>
      </c>
      <c r="D472">
        <f>IFERROR(__xludf.DUMMYFUNCTION("""COMPUTED_VALUE"""),9.47)</f>
        <v>9.47</v>
      </c>
      <c r="E472">
        <f>IFERROR(__xludf.DUMMYFUNCTION("""COMPUTED_VALUE"""),2.16)</f>
        <v>2.16</v>
      </c>
      <c r="F472">
        <f>IFERROR(__xludf.DUMMYFUNCTION("""COMPUTED_VALUE"""),0.47)</f>
        <v>0.47</v>
      </c>
      <c r="G472">
        <f>IFERROR(__xludf.DUMMYFUNCTION("""COMPUTED_VALUE"""),0.05)</f>
        <v>0.05</v>
      </c>
      <c r="H472">
        <f>IFERROR(__xludf.DUMMYFUNCTION("""COMPUTED_VALUE"""),0.05)</f>
        <v>0.05</v>
      </c>
      <c r="I472">
        <f>IFERROR(__xludf.DUMMYFUNCTION("""COMPUTED_VALUE"""),66.63)</f>
        <v>66.63</v>
      </c>
      <c r="J472">
        <f>IFERROR(__xludf.DUMMYFUNCTION("""COMPUTED_VALUE"""),19.42)</f>
        <v>19.42</v>
      </c>
      <c r="K472">
        <f>IFERROR(__xludf.DUMMYFUNCTION("""COMPUTED_VALUE"""),0.0)</f>
        <v>0</v>
      </c>
      <c r="L472">
        <f>IFERROR(__xludf.DUMMYFUNCTION("""COMPUTED_VALUE"""),0.0)</f>
        <v>0</v>
      </c>
      <c r="M472">
        <f>IFERROR(__xludf.DUMMYFUNCTION("""COMPUTED_VALUE"""),2.32)</f>
        <v>2.32</v>
      </c>
      <c r="N472">
        <f>IFERROR(__xludf.DUMMYFUNCTION("""COMPUTED_VALUE"""),1.16)</f>
        <v>1.16</v>
      </c>
      <c r="O472">
        <f>IFERROR(__xludf.DUMMYFUNCTION("""COMPUTED_VALUE"""),0.32)</f>
        <v>0.32</v>
      </c>
    </row>
    <row r="473">
      <c r="A473" t="str">
        <f>IFERROR(__xludf.DUMMYFUNCTION("""COMPUTED_VALUE"""),"Portarrieu")</f>
        <v>Portarrieu</v>
      </c>
      <c r="B473" t="str">
        <f>IFERROR(__xludf.DUMMYFUNCTION("""COMPUTED_VALUE"""),"Jean-François Portarrieu")</f>
        <v>Jean-François Portarrieu</v>
      </c>
      <c r="C473">
        <f>IFERROR(__xludf.DUMMYFUNCTION("""COMPUTED_VALUE"""),3.58)</f>
        <v>3.58</v>
      </c>
      <c r="D473">
        <f>IFERROR(__xludf.DUMMYFUNCTION("""COMPUTED_VALUE"""),6.11)</f>
        <v>6.11</v>
      </c>
      <c r="E473">
        <f>IFERROR(__xludf.DUMMYFUNCTION("""COMPUTED_VALUE"""),4.63)</f>
        <v>4.63</v>
      </c>
      <c r="F473">
        <f>IFERROR(__xludf.DUMMYFUNCTION("""COMPUTED_VALUE"""),1.16)</f>
        <v>1.16</v>
      </c>
      <c r="G473">
        <f>IFERROR(__xludf.DUMMYFUNCTION("""COMPUTED_VALUE"""),0.05)</f>
        <v>0.05</v>
      </c>
      <c r="H473">
        <f>IFERROR(__xludf.DUMMYFUNCTION("""COMPUTED_VALUE"""),0.21)</f>
        <v>0.21</v>
      </c>
      <c r="I473">
        <f>IFERROR(__xludf.DUMMYFUNCTION("""COMPUTED_VALUE"""),46.11)</f>
        <v>46.11</v>
      </c>
      <c r="J473">
        <f>IFERROR(__xludf.DUMMYFUNCTION("""COMPUTED_VALUE"""),12.79)</f>
        <v>12.79</v>
      </c>
      <c r="K473">
        <f>IFERROR(__xludf.DUMMYFUNCTION("""COMPUTED_VALUE"""),0.21)</f>
        <v>0.21</v>
      </c>
      <c r="L473">
        <f>IFERROR(__xludf.DUMMYFUNCTION("""COMPUTED_VALUE"""),0.0)</f>
        <v>0</v>
      </c>
      <c r="M473">
        <f>IFERROR(__xludf.DUMMYFUNCTION("""COMPUTED_VALUE"""),1.26)</f>
        <v>1.26</v>
      </c>
      <c r="N473">
        <f>IFERROR(__xludf.DUMMYFUNCTION("""COMPUTED_VALUE"""),1.68)</f>
        <v>1.68</v>
      </c>
      <c r="O473">
        <f>IFERROR(__xludf.DUMMYFUNCTION("""COMPUTED_VALUE"""),0.32)</f>
        <v>0.32</v>
      </c>
    </row>
    <row r="474">
      <c r="A474" t="str">
        <f>IFERROR(__xludf.DUMMYFUNCTION("""COMPUTED_VALUE"""),"Portes")</f>
        <v>Portes</v>
      </c>
      <c r="B474" t="str">
        <f>IFERROR(__xludf.DUMMYFUNCTION("""COMPUTED_VALUE"""),"Thomas Portes")</f>
        <v>Thomas Portes</v>
      </c>
      <c r="C474">
        <f>IFERROR(__xludf.DUMMYFUNCTION("""COMPUTED_VALUE"""),3.68)</f>
        <v>3.68</v>
      </c>
      <c r="D474">
        <f>IFERROR(__xludf.DUMMYFUNCTION("""COMPUTED_VALUE"""),5.26)</f>
        <v>5.26</v>
      </c>
      <c r="E474">
        <f>IFERROR(__xludf.DUMMYFUNCTION("""COMPUTED_VALUE"""),6.74)</f>
        <v>6.74</v>
      </c>
      <c r="F474">
        <f>IFERROR(__xludf.DUMMYFUNCTION("""COMPUTED_VALUE"""),14.79)</f>
        <v>14.79</v>
      </c>
      <c r="G474">
        <f>IFERROR(__xludf.DUMMYFUNCTION("""COMPUTED_VALUE"""),6.84)</f>
        <v>6.84</v>
      </c>
      <c r="H474">
        <f>IFERROR(__xludf.DUMMYFUNCTION("""COMPUTED_VALUE"""),18.32)</f>
        <v>18.32</v>
      </c>
      <c r="I474">
        <f>IFERROR(__xludf.DUMMYFUNCTION("""COMPUTED_VALUE"""),900.11)</f>
        <v>900.11</v>
      </c>
      <c r="J474">
        <f>IFERROR(__xludf.DUMMYFUNCTION("""COMPUTED_VALUE"""),28.68)</f>
        <v>28.68</v>
      </c>
      <c r="K474">
        <f>IFERROR(__xludf.DUMMYFUNCTION("""COMPUTED_VALUE"""),0.05)</f>
        <v>0.05</v>
      </c>
      <c r="L474">
        <f>IFERROR(__xludf.DUMMYFUNCTION("""COMPUTED_VALUE"""),0.32)</f>
        <v>0.32</v>
      </c>
      <c r="M474">
        <f>IFERROR(__xludf.DUMMYFUNCTION("""COMPUTED_VALUE"""),7.74)</f>
        <v>7.74</v>
      </c>
      <c r="N474">
        <f>IFERROR(__xludf.DUMMYFUNCTION("""COMPUTED_VALUE"""),2.53)</f>
        <v>2.53</v>
      </c>
      <c r="O474">
        <f>IFERROR(__xludf.DUMMYFUNCTION("""COMPUTED_VALUE"""),0.32)</f>
        <v>0.32</v>
      </c>
    </row>
    <row r="475">
      <c r="A475" t="str">
        <f>IFERROR(__xludf.DUMMYFUNCTION("""COMPUTED_VALUE"""),"Portier")</f>
        <v>Portier</v>
      </c>
      <c r="B475" t="str">
        <f>IFERROR(__xludf.DUMMYFUNCTION("""COMPUTED_VALUE"""),"Alexandre Portier")</f>
        <v>Alexandre Portier</v>
      </c>
      <c r="C475">
        <f>IFERROR(__xludf.DUMMYFUNCTION("""COMPUTED_VALUE"""),3.74)</f>
        <v>3.74</v>
      </c>
      <c r="D475">
        <f>IFERROR(__xludf.DUMMYFUNCTION("""COMPUTED_VALUE"""),7.26)</f>
        <v>7.26</v>
      </c>
      <c r="E475">
        <f>IFERROR(__xludf.DUMMYFUNCTION("""COMPUTED_VALUE"""),8.11)</f>
        <v>8.11</v>
      </c>
      <c r="F475">
        <f>IFERROR(__xludf.DUMMYFUNCTION("""COMPUTED_VALUE"""),5.16)</f>
        <v>5.16</v>
      </c>
      <c r="G475">
        <f>IFERROR(__xludf.DUMMYFUNCTION("""COMPUTED_VALUE"""),2.37)</f>
        <v>2.37</v>
      </c>
      <c r="H475">
        <f>IFERROR(__xludf.DUMMYFUNCTION("""COMPUTED_VALUE"""),21.68)</f>
        <v>21.68</v>
      </c>
      <c r="I475">
        <f>IFERROR(__xludf.DUMMYFUNCTION("""COMPUTED_VALUE"""),258.95)</f>
        <v>258.95</v>
      </c>
      <c r="J475">
        <f>IFERROR(__xludf.DUMMYFUNCTION("""COMPUTED_VALUE"""),10.11)</f>
        <v>10.11</v>
      </c>
      <c r="K475">
        <f>IFERROR(__xludf.DUMMYFUNCTION("""COMPUTED_VALUE"""),0.11)</f>
        <v>0.11</v>
      </c>
      <c r="L475">
        <f>IFERROR(__xludf.DUMMYFUNCTION("""COMPUTED_VALUE"""),0.16)</f>
        <v>0.16</v>
      </c>
      <c r="M475">
        <f>IFERROR(__xludf.DUMMYFUNCTION("""COMPUTED_VALUE"""),8.37)</f>
        <v>8.37</v>
      </c>
      <c r="N475">
        <f>IFERROR(__xludf.DUMMYFUNCTION("""COMPUTED_VALUE"""),1.0)</f>
        <v>1</v>
      </c>
      <c r="O475">
        <f>IFERROR(__xludf.DUMMYFUNCTION("""COMPUTED_VALUE"""),0.32)</f>
        <v>0.32</v>
      </c>
    </row>
    <row r="476">
      <c r="A476" t="str">
        <f>IFERROR(__xludf.DUMMYFUNCTION("""COMPUTED_VALUE"""),"Potier")</f>
        <v>Potier</v>
      </c>
      <c r="B476" t="str">
        <f>IFERROR(__xludf.DUMMYFUNCTION("""COMPUTED_VALUE"""),"Dominique Potier")</f>
        <v>Dominique Potier</v>
      </c>
      <c r="C476">
        <f>IFERROR(__xludf.DUMMYFUNCTION("""COMPUTED_VALUE"""),3.95)</f>
        <v>3.95</v>
      </c>
      <c r="D476">
        <f>IFERROR(__xludf.DUMMYFUNCTION("""COMPUTED_VALUE"""),9.21)</f>
        <v>9.21</v>
      </c>
      <c r="E476">
        <f>IFERROR(__xludf.DUMMYFUNCTION("""COMPUTED_VALUE"""),39.37)</f>
        <v>39.37</v>
      </c>
      <c r="F476">
        <f>IFERROR(__xludf.DUMMYFUNCTION("""COMPUTED_VALUE"""),29.68)</f>
        <v>29.68</v>
      </c>
      <c r="G476">
        <f>IFERROR(__xludf.DUMMYFUNCTION("""COMPUTED_VALUE"""),15.42)</f>
        <v>15.42</v>
      </c>
      <c r="H476">
        <f>IFERROR(__xludf.DUMMYFUNCTION("""COMPUTED_VALUE"""),51.21)</f>
        <v>51.21</v>
      </c>
      <c r="I476">
        <f>IFERROR(__xludf.DUMMYFUNCTION("""COMPUTED_VALUE"""),491.68)</f>
        <v>491.68</v>
      </c>
      <c r="J476">
        <f>IFERROR(__xludf.DUMMYFUNCTION("""COMPUTED_VALUE"""),26.0)</f>
        <v>26</v>
      </c>
      <c r="K476">
        <f>IFERROR(__xludf.DUMMYFUNCTION("""COMPUTED_VALUE"""),0.11)</f>
        <v>0.11</v>
      </c>
      <c r="L476">
        <f>IFERROR(__xludf.DUMMYFUNCTION("""COMPUTED_VALUE"""),0.42)</f>
        <v>0.42</v>
      </c>
      <c r="M476">
        <f>IFERROR(__xludf.DUMMYFUNCTION("""COMPUTED_VALUE"""),3.95)</f>
        <v>3.95</v>
      </c>
      <c r="N476">
        <f>IFERROR(__xludf.DUMMYFUNCTION("""COMPUTED_VALUE"""),3.47)</f>
        <v>3.47</v>
      </c>
      <c r="O476">
        <f>IFERROR(__xludf.DUMMYFUNCTION("""COMPUTED_VALUE"""),0.21)</f>
        <v>0.21</v>
      </c>
    </row>
    <row r="477">
      <c r="A477" t="str">
        <f>IFERROR(__xludf.DUMMYFUNCTION("""COMPUTED_VALUE"""),"Poueyto")</f>
        <v>Poueyto</v>
      </c>
      <c r="B477" t="str">
        <f>IFERROR(__xludf.DUMMYFUNCTION("""COMPUTED_VALUE"""),"Josy Poueyto")</f>
        <v>Josy Poueyto</v>
      </c>
      <c r="C477">
        <f>IFERROR(__xludf.DUMMYFUNCTION("""COMPUTED_VALUE"""),2.89)</f>
        <v>2.89</v>
      </c>
      <c r="D477">
        <f>IFERROR(__xludf.DUMMYFUNCTION("""COMPUTED_VALUE"""),5.58)</f>
        <v>5.58</v>
      </c>
      <c r="E477">
        <f>IFERROR(__xludf.DUMMYFUNCTION("""COMPUTED_VALUE"""),3.05)</f>
        <v>3.05</v>
      </c>
      <c r="F477">
        <f>IFERROR(__xludf.DUMMYFUNCTION("""COMPUTED_VALUE"""),1.0)</f>
        <v>1</v>
      </c>
      <c r="G477">
        <f>IFERROR(__xludf.DUMMYFUNCTION("""COMPUTED_VALUE"""),0.32)</f>
        <v>0.32</v>
      </c>
      <c r="H477">
        <f>IFERROR(__xludf.DUMMYFUNCTION("""COMPUTED_VALUE"""),0.95)</f>
        <v>0.95</v>
      </c>
      <c r="I477">
        <f>IFERROR(__xludf.DUMMYFUNCTION("""COMPUTED_VALUE"""),69.63)</f>
        <v>69.63</v>
      </c>
      <c r="J477">
        <f>IFERROR(__xludf.DUMMYFUNCTION("""COMPUTED_VALUE"""),14.21)</f>
        <v>14.21</v>
      </c>
      <c r="K477">
        <f>IFERROR(__xludf.DUMMYFUNCTION("""COMPUTED_VALUE"""),0.0)</f>
        <v>0</v>
      </c>
      <c r="L477">
        <f>IFERROR(__xludf.DUMMYFUNCTION("""COMPUTED_VALUE"""),0.0)</f>
        <v>0</v>
      </c>
      <c r="M477">
        <f>IFERROR(__xludf.DUMMYFUNCTION("""COMPUTED_VALUE"""),0.84)</f>
        <v>0.84</v>
      </c>
      <c r="N477">
        <f>IFERROR(__xludf.DUMMYFUNCTION("""COMPUTED_VALUE"""),0.63)</f>
        <v>0.63</v>
      </c>
      <c r="O477">
        <f>IFERROR(__xludf.DUMMYFUNCTION("""COMPUTED_VALUE"""),0.16)</f>
        <v>0.16</v>
      </c>
    </row>
    <row r="478">
      <c r="A478" t="str">
        <f>IFERROR(__xludf.DUMMYFUNCTION("""COMPUTED_VALUE"""),"Poulliat")</f>
        <v>Poulliat</v>
      </c>
      <c r="B478" t="str">
        <f>IFERROR(__xludf.DUMMYFUNCTION("""COMPUTED_VALUE"""),"Éric Poulliat")</f>
        <v>Éric Poulliat</v>
      </c>
      <c r="C478">
        <f>IFERROR(__xludf.DUMMYFUNCTION("""COMPUTED_VALUE"""),3.47)</f>
        <v>3.47</v>
      </c>
      <c r="D478">
        <f>IFERROR(__xludf.DUMMYFUNCTION("""COMPUTED_VALUE"""),5.16)</f>
        <v>5.16</v>
      </c>
      <c r="E478">
        <f>IFERROR(__xludf.DUMMYFUNCTION("""COMPUTED_VALUE"""),4.58)</f>
        <v>4.58</v>
      </c>
      <c r="F478">
        <f>IFERROR(__xludf.DUMMYFUNCTION("""COMPUTED_VALUE"""),1.95)</f>
        <v>1.95</v>
      </c>
      <c r="G478">
        <f>IFERROR(__xludf.DUMMYFUNCTION("""COMPUTED_VALUE"""),3.21)</f>
        <v>3.21</v>
      </c>
      <c r="H478">
        <f>IFERROR(__xludf.DUMMYFUNCTION("""COMPUTED_VALUE"""),2.32)</f>
        <v>2.32</v>
      </c>
      <c r="I478">
        <f>IFERROR(__xludf.DUMMYFUNCTION("""COMPUTED_VALUE"""),54.95)</f>
        <v>54.95</v>
      </c>
      <c r="J478">
        <f>IFERROR(__xludf.DUMMYFUNCTION("""COMPUTED_VALUE"""),18.05)</f>
        <v>18.05</v>
      </c>
      <c r="K478">
        <f>IFERROR(__xludf.DUMMYFUNCTION("""COMPUTED_VALUE"""),0.16)</f>
        <v>0.16</v>
      </c>
      <c r="L478">
        <f>IFERROR(__xludf.DUMMYFUNCTION("""COMPUTED_VALUE"""),0.11)</f>
        <v>0.11</v>
      </c>
      <c r="M478">
        <f>IFERROR(__xludf.DUMMYFUNCTION("""COMPUTED_VALUE"""),2.32)</f>
        <v>2.32</v>
      </c>
      <c r="N478">
        <f>IFERROR(__xludf.DUMMYFUNCTION("""COMPUTED_VALUE"""),0.42)</f>
        <v>0.42</v>
      </c>
      <c r="O478">
        <f>IFERROR(__xludf.DUMMYFUNCTION("""COMPUTED_VALUE"""),0.11)</f>
        <v>0.11</v>
      </c>
    </row>
    <row r="479">
      <c r="A479" t="str">
        <f>IFERROR(__xludf.DUMMYFUNCTION("""COMPUTED_VALUE"""),"Poussier-Winsback")</f>
        <v>Poussier-Winsback</v>
      </c>
      <c r="B479" t="str">
        <f>IFERROR(__xludf.DUMMYFUNCTION("""COMPUTED_VALUE"""),"Marie-Agnès Poussier-Winsback")</f>
        <v>Marie-Agnès Poussier-Winsback</v>
      </c>
      <c r="C479">
        <f>IFERROR(__xludf.DUMMYFUNCTION("""COMPUTED_VALUE"""),4.0)</f>
        <v>4</v>
      </c>
      <c r="D479">
        <f>IFERROR(__xludf.DUMMYFUNCTION("""COMPUTED_VALUE"""),7.11)</f>
        <v>7.11</v>
      </c>
      <c r="E479">
        <f>IFERROR(__xludf.DUMMYFUNCTION("""COMPUTED_VALUE"""),8.16)</f>
        <v>8.16</v>
      </c>
      <c r="F479">
        <f>IFERROR(__xludf.DUMMYFUNCTION("""COMPUTED_VALUE"""),9.89)</f>
        <v>9.89</v>
      </c>
      <c r="G479">
        <f>IFERROR(__xludf.DUMMYFUNCTION("""COMPUTED_VALUE"""),6.05)</f>
        <v>6.05</v>
      </c>
      <c r="H479">
        <f>IFERROR(__xludf.DUMMYFUNCTION("""COMPUTED_VALUE"""),5.79)</f>
        <v>5.79</v>
      </c>
      <c r="I479">
        <f>IFERROR(__xludf.DUMMYFUNCTION("""COMPUTED_VALUE"""),65.58)</f>
        <v>65.58</v>
      </c>
      <c r="J479">
        <f>IFERROR(__xludf.DUMMYFUNCTION("""COMPUTED_VALUE"""),16.05)</f>
        <v>16.05</v>
      </c>
      <c r="K479">
        <f>IFERROR(__xludf.DUMMYFUNCTION("""COMPUTED_VALUE"""),0.26)</f>
        <v>0.26</v>
      </c>
      <c r="L479">
        <f>IFERROR(__xludf.DUMMYFUNCTION("""COMPUTED_VALUE"""),0.05)</f>
        <v>0.05</v>
      </c>
      <c r="M479">
        <f>IFERROR(__xludf.DUMMYFUNCTION("""COMPUTED_VALUE"""),2.05)</f>
        <v>2.05</v>
      </c>
      <c r="N479">
        <f>IFERROR(__xludf.DUMMYFUNCTION("""COMPUTED_VALUE"""),2.11)</f>
        <v>2.11</v>
      </c>
      <c r="O479">
        <f>IFERROR(__xludf.DUMMYFUNCTION("""COMPUTED_VALUE"""),0.42)</f>
        <v>0.42</v>
      </c>
    </row>
    <row r="480">
      <c r="A480" t="str">
        <f>IFERROR(__xludf.DUMMYFUNCTION("""COMPUTED_VALUE"""),"Pouzyreff")</f>
        <v>Pouzyreff</v>
      </c>
      <c r="B480" t="str">
        <f>IFERROR(__xludf.DUMMYFUNCTION("""COMPUTED_VALUE"""),"Natalia Pouzyreff")</f>
        <v>Natalia Pouzyreff</v>
      </c>
      <c r="C480">
        <f>IFERROR(__xludf.DUMMYFUNCTION("""COMPUTED_VALUE"""),3.58)</f>
        <v>3.58</v>
      </c>
      <c r="D480">
        <f>IFERROR(__xludf.DUMMYFUNCTION("""COMPUTED_VALUE"""),7.05)</f>
        <v>7.05</v>
      </c>
      <c r="E480">
        <f>IFERROR(__xludf.DUMMYFUNCTION("""COMPUTED_VALUE"""),5.63)</f>
        <v>5.63</v>
      </c>
      <c r="F480">
        <f>IFERROR(__xludf.DUMMYFUNCTION("""COMPUTED_VALUE"""),1.84)</f>
        <v>1.84</v>
      </c>
      <c r="G480">
        <f>IFERROR(__xludf.DUMMYFUNCTION("""COMPUTED_VALUE"""),13.58)</f>
        <v>13.58</v>
      </c>
      <c r="H480">
        <f>IFERROR(__xludf.DUMMYFUNCTION("""COMPUTED_VALUE"""),3.26)</f>
        <v>3.26</v>
      </c>
      <c r="I480">
        <f>IFERROR(__xludf.DUMMYFUNCTION("""COMPUTED_VALUE"""),50.79)</f>
        <v>50.79</v>
      </c>
      <c r="J480">
        <f>IFERROR(__xludf.DUMMYFUNCTION("""COMPUTED_VALUE"""),14.53)</f>
        <v>14.53</v>
      </c>
      <c r="K480">
        <f>IFERROR(__xludf.DUMMYFUNCTION("""COMPUTED_VALUE"""),0.05)</f>
        <v>0.05</v>
      </c>
      <c r="L480">
        <f>IFERROR(__xludf.DUMMYFUNCTION("""COMPUTED_VALUE"""),0.11)</f>
        <v>0.11</v>
      </c>
      <c r="M480">
        <f>IFERROR(__xludf.DUMMYFUNCTION("""COMPUTED_VALUE"""),2.11)</f>
        <v>2.11</v>
      </c>
      <c r="N480">
        <f>IFERROR(__xludf.DUMMYFUNCTION("""COMPUTED_VALUE"""),0.11)</f>
        <v>0.11</v>
      </c>
      <c r="O480">
        <f>IFERROR(__xludf.DUMMYFUNCTION("""COMPUTED_VALUE"""),0.11)</f>
        <v>0.11</v>
      </c>
    </row>
    <row r="481">
      <c r="A481" t="str">
        <f>IFERROR(__xludf.DUMMYFUNCTION("""COMPUTED_VALUE"""),"Pradal")</f>
        <v>Pradal</v>
      </c>
      <c r="B481" t="str">
        <f>IFERROR(__xludf.DUMMYFUNCTION("""COMPUTED_VALUE"""),"Philippe Pradal")</f>
        <v>Philippe Pradal</v>
      </c>
      <c r="C481">
        <f>IFERROR(__xludf.DUMMYFUNCTION("""COMPUTED_VALUE"""),3.74)</f>
        <v>3.74</v>
      </c>
      <c r="D481">
        <f>IFERROR(__xludf.DUMMYFUNCTION("""COMPUTED_VALUE"""),6.95)</f>
        <v>6.95</v>
      </c>
      <c r="E481">
        <f>IFERROR(__xludf.DUMMYFUNCTION("""COMPUTED_VALUE"""),13.0)</f>
        <v>13</v>
      </c>
      <c r="F481">
        <f>IFERROR(__xludf.DUMMYFUNCTION("""COMPUTED_VALUE"""),7.89)</f>
        <v>7.89</v>
      </c>
      <c r="G481">
        <f>IFERROR(__xludf.DUMMYFUNCTION("""COMPUTED_VALUE"""),0.53)</f>
        <v>0.53</v>
      </c>
      <c r="H481">
        <f>IFERROR(__xludf.DUMMYFUNCTION("""COMPUTED_VALUE"""),10.47)</f>
        <v>10.47</v>
      </c>
      <c r="I481">
        <f>IFERROR(__xludf.DUMMYFUNCTION("""COMPUTED_VALUE"""),80.0)</f>
        <v>80</v>
      </c>
      <c r="J481">
        <f>IFERROR(__xludf.DUMMYFUNCTION("""COMPUTED_VALUE"""),31.37)</f>
        <v>31.37</v>
      </c>
      <c r="K481">
        <f>IFERROR(__xludf.DUMMYFUNCTION("""COMPUTED_VALUE"""),0.42)</f>
        <v>0.42</v>
      </c>
      <c r="L481">
        <f>IFERROR(__xludf.DUMMYFUNCTION("""COMPUTED_VALUE"""),0.21)</f>
        <v>0.21</v>
      </c>
      <c r="M481">
        <f>IFERROR(__xludf.DUMMYFUNCTION("""COMPUTED_VALUE"""),2.53)</f>
        <v>2.53</v>
      </c>
      <c r="N481">
        <f>IFERROR(__xludf.DUMMYFUNCTION("""COMPUTED_VALUE"""),1.11)</f>
        <v>1.11</v>
      </c>
      <c r="O481">
        <f>IFERROR(__xludf.DUMMYFUNCTION("""COMPUTED_VALUE"""),0.32)</f>
        <v>0.32</v>
      </c>
    </row>
    <row r="482">
      <c r="A482" t="str">
        <f>IFERROR(__xludf.DUMMYFUNCTION("""COMPUTED_VALUE"""),"Pradié")</f>
        <v>Pradié</v>
      </c>
      <c r="B482" t="str">
        <f>IFERROR(__xludf.DUMMYFUNCTION("""COMPUTED_VALUE"""),"Aurélien Pradié")</f>
        <v>Aurélien Pradié</v>
      </c>
      <c r="C482">
        <f>IFERROR(__xludf.DUMMYFUNCTION("""COMPUTED_VALUE"""),2.89)</f>
        <v>2.89</v>
      </c>
      <c r="D482">
        <f>IFERROR(__xludf.DUMMYFUNCTION("""COMPUTED_VALUE"""),1.32)</f>
        <v>1.32</v>
      </c>
      <c r="E482">
        <f>IFERROR(__xludf.DUMMYFUNCTION("""COMPUTED_VALUE"""),1.68)</f>
        <v>1.68</v>
      </c>
      <c r="F482">
        <f>IFERROR(__xludf.DUMMYFUNCTION("""COMPUTED_VALUE"""),8.37)</f>
        <v>8.37</v>
      </c>
      <c r="G482">
        <f>IFERROR(__xludf.DUMMYFUNCTION("""COMPUTED_VALUE"""),24.79)</f>
        <v>24.79</v>
      </c>
      <c r="H482">
        <f>IFERROR(__xludf.DUMMYFUNCTION("""COMPUTED_VALUE"""),6.26)</f>
        <v>6.26</v>
      </c>
      <c r="I482">
        <f>IFERROR(__xludf.DUMMYFUNCTION("""COMPUTED_VALUE"""),64.89)</f>
        <v>64.89</v>
      </c>
      <c r="J482">
        <f>IFERROR(__xludf.DUMMYFUNCTION("""COMPUTED_VALUE"""),4.74)</f>
        <v>4.74</v>
      </c>
      <c r="K482">
        <f>IFERROR(__xludf.DUMMYFUNCTION("""COMPUTED_VALUE"""),0.05)</f>
        <v>0.05</v>
      </c>
      <c r="L482">
        <f>IFERROR(__xludf.DUMMYFUNCTION("""COMPUTED_VALUE"""),0.32)</f>
        <v>0.32</v>
      </c>
      <c r="M482">
        <f>IFERROR(__xludf.DUMMYFUNCTION("""COMPUTED_VALUE"""),1.37)</f>
        <v>1.37</v>
      </c>
      <c r="N482">
        <f>IFERROR(__xludf.DUMMYFUNCTION("""COMPUTED_VALUE"""),0.79)</f>
        <v>0.79</v>
      </c>
      <c r="O482">
        <f>IFERROR(__xludf.DUMMYFUNCTION("""COMPUTED_VALUE"""),0.16)</f>
        <v>0.16</v>
      </c>
    </row>
    <row r="483">
      <c r="A483" t="str">
        <f>IFERROR(__xludf.DUMMYFUNCTION("""COMPUTED_VALUE"""),"Prud'homme")</f>
        <v>Prud'homme</v>
      </c>
      <c r="B483" t="str">
        <f>IFERROR(__xludf.DUMMYFUNCTION("""COMPUTED_VALUE"""),"Loïc Prud'homme")</f>
        <v>Loïc Prud'homme</v>
      </c>
      <c r="C483">
        <f>IFERROR(__xludf.DUMMYFUNCTION("""COMPUTED_VALUE"""),3.21)</f>
        <v>3.21</v>
      </c>
      <c r="D483">
        <f>IFERROR(__xludf.DUMMYFUNCTION("""COMPUTED_VALUE"""),5.42)</f>
        <v>5.42</v>
      </c>
      <c r="E483">
        <f>IFERROR(__xludf.DUMMYFUNCTION("""COMPUTED_VALUE"""),7.47)</f>
        <v>7.47</v>
      </c>
      <c r="F483">
        <f>IFERROR(__xludf.DUMMYFUNCTION("""COMPUTED_VALUE"""),9.26)</f>
        <v>9.26</v>
      </c>
      <c r="G483">
        <f>IFERROR(__xludf.DUMMYFUNCTION("""COMPUTED_VALUE"""),12.95)</f>
        <v>12.95</v>
      </c>
      <c r="H483">
        <f>IFERROR(__xludf.DUMMYFUNCTION("""COMPUTED_VALUE"""),24.26)</f>
        <v>24.26</v>
      </c>
      <c r="I483">
        <f>IFERROR(__xludf.DUMMYFUNCTION("""COMPUTED_VALUE"""),891.95)</f>
        <v>891.95</v>
      </c>
      <c r="J483">
        <f>IFERROR(__xludf.DUMMYFUNCTION("""COMPUTED_VALUE"""),28.84)</f>
        <v>28.84</v>
      </c>
      <c r="K483">
        <f>IFERROR(__xludf.DUMMYFUNCTION("""COMPUTED_VALUE"""),0.0)</f>
        <v>0</v>
      </c>
      <c r="L483">
        <f>IFERROR(__xludf.DUMMYFUNCTION("""COMPUTED_VALUE"""),0.26)</f>
        <v>0.26</v>
      </c>
      <c r="M483">
        <f>IFERROR(__xludf.DUMMYFUNCTION("""COMPUTED_VALUE"""),7.53)</f>
        <v>7.53</v>
      </c>
      <c r="N483">
        <f>IFERROR(__xludf.DUMMYFUNCTION("""COMPUTED_VALUE"""),1.89)</f>
        <v>1.89</v>
      </c>
      <c r="O483">
        <f>IFERROR(__xludf.DUMMYFUNCTION("""COMPUTED_VALUE"""),0.26)</f>
        <v>0.26</v>
      </c>
    </row>
    <row r="484">
      <c r="A484" t="str">
        <f>IFERROR(__xludf.DUMMYFUNCTION("""COMPUTED_VALUE"""),"Quatennens")</f>
        <v>Quatennens</v>
      </c>
      <c r="B484" t="str">
        <f>IFERROR(__xludf.DUMMYFUNCTION("""COMPUTED_VALUE"""),"Adrien Quatennens")</f>
        <v>Adrien Quatennens</v>
      </c>
      <c r="C484">
        <f>IFERROR(__xludf.DUMMYFUNCTION("""COMPUTED_VALUE"""),3.05)</f>
        <v>3.05</v>
      </c>
      <c r="D484">
        <f>IFERROR(__xludf.DUMMYFUNCTION("""COMPUTED_VALUE"""),3.74)</f>
        <v>3.74</v>
      </c>
      <c r="E484">
        <f>IFERROR(__xludf.DUMMYFUNCTION("""COMPUTED_VALUE"""),1.74)</f>
        <v>1.74</v>
      </c>
      <c r="F484">
        <f>IFERROR(__xludf.DUMMYFUNCTION("""COMPUTED_VALUE"""),7.53)</f>
        <v>7.53</v>
      </c>
      <c r="G484">
        <f>IFERROR(__xludf.DUMMYFUNCTION("""COMPUTED_VALUE"""),3.74)</f>
        <v>3.74</v>
      </c>
      <c r="H484">
        <f>IFERROR(__xludf.DUMMYFUNCTION("""COMPUTED_VALUE"""),6.42)</f>
        <v>6.42</v>
      </c>
      <c r="I484">
        <f>IFERROR(__xludf.DUMMYFUNCTION("""COMPUTED_VALUE"""),737.68)</f>
        <v>737.68</v>
      </c>
      <c r="J484">
        <f>IFERROR(__xludf.DUMMYFUNCTION("""COMPUTED_VALUE"""),25.0)</f>
        <v>25</v>
      </c>
      <c r="K484">
        <f>IFERROR(__xludf.DUMMYFUNCTION("""COMPUTED_VALUE"""),0.0)</f>
        <v>0</v>
      </c>
      <c r="L484">
        <f>IFERROR(__xludf.DUMMYFUNCTION("""COMPUTED_VALUE"""),0.05)</f>
        <v>0.05</v>
      </c>
      <c r="M484">
        <f>IFERROR(__xludf.DUMMYFUNCTION("""COMPUTED_VALUE"""),6.53)</f>
        <v>6.53</v>
      </c>
      <c r="N484">
        <f>IFERROR(__xludf.DUMMYFUNCTION("""COMPUTED_VALUE"""),2.26)</f>
        <v>2.26</v>
      </c>
      <c r="O484">
        <f>IFERROR(__xludf.DUMMYFUNCTION("""COMPUTED_VALUE"""),0.32)</f>
        <v>0.32</v>
      </c>
    </row>
    <row r="485">
      <c r="A485" t="str">
        <f>IFERROR(__xludf.DUMMYFUNCTION("""COMPUTED_VALUE"""),"Rabault")</f>
        <v>Rabault</v>
      </c>
      <c r="B485" t="str">
        <f>IFERROR(__xludf.DUMMYFUNCTION("""COMPUTED_VALUE"""),"Valérie Rabault")</f>
        <v>Valérie Rabault</v>
      </c>
      <c r="C485">
        <f>IFERROR(__xludf.DUMMYFUNCTION("""COMPUTED_VALUE"""),3.63)</f>
        <v>3.63</v>
      </c>
      <c r="D485">
        <f>IFERROR(__xludf.DUMMYFUNCTION("""COMPUTED_VALUE"""),4.79)</f>
        <v>4.79</v>
      </c>
      <c r="E485">
        <f>IFERROR(__xludf.DUMMYFUNCTION("""COMPUTED_VALUE"""),1.74)</f>
        <v>1.74</v>
      </c>
      <c r="F485">
        <f>IFERROR(__xludf.DUMMYFUNCTION("""COMPUTED_VALUE"""),162.79)</f>
        <v>162.79</v>
      </c>
      <c r="G485">
        <f>IFERROR(__xludf.DUMMYFUNCTION("""COMPUTED_VALUE"""),610.58)</f>
        <v>610.58</v>
      </c>
      <c r="H485">
        <f>IFERROR(__xludf.DUMMYFUNCTION("""COMPUTED_VALUE"""),11.95)</f>
        <v>11.95</v>
      </c>
      <c r="I485">
        <f>IFERROR(__xludf.DUMMYFUNCTION("""COMPUTED_VALUE"""),435.58)</f>
        <v>435.58</v>
      </c>
      <c r="J485">
        <f>IFERROR(__xludf.DUMMYFUNCTION("""COMPUTED_VALUE"""),21.74)</f>
        <v>21.74</v>
      </c>
      <c r="K485">
        <f>IFERROR(__xludf.DUMMYFUNCTION("""COMPUTED_VALUE"""),0.05)</f>
        <v>0.05</v>
      </c>
      <c r="L485">
        <f>IFERROR(__xludf.DUMMYFUNCTION("""COMPUTED_VALUE"""),0.32)</f>
        <v>0.32</v>
      </c>
      <c r="M485">
        <f>IFERROR(__xludf.DUMMYFUNCTION("""COMPUTED_VALUE"""),3.74)</f>
        <v>3.74</v>
      </c>
      <c r="N485">
        <f>IFERROR(__xludf.DUMMYFUNCTION("""COMPUTED_VALUE"""),2.11)</f>
        <v>2.11</v>
      </c>
      <c r="O485">
        <f>IFERROR(__xludf.DUMMYFUNCTION("""COMPUTED_VALUE"""),0.21)</f>
        <v>0.21</v>
      </c>
    </row>
    <row r="486">
      <c r="A486" t="str">
        <f>IFERROR(__xludf.DUMMYFUNCTION("""COMPUTED_VALUE"""),"Rambaud")</f>
        <v>Rambaud</v>
      </c>
      <c r="B486" t="str">
        <f>IFERROR(__xludf.DUMMYFUNCTION("""COMPUTED_VALUE"""),"Stéphane Rambaud")</f>
        <v>Stéphane Rambaud</v>
      </c>
      <c r="C486">
        <f>IFERROR(__xludf.DUMMYFUNCTION("""COMPUTED_VALUE"""),3.84)</f>
        <v>3.84</v>
      </c>
      <c r="D486">
        <f>IFERROR(__xludf.DUMMYFUNCTION("""COMPUTED_VALUE"""),5.68)</f>
        <v>5.68</v>
      </c>
      <c r="E486">
        <f>IFERROR(__xludf.DUMMYFUNCTION("""COMPUTED_VALUE"""),2.11)</f>
        <v>2.11</v>
      </c>
      <c r="F486">
        <f>IFERROR(__xludf.DUMMYFUNCTION("""COMPUTED_VALUE"""),0.89)</f>
        <v>0.89</v>
      </c>
      <c r="G486">
        <f>IFERROR(__xludf.DUMMYFUNCTION("""COMPUTED_VALUE"""),0.05)</f>
        <v>0.05</v>
      </c>
      <c r="H486">
        <f>IFERROR(__xludf.DUMMYFUNCTION("""COMPUTED_VALUE"""),2.11)</f>
        <v>2.11</v>
      </c>
      <c r="I486">
        <f>IFERROR(__xludf.DUMMYFUNCTION("""COMPUTED_VALUE"""),469.58)</f>
        <v>469.58</v>
      </c>
      <c r="J486">
        <f>IFERROR(__xludf.DUMMYFUNCTION("""COMPUTED_VALUE"""),5.68)</f>
        <v>5.68</v>
      </c>
      <c r="K486">
        <f>IFERROR(__xludf.DUMMYFUNCTION("""COMPUTED_VALUE"""),0.05)</f>
        <v>0.05</v>
      </c>
      <c r="L486">
        <f>IFERROR(__xludf.DUMMYFUNCTION("""COMPUTED_VALUE"""),0.11)</f>
        <v>0.11</v>
      </c>
      <c r="M486">
        <f>IFERROR(__xludf.DUMMYFUNCTION("""COMPUTED_VALUE"""),7.42)</f>
        <v>7.42</v>
      </c>
      <c r="N486">
        <f>IFERROR(__xludf.DUMMYFUNCTION("""COMPUTED_VALUE"""),3.0)</f>
        <v>3</v>
      </c>
      <c r="O486">
        <f>IFERROR(__xludf.DUMMYFUNCTION("""COMPUTED_VALUE"""),0.21)</f>
        <v>0.21</v>
      </c>
    </row>
    <row r="487">
      <c r="A487" t="str">
        <f>IFERROR(__xludf.DUMMYFUNCTION("""COMPUTED_VALUE"""),"Ramos")</f>
        <v>Ramos</v>
      </c>
      <c r="B487" t="str">
        <f>IFERROR(__xludf.DUMMYFUNCTION("""COMPUTED_VALUE"""),"Richard Ramos")</f>
        <v>Richard Ramos</v>
      </c>
      <c r="C487">
        <f>IFERROR(__xludf.DUMMYFUNCTION("""COMPUTED_VALUE"""),2.68)</f>
        <v>2.68</v>
      </c>
      <c r="D487">
        <f>IFERROR(__xludf.DUMMYFUNCTION("""COMPUTED_VALUE"""),2.53)</f>
        <v>2.53</v>
      </c>
      <c r="E487">
        <f>IFERROR(__xludf.DUMMYFUNCTION("""COMPUTED_VALUE"""),3.42)</f>
        <v>3.42</v>
      </c>
      <c r="F487">
        <f>IFERROR(__xludf.DUMMYFUNCTION("""COMPUTED_VALUE"""),5.84)</f>
        <v>5.84</v>
      </c>
      <c r="G487">
        <f>IFERROR(__xludf.DUMMYFUNCTION("""COMPUTED_VALUE"""),4.74)</f>
        <v>4.74</v>
      </c>
      <c r="H487">
        <f>IFERROR(__xludf.DUMMYFUNCTION("""COMPUTED_VALUE"""),6.32)</f>
        <v>6.32</v>
      </c>
      <c r="I487">
        <f>IFERROR(__xludf.DUMMYFUNCTION("""COMPUTED_VALUE"""),74.58)</f>
        <v>74.58</v>
      </c>
      <c r="J487">
        <f>IFERROR(__xludf.DUMMYFUNCTION("""COMPUTED_VALUE"""),16.37)</f>
        <v>16.37</v>
      </c>
      <c r="K487">
        <f>IFERROR(__xludf.DUMMYFUNCTION("""COMPUTED_VALUE"""),0.16)</f>
        <v>0.16</v>
      </c>
      <c r="L487">
        <f>IFERROR(__xludf.DUMMYFUNCTION("""COMPUTED_VALUE"""),0.42)</f>
        <v>0.42</v>
      </c>
      <c r="M487">
        <f>IFERROR(__xludf.DUMMYFUNCTION("""COMPUTED_VALUE"""),2.16)</f>
        <v>2.16</v>
      </c>
      <c r="N487">
        <f>IFERROR(__xludf.DUMMYFUNCTION("""COMPUTED_VALUE"""),1.42)</f>
        <v>1.42</v>
      </c>
      <c r="O487">
        <f>IFERROR(__xludf.DUMMYFUNCTION("""COMPUTED_VALUE"""),0.11)</f>
        <v>0.11</v>
      </c>
    </row>
    <row r="488">
      <c r="A488" t="str">
        <f>IFERROR(__xludf.DUMMYFUNCTION("""COMPUTED_VALUE"""),"Ranc")</f>
        <v>Ranc</v>
      </c>
      <c r="B488" t="str">
        <f>IFERROR(__xludf.DUMMYFUNCTION("""COMPUTED_VALUE"""),"Angélique Ranc")</f>
        <v>Angélique Ranc</v>
      </c>
      <c r="C488">
        <f>IFERROR(__xludf.DUMMYFUNCTION("""COMPUTED_VALUE"""),3.74)</f>
        <v>3.74</v>
      </c>
      <c r="D488">
        <f>IFERROR(__xludf.DUMMYFUNCTION("""COMPUTED_VALUE"""),5.05)</f>
        <v>5.05</v>
      </c>
      <c r="E488">
        <f>IFERROR(__xludf.DUMMYFUNCTION("""COMPUTED_VALUE"""),2.16)</f>
        <v>2.16</v>
      </c>
      <c r="F488">
        <f>IFERROR(__xludf.DUMMYFUNCTION("""COMPUTED_VALUE"""),3.74)</f>
        <v>3.74</v>
      </c>
      <c r="G488">
        <f>IFERROR(__xludf.DUMMYFUNCTION("""COMPUTED_VALUE"""),0.21)</f>
        <v>0.21</v>
      </c>
      <c r="H488">
        <f>IFERROR(__xludf.DUMMYFUNCTION("""COMPUTED_VALUE"""),11.95)</f>
        <v>11.95</v>
      </c>
      <c r="I488">
        <f>IFERROR(__xludf.DUMMYFUNCTION("""COMPUTED_VALUE"""),464.0)</f>
        <v>464</v>
      </c>
      <c r="J488">
        <f>IFERROR(__xludf.DUMMYFUNCTION("""COMPUTED_VALUE"""),5.63)</f>
        <v>5.63</v>
      </c>
      <c r="K488">
        <f>IFERROR(__xludf.DUMMYFUNCTION("""COMPUTED_VALUE"""),0.0)</f>
        <v>0</v>
      </c>
      <c r="L488">
        <f>IFERROR(__xludf.DUMMYFUNCTION("""COMPUTED_VALUE"""),0.05)</f>
        <v>0.05</v>
      </c>
      <c r="M488">
        <f>IFERROR(__xludf.DUMMYFUNCTION("""COMPUTED_VALUE"""),6.79)</f>
        <v>6.79</v>
      </c>
      <c r="N488">
        <f>IFERROR(__xludf.DUMMYFUNCTION("""COMPUTED_VALUE"""),2.63)</f>
        <v>2.63</v>
      </c>
      <c r="O488">
        <f>IFERROR(__xludf.DUMMYFUNCTION("""COMPUTED_VALUE"""),0.21)</f>
        <v>0.21</v>
      </c>
    </row>
    <row r="489">
      <c r="A489" t="str">
        <f>IFERROR(__xludf.DUMMYFUNCTION("""COMPUTED_VALUE"""),"Rancoule")</f>
        <v>Rancoule</v>
      </c>
      <c r="B489" t="str">
        <f>IFERROR(__xludf.DUMMYFUNCTION("""COMPUTED_VALUE"""),"Julien Rancoule")</f>
        <v>Julien Rancoule</v>
      </c>
      <c r="C489">
        <f>IFERROR(__xludf.DUMMYFUNCTION("""COMPUTED_VALUE"""),3.84)</f>
        <v>3.84</v>
      </c>
      <c r="D489">
        <f>IFERROR(__xludf.DUMMYFUNCTION("""COMPUTED_VALUE"""),7.47)</f>
        <v>7.47</v>
      </c>
      <c r="E489">
        <f>IFERROR(__xludf.DUMMYFUNCTION("""COMPUTED_VALUE"""),7.05)</f>
        <v>7.05</v>
      </c>
      <c r="F489">
        <f>IFERROR(__xludf.DUMMYFUNCTION("""COMPUTED_VALUE"""),6.47)</f>
        <v>6.47</v>
      </c>
      <c r="G489">
        <f>IFERROR(__xludf.DUMMYFUNCTION("""COMPUTED_VALUE"""),1.79)</f>
        <v>1.79</v>
      </c>
      <c r="H489">
        <f>IFERROR(__xludf.DUMMYFUNCTION("""COMPUTED_VALUE"""),10.47)</f>
        <v>10.47</v>
      </c>
      <c r="I489">
        <f>IFERROR(__xludf.DUMMYFUNCTION("""COMPUTED_VALUE"""),436.21)</f>
        <v>436.21</v>
      </c>
      <c r="J489">
        <f>IFERROR(__xludf.DUMMYFUNCTION("""COMPUTED_VALUE"""),6.47)</f>
        <v>6.47</v>
      </c>
      <c r="K489">
        <f>IFERROR(__xludf.DUMMYFUNCTION("""COMPUTED_VALUE"""),0.05)</f>
        <v>0.05</v>
      </c>
      <c r="L489">
        <f>IFERROR(__xludf.DUMMYFUNCTION("""COMPUTED_VALUE"""),0.16)</f>
        <v>0.16</v>
      </c>
      <c r="M489">
        <f>IFERROR(__xludf.DUMMYFUNCTION("""COMPUTED_VALUE"""),6.68)</f>
        <v>6.68</v>
      </c>
      <c r="N489">
        <f>IFERROR(__xludf.DUMMYFUNCTION("""COMPUTED_VALUE"""),4.16)</f>
        <v>4.16</v>
      </c>
      <c r="O489">
        <f>IFERROR(__xludf.DUMMYFUNCTION("""COMPUTED_VALUE"""),0.37)</f>
        <v>0.37</v>
      </c>
    </row>
    <row r="490">
      <c r="A490" t="str">
        <f>IFERROR(__xludf.DUMMYFUNCTION("""COMPUTED_VALUE"""),"Ratenon")</f>
        <v>Ratenon</v>
      </c>
      <c r="B490" t="str">
        <f>IFERROR(__xludf.DUMMYFUNCTION("""COMPUTED_VALUE"""),"Jean-Hugues Ratenon")</f>
        <v>Jean-Hugues Ratenon</v>
      </c>
      <c r="C490">
        <f>IFERROR(__xludf.DUMMYFUNCTION("""COMPUTED_VALUE"""),3.16)</f>
        <v>3.16</v>
      </c>
      <c r="D490">
        <f>IFERROR(__xludf.DUMMYFUNCTION("""COMPUTED_VALUE"""),5.05)</f>
        <v>5.05</v>
      </c>
      <c r="E490">
        <f>IFERROR(__xludf.DUMMYFUNCTION("""COMPUTED_VALUE"""),7.89)</f>
        <v>7.89</v>
      </c>
      <c r="F490">
        <f>IFERROR(__xludf.DUMMYFUNCTION("""COMPUTED_VALUE"""),9.21)</f>
        <v>9.21</v>
      </c>
      <c r="G490">
        <f>IFERROR(__xludf.DUMMYFUNCTION("""COMPUTED_VALUE"""),1.11)</f>
        <v>1.11</v>
      </c>
      <c r="H490">
        <f>IFERROR(__xludf.DUMMYFUNCTION("""COMPUTED_VALUE"""),35.11)</f>
        <v>35.11</v>
      </c>
      <c r="I490">
        <f>IFERROR(__xludf.DUMMYFUNCTION("""COMPUTED_VALUE"""),893.37)</f>
        <v>893.37</v>
      </c>
      <c r="J490">
        <f>IFERROR(__xludf.DUMMYFUNCTION("""COMPUTED_VALUE"""),28.79)</f>
        <v>28.79</v>
      </c>
      <c r="K490">
        <f>IFERROR(__xludf.DUMMYFUNCTION("""COMPUTED_VALUE"""),0.05)</f>
        <v>0.05</v>
      </c>
      <c r="L490">
        <f>IFERROR(__xludf.DUMMYFUNCTION("""COMPUTED_VALUE"""),0.16)</f>
        <v>0.16</v>
      </c>
      <c r="M490">
        <f>IFERROR(__xludf.DUMMYFUNCTION("""COMPUTED_VALUE"""),7.47)</f>
        <v>7.47</v>
      </c>
      <c r="N490">
        <f>IFERROR(__xludf.DUMMYFUNCTION("""COMPUTED_VALUE"""),2.53)</f>
        <v>2.53</v>
      </c>
      <c r="O490">
        <f>IFERROR(__xludf.DUMMYFUNCTION("""COMPUTED_VALUE"""),0.37)</f>
        <v>0.37</v>
      </c>
    </row>
    <row r="491">
      <c r="A491" t="str">
        <f>IFERROR(__xludf.DUMMYFUNCTION("""COMPUTED_VALUE"""),"Rauch")</f>
        <v>Rauch</v>
      </c>
      <c r="B491" t="str">
        <f>IFERROR(__xludf.DUMMYFUNCTION("""COMPUTED_VALUE"""),"Isabelle Rauch")</f>
        <v>Isabelle Rauch</v>
      </c>
      <c r="C491">
        <f>IFERROR(__xludf.DUMMYFUNCTION("""COMPUTED_VALUE"""),4.0)</f>
        <v>4</v>
      </c>
      <c r="D491">
        <f>IFERROR(__xludf.DUMMYFUNCTION("""COMPUTED_VALUE"""),10.47)</f>
        <v>10.47</v>
      </c>
      <c r="E491">
        <f>IFERROR(__xludf.DUMMYFUNCTION("""COMPUTED_VALUE"""),26.89)</f>
        <v>26.89</v>
      </c>
      <c r="F491">
        <f>IFERROR(__xludf.DUMMYFUNCTION("""COMPUTED_VALUE"""),2.0)</f>
        <v>2</v>
      </c>
      <c r="G491">
        <f>IFERROR(__xludf.DUMMYFUNCTION("""COMPUTED_VALUE"""),0.05)</f>
        <v>0.05</v>
      </c>
      <c r="H491">
        <f>IFERROR(__xludf.DUMMYFUNCTION("""COMPUTED_VALUE"""),0.89)</f>
        <v>0.89</v>
      </c>
      <c r="I491">
        <f>IFERROR(__xludf.DUMMYFUNCTION("""COMPUTED_VALUE"""),47.21)</f>
        <v>47.21</v>
      </c>
      <c r="J491">
        <f>IFERROR(__xludf.DUMMYFUNCTION("""COMPUTED_VALUE"""),13.11)</f>
        <v>13.11</v>
      </c>
      <c r="K491">
        <f>IFERROR(__xludf.DUMMYFUNCTION("""COMPUTED_VALUE"""),0.05)</f>
        <v>0.05</v>
      </c>
      <c r="L491">
        <f>IFERROR(__xludf.DUMMYFUNCTION("""COMPUTED_VALUE"""),0.0)</f>
        <v>0</v>
      </c>
      <c r="M491">
        <f>IFERROR(__xludf.DUMMYFUNCTION("""COMPUTED_VALUE"""),1.42)</f>
        <v>1.42</v>
      </c>
      <c r="N491">
        <f>IFERROR(__xludf.DUMMYFUNCTION("""COMPUTED_VALUE"""),0.89)</f>
        <v>0.89</v>
      </c>
      <c r="O491">
        <f>IFERROR(__xludf.DUMMYFUNCTION("""COMPUTED_VALUE"""),0.32)</f>
        <v>0.32</v>
      </c>
    </row>
    <row r="492">
      <c r="A492" t="str">
        <f>IFERROR(__xludf.DUMMYFUNCTION("""COMPUTED_VALUE"""),"Raux")</f>
        <v>Raux</v>
      </c>
      <c r="B492" t="str">
        <f>IFERROR(__xludf.DUMMYFUNCTION("""COMPUTED_VALUE"""),"Jean-Claude Raux")</f>
        <v>Jean-Claude Raux</v>
      </c>
      <c r="C492">
        <f>IFERROR(__xludf.DUMMYFUNCTION("""COMPUTED_VALUE"""),4.11)</f>
        <v>4.11</v>
      </c>
      <c r="D492">
        <f>IFERROR(__xludf.DUMMYFUNCTION("""COMPUTED_VALUE"""),10.16)</f>
        <v>10.16</v>
      </c>
      <c r="E492">
        <f>IFERROR(__xludf.DUMMYFUNCTION("""COMPUTED_VALUE"""),15.32)</f>
        <v>15.32</v>
      </c>
      <c r="F492">
        <f>IFERROR(__xludf.DUMMYFUNCTION("""COMPUTED_VALUE"""),9.11)</f>
        <v>9.11</v>
      </c>
      <c r="G492">
        <f>IFERROR(__xludf.DUMMYFUNCTION("""COMPUTED_VALUE"""),2.0)</f>
        <v>2</v>
      </c>
      <c r="H492">
        <f>IFERROR(__xludf.DUMMYFUNCTION("""COMPUTED_VALUE"""),30.37)</f>
        <v>30.37</v>
      </c>
      <c r="I492">
        <f>IFERROR(__xludf.DUMMYFUNCTION("""COMPUTED_VALUE"""),519.79)</f>
        <v>519.79</v>
      </c>
      <c r="J492">
        <f>IFERROR(__xludf.DUMMYFUNCTION("""COMPUTED_VALUE"""),19.32)</f>
        <v>19.32</v>
      </c>
      <c r="K492">
        <f>IFERROR(__xludf.DUMMYFUNCTION("""COMPUTED_VALUE"""),0.11)</f>
        <v>0.11</v>
      </c>
      <c r="L492">
        <f>IFERROR(__xludf.DUMMYFUNCTION("""COMPUTED_VALUE"""),0.21)</f>
        <v>0.21</v>
      </c>
      <c r="M492">
        <f>IFERROR(__xludf.DUMMYFUNCTION("""COMPUTED_VALUE"""),5.16)</f>
        <v>5.16</v>
      </c>
      <c r="N492">
        <f>IFERROR(__xludf.DUMMYFUNCTION("""COMPUTED_VALUE"""),0.47)</f>
        <v>0.47</v>
      </c>
      <c r="O492">
        <f>IFERROR(__xludf.DUMMYFUNCTION("""COMPUTED_VALUE"""),0.53)</f>
        <v>0.53</v>
      </c>
    </row>
    <row r="493">
      <c r="A493" t="str">
        <f>IFERROR(__xludf.DUMMYFUNCTION("""COMPUTED_VALUE"""),"Ray")</f>
        <v>Ray</v>
      </c>
      <c r="B493" t="str">
        <f>IFERROR(__xludf.DUMMYFUNCTION("""COMPUTED_VALUE"""),"Nicolas Ray")</f>
        <v>Nicolas Ray</v>
      </c>
      <c r="C493">
        <f>IFERROR(__xludf.DUMMYFUNCTION("""COMPUTED_VALUE"""),3.89)</f>
        <v>3.89</v>
      </c>
      <c r="D493">
        <f>IFERROR(__xludf.DUMMYFUNCTION("""COMPUTED_VALUE"""),6.58)</f>
        <v>6.58</v>
      </c>
      <c r="E493">
        <f>IFERROR(__xludf.DUMMYFUNCTION("""COMPUTED_VALUE"""),5.63)</f>
        <v>5.63</v>
      </c>
      <c r="F493">
        <f>IFERROR(__xludf.DUMMYFUNCTION("""COMPUTED_VALUE"""),5.11)</f>
        <v>5.11</v>
      </c>
      <c r="G493">
        <f>IFERROR(__xludf.DUMMYFUNCTION("""COMPUTED_VALUE"""),1.32)</f>
        <v>1.32</v>
      </c>
      <c r="H493">
        <f>IFERROR(__xludf.DUMMYFUNCTION("""COMPUTED_VALUE"""),14.95)</f>
        <v>14.95</v>
      </c>
      <c r="I493">
        <f>IFERROR(__xludf.DUMMYFUNCTION("""COMPUTED_VALUE"""),383.63)</f>
        <v>383.63</v>
      </c>
      <c r="J493">
        <f>IFERROR(__xludf.DUMMYFUNCTION("""COMPUTED_VALUE"""),14.16)</f>
        <v>14.16</v>
      </c>
      <c r="K493">
        <f>IFERROR(__xludf.DUMMYFUNCTION("""COMPUTED_VALUE"""),0.0)</f>
        <v>0</v>
      </c>
      <c r="L493">
        <f>IFERROR(__xludf.DUMMYFUNCTION("""COMPUTED_VALUE"""),0.05)</f>
        <v>0.05</v>
      </c>
      <c r="M493">
        <f>IFERROR(__xludf.DUMMYFUNCTION("""COMPUTED_VALUE"""),10.68)</f>
        <v>10.68</v>
      </c>
      <c r="N493">
        <f>IFERROR(__xludf.DUMMYFUNCTION("""COMPUTED_VALUE"""),2.21)</f>
        <v>2.21</v>
      </c>
      <c r="O493">
        <f>IFERROR(__xludf.DUMMYFUNCTION("""COMPUTED_VALUE"""),0.26)</f>
        <v>0.26</v>
      </c>
    </row>
    <row r="494">
      <c r="A494" t="str">
        <f>IFERROR(__xludf.DUMMYFUNCTION("""COMPUTED_VALUE"""),"Rebeyrotte")</f>
        <v>Rebeyrotte</v>
      </c>
      <c r="B494" t="str">
        <f>IFERROR(__xludf.DUMMYFUNCTION("""COMPUTED_VALUE"""),"Rémy Rebeyrotte")</f>
        <v>Rémy Rebeyrotte</v>
      </c>
      <c r="C494">
        <f>IFERROR(__xludf.DUMMYFUNCTION("""COMPUTED_VALUE"""),3.89)</f>
        <v>3.89</v>
      </c>
      <c r="D494">
        <f>IFERROR(__xludf.DUMMYFUNCTION("""COMPUTED_VALUE"""),7.0)</f>
        <v>7</v>
      </c>
      <c r="E494">
        <f>IFERROR(__xludf.DUMMYFUNCTION("""COMPUTED_VALUE"""),2.74)</f>
        <v>2.74</v>
      </c>
      <c r="F494">
        <f>IFERROR(__xludf.DUMMYFUNCTION("""COMPUTED_VALUE"""),3.84)</f>
        <v>3.84</v>
      </c>
      <c r="G494">
        <f>IFERROR(__xludf.DUMMYFUNCTION("""COMPUTED_VALUE"""),27.58)</f>
        <v>27.58</v>
      </c>
      <c r="H494">
        <f>IFERROR(__xludf.DUMMYFUNCTION("""COMPUTED_VALUE"""),6.79)</f>
        <v>6.79</v>
      </c>
      <c r="I494">
        <f>IFERROR(__xludf.DUMMYFUNCTION("""COMPUTED_VALUE"""),64.21)</f>
        <v>64.21</v>
      </c>
      <c r="J494">
        <f>IFERROR(__xludf.DUMMYFUNCTION("""COMPUTED_VALUE"""),18.63)</f>
        <v>18.63</v>
      </c>
      <c r="K494">
        <f>IFERROR(__xludf.DUMMYFUNCTION("""COMPUTED_VALUE"""),0.0)</f>
        <v>0</v>
      </c>
      <c r="L494">
        <f>IFERROR(__xludf.DUMMYFUNCTION("""COMPUTED_VALUE"""),0.11)</f>
        <v>0.11</v>
      </c>
      <c r="M494">
        <f>IFERROR(__xludf.DUMMYFUNCTION("""COMPUTED_VALUE"""),2.21)</f>
        <v>2.21</v>
      </c>
      <c r="N494">
        <f>IFERROR(__xludf.DUMMYFUNCTION("""COMPUTED_VALUE"""),1.26)</f>
        <v>1.26</v>
      </c>
      <c r="O494">
        <f>IFERROR(__xludf.DUMMYFUNCTION("""COMPUTED_VALUE"""),0.11)</f>
        <v>0.11</v>
      </c>
    </row>
    <row r="495">
      <c r="A495" t="str">
        <f>IFERROR(__xludf.DUMMYFUNCTION("""COMPUTED_VALUE"""),"Reda")</f>
        <v>Reda</v>
      </c>
      <c r="B495" t="str">
        <f>IFERROR(__xludf.DUMMYFUNCTION("""COMPUTED_VALUE"""),"Robin Reda")</f>
        <v>Robin Reda</v>
      </c>
      <c r="C495">
        <f>IFERROR(__xludf.DUMMYFUNCTION("""COMPUTED_VALUE"""),3.63)</f>
        <v>3.63</v>
      </c>
      <c r="D495">
        <f>IFERROR(__xludf.DUMMYFUNCTION("""COMPUTED_VALUE"""),6.79)</f>
        <v>6.79</v>
      </c>
      <c r="E495">
        <f>IFERROR(__xludf.DUMMYFUNCTION("""COMPUTED_VALUE"""),11.84)</f>
        <v>11.84</v>
      </c>
      <c r="F495">
        <f>IFERROR(__xludf.DUMMYFUNCTION("""COMPUTED_VALUE"""),7.63)</f>
        <v>7.63</v>
      </c>
      <c r="G495">
        <f>IFERROR(__xludf.DUMMYFUNCTION("""COMPUTED_VALUE"""),4.95)</f>
        <v>4.95</v>
      </c>
      <c r="H495">
        <f>IFERROR(__xludf.DUMMYFUNCTION("""COMPUTED_VALUE"""),5.16)</f>
        <v>5.16</v>
      </c>
      <c r="I495">
        <f>IFERROR(__xludf.DUMMYFUNCTION("""COMPUTED_VALUE"""),71.63)</f>
        <v>71.63</v>
      </c>
      <c r="J495">
        <f>IFERROR(__xludf.DUMMYFUNCTION("""COMPUTED_VALUE"""),18.95)</f>
        <v>18.95</v>
      </c>
      <c r="K495">
        <f>IFERROR(__xludf.DUMMYFUNCTION("""COMPUTED_VALUE"""),0.26)</f>
        <v>0.26</v>
      </c>
      <c r="L495">
        <f>IFERROR(__xludf.DUMMYFUNCTION("""COMPUTED_VALUE"""),0.0)</f>
        <v>0</v>
      </c>
      <c r="M495">
        <f>IFERROR(__xludf.DUMMYFUNCTION("""COMPUTED_VALUE"""),3.05)</f>
        <v>3.05</v>
      </c>
      <c r="N495">
        <f>IFERROR(__xludf.DUMMYFUNCTION("""COMPUTED_VALUE"""),0.79)</f>
        <v>0.79</v>
      </c>
      <c r="O495">
        <f>IFERROR(__xludf.DUMMYFUNCTION("""COMPUTED_VALUE"""),0.16)</f>
        <v>0.16</v>
      </c>
    </row>
    <row r="496">
      <c r="A496" t="str">
        <f>IFERROR(__xludf.DUMMYFUNCTION("""COMPUTED_VALUE"""),"Regol")</f>
        <v>Regol</v>
      </c>
      <c r="B496" t="str">
        <f>IFERROR(__xludf.DUMMYFUNCTION("""COMPUTED_VALUE"""),"Sandra Regol")</f>
        <v>Sandra Regol</v>
      </c>
      <c r="C496">
        <f>IFERROR(__xludf.DUMMYFUNCTION("""COMPUTED_VALUE"""),3.95)</f>
        <v>3.95</v>
      </c>
      <c r="D496">
        <f>IFERROR(__xludf.DUMMYFUNCTION("""COMPUTED_VALUE"""),7.53)</f>
        <v>7.53</v>
      </c>
      <c r="E496">
        <f>IFERROR(__xludf.DUMMYFUNCTION("""COMPUTED_VALUE"""),20.53)</f>
        <v>20.53</v>
      </c>
      <c r="F496">
        <f>IFERROR(__xludf.DUMMYFUNCTION("""COMPUTED_VALUE"""),32.0)</f>
        <v>32</v>
      </c>
      <c r="G496">
        <f>IFERROR(__xludf.DUMMYFUNCTION("""COMPUTED_VALUE"""),39.0)</f>
        <v>39</v>
      </c>
      <c r="H496">
        <f>IFERROR(__xludf.DUMMYFUNCTION("""COMPUTED_VALUE"""),42.21)</f>
        <v>42.21</v>
      </c>
      <c r="I496">
        <f>IFERROR(__xludf.DUMMYFUNCTION("""COMPUTED_VALUE"""),531.37)</f>
        <v>531.37</v>
      </c>
      <c r="J496">
        <f>IFERROR(__xludf.DUMMYFUNCTION("""COMPUTED_VALUE"""),20.47)</f>
        <v>20.47</v>
      </c>
      <c r="K496">
        <f>IFERROR(__xludf.DUMMYFUNCTION("""COMPUTED_VALUE"""),0.11)</f>
        <v>0.11</v>
      </c>
      <c r="L496">
        <f>IFERROR(__xludf.DUMMYFUNCTION("""COMPUTED_VALUE"""),0.26)</f>
        <v>0.26</v>
      </c>
      <c r="M496">
        <f>IFERROR(__xludf.DUMMYFUNCTION("""COMPUTED_VALUE"""),3.58)</f>
        <v>3.58</v>
      </c>
      <c r="N496">
        <f>IFERROR(__xludf.DUMMYFUNCTION("""COMPUTED_VALUE"""),1.11)</f>
        <v>1.11</v>
      </c>
      <c r="O496">
        <f>IFERROR(__xludf.DUMMYFUNCTION("""COMPUTED_VALUE"""),0.32)</f>
        <v>0.32</v>
      </c>
    </row>
    <row r="497">
      <c r="A497" t="str">
        <f>IFERROR(__xludf.DUMMYFUNCTION("""COMPUTED_VALUE"""),"Reid Arbelot")</f>
        <v>Reid Arbelot</v>
      </c>
      <c r="B497" t="str">
        <f>IFERROR(__xludf.DUMMYFUNCTION("""COMPUTED_VALUE"""),"Mereana Reid Arbelot")</f>
        <v>Mereana Reid Arbelot</v>
      </c>
      <c r="C497">
        <f>IFERROR(__xludf.DUMMYFUNCTION("""COMPUTED_VALUE"""),2.7)</f>
        <v>2.7</v>
      </c>
      <c r="D497">
        <f>IFERROR(__xludf.DUMMYFUNCTION("""COMPUTED_VALUE"""),4.4)</f>
        <v>4.4</v>
      </c>
      <c r="E497">
        <f>IFERROR(__xludf.DUMMYFUNCTION("""COMPUTED_VALUE"""),14.6)</f>
        <v>14.6</v>
      </c>
      <c r="F497">
        <f>IFERROR(__xludf.DUMMYFUNCTION("""COMPUTED_VALUE"""),3.3)</f>
        <v>3.3</v>
      </c>
      <c r="G497">
        <f>IFERROR(__xludf.DUMMYFUNCTION("""COMPUTED_VALUE"""),0.3)</f>
        <v>0.3</v>
      </c>
      <c r="H497">
        <f>IFERROR(__xludf.DUMMYFUNCTION("""COMPUTED_VALUE"""),8.5)</f>
        <v>8.5</v>
      </c>
      <c r="I497">
        <f>IFERROR(__xludf.DUMMYFUNCTION("""COMPUTED_VALUE"""),207.1)</f>
        <v>207.1</v>
      </c>
      <c r="J497">
        <f>IFERROR(__xludf.DUMMYFUNCTION("""COMPUTED_VALUE"""),13.6)</f>
        <v>13.6</v>
      </c>
      <c r="K497">
        <f>IFERROR(__xludf.DUMMYFUNCTION("""COMPUTED_VALUE"""),0.3)</f>
        <v>0.3</v>
      </c>
      <c r="L497">
        <f>IFERROR(__xludf.DUMMYFUNCTION("""COMPUTED_VALUE"""),0.1)</f>
        <v>0.1</v>
      </c>
      <c r="M497">
        <f>IFERROR(__xludf.DUMMYFUNCTION("""COMPUTED_VALUE"""),3.9)</f>
        <v>3.9</v>
      </c>
      <c r="N497">
        <f>IFERROR(__xludf.DUMMYFUNCTION("""COMPUTED_VALUE"""),0.7)</f>
        <v>0.7</v>
      </c>
      <c r="O497">
        <f>IFERROR(__xludf.DUMMYFUNCTION("""COMPUTED_VALUE"""),0.5)</f>
        <v>0.5</v>
      </c>
    </row>
    <row r="498">
      <c r="A498" t="str">
        <f>IFERROR(__xludf.DUMMYFUNCTION("""COMPUTED_VALUE"""),"Rilhac")</f>
        <v>Rilhac</v>
      </c>
      <c r="B498" t="str">
        <f>IFERROR(__xludf.DUMMYFUNCTION("""COMPUTED_VALUE"""),"Cécile Rilhac")</f>
        <v>Cécile Rilhac</v>
      </c>
      <c r="C498">
        <f>IFERROR(__xludf.DUMMYFUNCTION("""COMPUTED_VALUE"""),4.05)</f>
        <v>4.05</v>
      </c>
      <c r="D498">
        <f>IFERROR(__xludf.DUMMYFUNCTION("""COMPUTED_VALUE"""),8.89)</f>
        <v>8.89</v>
      </c>
      <c r="E498">
        <f>IFERROR(__xludf.DUMMYFUNCTION("""COMPUTED_VALUE"""),10.58)</f>
        <v>10.58</v>
      </c>
      <c r="F498">
        <f>IFERROR(__xludf.DUMMYFUNCTION("""COMPUTED_VALUE"""),10.53)</f>
        <v>10.53</v>
      </c>
      <c r="G498">
        <f>IFERROR(__xludf.DUMMYFUNCTION("""COMPUTED_VALUE"""),1.63)</f>
        <v>1.63</v>
      </c>
      <c r="H498">
        <f>IFERROR(__xludf.DUMMYFUNCTION("""COMPUTED_VALUE"""),10.0)</f>
        <v>10</v>
      </c>
      <c r="I498">
        <f>IFERROR(__xludf.DUMMYFUNCTION("""COMPUTED_VALUE"""),125.16)</f>
        <v>125.16</v>
      </c>
      <c r="J498">
        <f>IFERROR(__xludf.DUMMYFUNCTION("""COMPUTED_VALUE"""),21.05)</f>
        <v>21.05</v>
      </c>
      <c r="K498">
        <f>IFERROR(__xludf.DUMMYFUNCTION("""COMPUTED_VALUE"""),0.05)</f>
        <v>0.05</v>
      </c>
      <c r="L498">
        <f>IFERROR(__xludf.DUMMYFUNCTION("""COMPUTED_VALUE"""),0.26)</f>
        <v>0.26</v>
      </c>
      <c r="M498">
        <f>IFERROR(__xludf.DUMMYFUNCTION("""COMPUTED_VALUE"""),3.47)</f>
        <v>3.47</v>
      </c>
      <c r="N498">
        <f>IFERROR(__xludf.DUMMYFUNCTION("""COMPUTED_VALUE"""),1.21)</f>
        <v>1.21</v>
      </c>
      <c r="O498">
        <f>IFERROR(__xludf.DUMMYFUNCTION("""COMPUTED_VALUE"""),0.32)</f>
        <v>0.32</v>
      </c>
    </row>
    <row r="499">
      <c r="A499" t="str">
        <f>IFERROR(__xludf.DUMMYFUNCTION("""COMPUTED_VALUE"""),"Rimane")</f>
        <v>Rimane</v>
      </c>
      <c r="B499" t="str">
        <f>IFERROR(__xludf.DUMMYFUNCTION("""COMPUTED_VALUE"""),"Davy Rimane")</f>
        <v>Davy Rimane</v>
      </c>
      <c r="C499">
        <f>IFERROR(__xludf.DUMMYFUNCTION("""COMPUTED_VALUE"""),3.16)</f>
        <v>3.16</v>
      </c>
      <c r="D499">
        <f>IFERROR(__xludf.DUMMYFUNCTION("""COMPUTED_VALUE"""),4.05)</f>
        <v>4.05</v>
      </c>
      <c r="E499">
        <f>IFERROR(__xludf.DUMMYFUNCTION("""COMPUTED_VALUE"""),9.37)</f>
        <v>9.37</v>
      </c>
      <c r="F499">
        <f>IFERROR(__xludf.DUMMYFUNCTION("""COMPUTED_VALUE"""),13.05)</f>
        <v>13.05</v>
      </c>
      <c r="G499">
        <f>IFERROR(__xludf.DUMMYFUNCTION("""COMPUTED_VALUE"""),9.68)</f>
        <v>9.68</v>
      </c>
      <c r="H499">
        <f>IFERROR(__xludf.DUMMYFUNCTION("""COMPUTED_VALUE"""),12.63)</f>
        <v>12.63</v>
      </c>
      <c r="I499">
        <f>IFERROR(__xludf.DUMMYFUNCTION("""COMPUTED_VALUE"""),216.32)</f>
        <v>216.32</v>
      </c>
      <c r="J499">
        <f>IFERROR(__xludf.DUMMYFUNCTION("""COMPUTED_VALUE"""),13.11)</f>
        <v>13.11</v>
      </c>
      <c r="K499">
        <f>IFERROR(__xludf.DUMMYFUNCTION("""COMPUTED_VALUE"""),0.11)</f>
        <v>0.11</v>
      </c>
      <c r="L499">
        <f>IFERROR(__xludf.DUMMYFUNCTION("""COMPUTED_VALUE"""),0.16)</f>
        <v>0.16</v>
      </c>
      <c r="M499">
        <f>IFERROR(__xludf.DUMMYFUNCTION("""COMPUTED_VALUE"""),4.37)</f>
        <v>4.37</v>
      </c>
      <c r="N499">
        <f>IFERROR(__xludf.DUMMYFUNCTION("""COMPUTED_VALUE"""),0.79)</f>
        <v>0.79</v>
      </c>
      <c r="O499">
        <f>IFERROR(__xludf.DUMMYFUNCTION("""COMPUTED_VALUE"""),0.42)</f>
        <v>0.42</v>
      </c>
    </row>
    <row r="500">
      <c r="A500" t="str">
        <f>IFERROR(__xludf.DUMMYFUNCTION("""COMPUTED_VALUE"""),"Riotton")</f>
        <v>Riotton</v>
      </c>
      <c r="B500" t="str">
        <f>IFERROR(__xludf.DUMMYFUNCTION("""COMPUTED_VALUE"""),"Véronique Riotton")</f>
        <v>Véronique Riotton</v>
      </c>
      <c r="C500">
        <f>IFERROR(__xludf.DUMMYFUNCTION("""COMPUTED_VALUE"""),3.42)</f>
        <v>3.42</v>
      </c>
      <c r="D500">
        <f>IFERROR(__xludf.DUMMYFUNCTION("""COMPUTED_VALUE"""),6.47)</f>
        <v>6.47</v>
      </c>
      <c r="E500">
        <f>IFERROR(__xludf.DUMMYFUNCTION("""COMPUTED_VALUE"""),8.84)</f>
        <v>8.84</v>
      </c>
      <c r="F500">
        <f>IFERROR(__xludf.DUMMYFUNCTION("""COMPUTED_VALUE"""),4.16)</f>
        <v>4.16</v>
      </c>
      <c r="G500">
        <f>IFERROR(__xludf.DUMMYFUNCTION("""COMPUTED_VALUE"""),2.11)</f>
        <v>2.11</v>
      </c>
      <c r="H500">
        <f>IFERROR(__xludf.DUMMYFUNCTION("""COMPUTED_VALUE"""),7.05)</f>
        <v>7.05</v>
      </c>
      <c r="I500">
        <f>IFERROR(__xludf.DUMMYFUNCTION("""COMPUTED_VALUE"""),85.32)</f>
        <v>85.32</v>
      </c>
      <c r="J500">
        <f>IFERROR(__xludf.DUMMYFUNCTION("""COMPUTED_VALUE"""),16.68)</f>
        <v>16.68</v>
      </c>
      <c r="K500">
        <f>IFERROR(__xludf.DUMMYFUNCTION("""COMPUTED_VALUE"""),0.16)</f>
        <v>0.16</v>
      </c>
      <c r="L500">
        <f>IFERROR(__xludf.DUMMYFUNCTION("""COMPUTED_VALUE"""),0.0)</f>
        <v>0</v>
      </c>
      <c r="M500">
        <f>IFERROR(__xludf.DUMMYFUNCTION("""COMPUTED_VALUE"""),2.95)</f>
        <v>2.95</v>
      </c>
      <c r="N500">
        <f>IFERROR(__xludf.DUMMYFUNCTION("""COMPUTED_VALUE"""),0.37)</f>
        <v>0.37</v>
      </c>
      <c r="O500">
        <f>IFERROR(__xludf.DUMMYFUNCTION("""COMPUTED_VALUE"""),0.21)</f>
        <v>0.21</v>
      </c>
    </row>
    <row r="501">
      <c r="A501" t="str">
        <f>IFERROR(__xludf.DUMMYFUNCTION("""COMPUTED_VALUE"""),"Rist")</f>
        <v>Rist</v>
      </c>
      <c r="B501" t="str">
        <f>IFERROR(__xludf.DUMMYFUNCTION("""COMPUTED_VALUE"""),"Stéphanie Rist")</f>
        <v>Stéphanie Rist</v>
      </c>
      <c r="C501">
        <f>IFERROR(__xludf.DUMMYFUNCTION("""COMPUTED_VALUE"""),3.89)</f>
        <v>3.89</v>
      </c>
      <c r="D501">
        <f>IFERROR(__xludf.DUMMYFUNCTION("""COMPUTED_VALUE"""),8.74)</f>
        <v>8.74</v>
      </c>
      <c r="E501">
        <f>IFERROR(__xludf.DUMMYFUNCTION("""COMPUTED_VALUE"""),64.11)</f>
        <v>64.11</v>
      </c>
      <c r="F501">
        <f>IFERROR(__xludf.DUMMYFUNCTION("""COMPUTED_VALUE"""),23.89)</f>
        <v>23.89</v>
      </c>
      <c r="G501">
        <f>IFERROR(__xludf.DUMMYFUNCTION("""COMPUTED_VALUE"""),23.84)</f>
        <v>23.84</v>
      </c>
      <c r="H501">
        <f>IFERROR(__xludf.DUMMYFUNCTION("""COMPUTED_VALUE"""),43.42)</f>
        <v>43.42</v>
      </c>
      <c r="I501">
        <f>IFERROR(__xludf.DUMMYFUNCTION("""COMPUTED_VALUE"""),93.84)</f>
        <v>93.84</v>
      </c>
      <c r="J501">
        <f>IFERROR(__xludf.DUMMYFUNCTION("""COMPUTED_VALUE"""),32.63)</f>
        <v>32.63</v>
      </c>
      <c r="K501">
        <f>IFERROR(__xludf.DUMMYFUNCTION("""COMPUTED_VALUE"""),1.11)</f>
        <v>1.11</v>
      </c>
      <c r="L501">
        <f>IFERROR(__xludf.DUMMYFUNCTION("""COMPUTED_VALUE"""),0.05)</f>
        <v>0.05</v>
      </c>
      <c r="M501">
        <f>IFERROR(__xludf.DUMMYFUNCTION("""COMPUTED_VALUE"""),2.0)</f>
        <v>2</v>
      </c>
      <c r="N501">
        <f>IFERROR(__xludf.DUMMYFUNCTION("""COMPUTED_VALUE"""),0.0)</f>
        <v>0</v>
      </c>
      <c r="O501">
        <f>IFERROR(__xludf.DUMMYFUNCTION("""COMPUTED_VALUE"""),0.21)</f>
        <v>0.21</v>
      </c>
    </row>
    <row r="502">
      <c r="A502" t="str">
        <f>IFERROR(__xludf.DUMMYFUNCTION("""COMPUTED_VALUE"""),"Rixain")</f>
        <v>Rixain</v>
      </c>
      <c r="B502" t="str">
        <f>IFERROR(__xludf.DUMMYFUNCTION("""COMPUTED_VALUE"""),"Marie-Pierre Rixain")</f>
        <v>Marie-Pierre Rixain</v>
      </c>
      <c r="C502">
        <f>IFERROR(__xludf.DUMMYFUNCTION("""COMPUTED_VALUE"""),2.58)</f>
        <v>2.58</v>
      </c>
      <c r="D502">
        <f>IFERROR(__xludf.DUMMYFUNCTION("""COMPUTED_VALUE"""),1.47)</f>
        <v>1.47</v>
      </c>
      <c r="E502">
        <f>IFERROR(__xludf.DUMMYFUNCTION("""COMPUTED_VALUE"""),0.58)</f>
        <v>0.58</v>
      </c>
      <c r="F502">
        <f>IFERROR(__xludf.DUMMYFUNCTION("""COMPUTED_VALUE"""),0.95)</f>
        <v>0.95</v>
      </c>
      <c r="G502">
        <f>IFERROR(__xludf.DUMMYFUNCTION("""COMPUTED_VALUE"""),2.05)</f>
        <v>2.05</v>
      </c>
      <c r="H502">
        <f>IFERROR(__xludf.DUMMYFUNCTION("""COMPUTED_VALUE"""),2.37)</f>
        <v>2.37</v>
      </c>
      <c r="I502">
        <f>IFERROR(__xludf.DUMMYFUNCTION("""COMPUTED_VALUE"""),48.63)</f>
        <v>48.63</v>
      </c>
      <c r="J502">
        <f>IFERROR(__xludf.DUMMYFUNCTION("""COMPUTED_VALUE"""),13.74)</f>
        <v>13.74</v>
      </c>
      <c r="K502">
        <f>IFERROR(__xludf.DUMMYFUNCTION("""COMPUTED_VALUE"""),0.0)</f>
        <v>0</v>
      </c>
      <c r="L502">
        <f>IFERROR(__xludf.DUMMYFUNCTION("""COMPUTED_VALUE"""),0.21)</f>
        <v>0.21</v>
      </c>
      <c r="M502">
        <f>IFERROR(__xludf.DUMMYFUNCTION("""COMPUTED_VALUE"""),2.21)</f>
        <v>2.21</v>
      </c>
      <c r="N502">
        <f>IFERROR(__xludf.DUMMYFUNCTION("""COMPUTED_VALUE"""),1.68)</f>
        <v>1.68</v>
      </c>
      <c r="O502">
        <f>IFERROR(__xludf.DUMMYFUNCTION("""COMPUTED_VALUE"""),0.16)</f>
        <v>0.16</v>
      </c>
    </row>
    <row r="503">
      <c r="A503" t="str">
        <f>IFERROR(__xludf.DUMMYFUNCTION("""COMPUTED_VALUE"""),"Robert-Dehault")</f>
        <v>Robert-Dehault</v>
      </c>
      <c r="B503" t="str">
        <f>IFERROR(__xludf.DUMMYFUNCTION("""COMPUTED_VALUE"""),"Laurence Robert-Dehault")</f>
        <v>Laurence Robert-Dehault</v>
      </c>
      <c r="C503">
        <f>IFERROR(__xludf.DUMMYFUNCTION("""COMPUTED_VALUE"""),3.74)</f>
        <v>3.74</v>
      </c>
      <c r="D503">
        <f>IFERROR(__xludf.DUMMYFUNCTION("""COMPUTED_VALUE"""),6.58)</f>
        <v>6.58</v>
      </c>
      <c r="E503">
        <f>IFERROR(__xludf.DUMMYFUNCTION("""COMPUTED_VALUE"""),4.26)</f>
        <v>4.26</v>
      </c>
      <c r="F503">
        <f>IFERROR(__xludf.DUMMYFUNCTION("""COMPUTED_VALUE"""),4.21)</f>
        <v>4.21</v>
      </c>
      <c r="G503">
        <f>IFERROR(__xludf.DUMMYFUNCTION("""COMPUTED_VALUE"""),0.79)</f>
        <v>0.79</v>
      </c>
      <c r="H503">
        <f>IFERROR(__xludf.DUMMYFUNCTION("""COMPUTED_VALUE"""),8.47)</f>
        <v>8.47</v>
      </c>
      <c r="I503">
        <f>IFERROR(__xludf.DUMMYFUNCTION("""COMPUTED_VALUE"""),457.79)</f>
        <v>457.79</v>
      </c>
      <c r="J503">
        <f>IFERROR(__xludf.DUMMYFUNCTION("""COMPUTED_VALUE"""),5.42)</f>
        <v>5.42</v>
      </c>
      <c r="K503">
        <f>IFERROR(__xludf.DUMMYFUNCTION("""COMPUTED_VALUE"""),0.05)</f>
        <v>0.05</v>
      </c>
      <c r="L503">
        <f>IFERROR(__xludf.DUMMYFUNCTION("""COMPUTED_VALUE"""),0.11)</f>
        <v>0.11</v>
      </c>
      <c r="M503">
        <f>IFERROR(__xludf.DUMMYFUNCTION("""COMPUTED_VALUE"""),7.84)</f>
        <v>7.84</v>
      </c>
      <c r="N503">
        <f>IFERROR(__xludf.DUMMYFUNCTION("""COMPUTED_VALUE"""),2.89)</f>
        <v>2.89</v>
      </c>
      <c r="O503">
        <f>IFERROR(__xludf.DUMMYFUNCTION("""COMPUTED_VALUE"""),0.26)</f>
        <v>0.26</v>
      </c>
    </row>
    <row r="504">
      <c r="A504" t="str">
        <f>IFERROR(__xludf.DUMMYFUNCTION("""COMPUTED_VALUE"""),"Rodwell")</f>
        <v>Rodwell</v>
      </c>
      <c r="B504" t="str">
        <f>IFERROR(__xludf.DUMMYFUNCTION("""COMPUTED_VALUE"""),"Charles Rodwell")</f>
        <v>Charles Rodwell</v>
      </c>
      <c r="C504">
        <f>IFERROR(__xludf.DUMMYFUNCTION("""COMPUTED_VALUE"""),3.26)</f>
        <v>3.26</v>
      </c>
      <c r="D504">
        <f>IFERROR(__xludf.DUMMYFUNCTION("""COMPUTED_VALUE"""),5.42)</f>
        <v>5.42</v>
      </c>
      <c r="E504">
        <f>IFERROR(__xludf.DUMMYFUNCTION("""COMPUTED_VALUE"""),1.53)</f>
        <v>1.53</v>
      </c>
      <c r="F504">
        <f>IFERROR(__xludf.DUMMYFUNCTION("""COMPUTED_VALUE"""),0.79)</f>
        <v>0.79</v>
      </c>
      <c r="G504">
        <f>IFERROR(__xludf.DUMMYFUNCTION("""COMPUTED_VALUE"""),0.05)</f>
        <v>0.05</v>
      </c>
      <c r="H504">
        <f>IFERROR(__xludf.DUMMYFUNCTION("""COMPUTED_VALUE"""),1.05)</f>
        <v>1.05</v>
      </c>
      <c r="I504">
        <f>IFERROR(__xludf.DUMMYFUNCTION("""COMPUTED_VALUE"""),63.32)</f>
        <v>63.32</v>
      </c>
      <c r="J504">
        <f>IFERROR(__xludf.DUMMYFUNCTION("""COMPUTED_VALUE"""),18.47)</f>
        <v>18.47</v>
      </c>
      <c r="K504">
        <f>IFERROR(__xludf.DUMMYFUNCTION("""COMPUTED_VALUE"""),0.16)</f>
        <v>0.16</v>
      </c>
      <c r="L504">
        <f>IFERROR(__xludf.DUMMYFUNCTION("""COMPUTED_VALUE"""),0.0)</f>
        <v>0</v>
      </c>
      <c r="M504">
        <f>IFERROR(__xludf.DUMMYFUNCTION("""COMPUTED_VALUE"""),2.47)</f>
        <v>2.47</v>
      </c>
      <c r="N504">
        <f>IFERROR(__xludf.DUMMYFUNCTION("""COMPUTED_VALUE"""),0.21)</f>
        <v>0.21</v>
      </c>
      <c r="O504">
        <f>IFERROR(__xludf.DUMMYFUNCTION("""COMPUTED_VALUE"""),0.21)</f>
        <v>0.21</v>
      </c>
    </row>
    <row r="505">
      <c r="A505" t="str">
        <f>IFERROR(__xludf.DUMMYFUNCTION("""COMPUTED_VALUE"""),"Rolland")</f>
        <v>Rolland</v>
      </c>
      <c r="B505" t="str">
        <f>IFERROR(__xludf.DUMMYFUNCTION("""COMPUTED_VALUE"""),"Vincent Rolland")</f>
        <v>Vincent Rolland</v>
      </c>
      <c r="C505">
        <f>IFERROR(__xludf.DUMMYFUNCTION("""COMPUTED_VALUE"""),3.84)</f>
        <v>3.84</v>
      </c>
      <c r="D505">
        <f>IFERROR(__xludf.DUMMYFUNCTION("""COMPUTED_VALUE"""),6.47)</f>
        <v>6.47</v>
      </c>
      <c r="E505">
        <f>IFERROR(__xludf.DUMMYFUNCTION("""COMPUTED_VALUE"""),4.58)</f>
        <v>4.58</v>
      </c>
      <c r="F505">
        <f>IFERROR(__xludf.DUMMYFUNCTION("""COMPUTED_VALUE"""),5.11)</f>
        <v>5.11</v>
      </c>
      <c r="G505">
        <f>IFERROR(__xludf.DUMMYFUNCTION("""COMPUTED_VALUE"""),3.16)</f>
        <v>3.16</v>
      </c>
      <c r="H505">
        <f>IFERROR(__xludf.DUMMYFUNCTION("""COMPUTED_VALUE"""),30.47)</f>
        <v>30.47</v>
      </c>
      <c r="I505">
        <f>IFERROR(__xludf.DUMMYFUNCTION("""COMPUTED_VALUE"""),151.74)</f>
        <v>151.74</v>
      </c>
      <c r="J505">
        <f>IFERROR(__xludf.DUMMYFUNCTION("""COMPUTED_VALUE"""),6.79)</f>
        <v>6.79</v>
      </c>
      <c r="K505">
        <f>IFERROR(__xludf.DUMMYFUNCTION("""COMPUTED_VALUE"""),0.05)</f>
        <v>0.05</v>
      </c>
      <c r="L505">
        <f>IFERROR(__xludf.DUMMYFUNCTION("""COMPUTED_VALUE"""),0.26)</f>
        <v>0.26</v>
      </c>
      <c r="M505">
        <f>IFERROR(__xludf.DUMMYFUNCTION("""COMPUTED_VALUE"""),5.11)</f>
        <v>5.11</v>
      </c>
      <c r="N505">
        <f>IFERROR(__xludf.DUMMYFUNCTION("""COMPUTED_VALUE"""),3.11)</f>
        <v>3.11</v>
      </c>
      <c r="O505">
        <f>IFERROR(__xludf.DUMMYFUNCTION("""COMPUTED_VALUE"""),0.32)</f>
        <v>0.32</v>
      </c>
    </row>
    <row r="506">
      <c r="A506" t="str">
        <f>IFERROR(__xludf.DUMMYFUNCTION("""COMPUTED_VALUE"""),"Rome")</f>
        <v>Rome</v>
      </c>
      <c r="B506" t="str">
        <f>IFERROR(__xludf.DUMMYFUNCTION("""COMPUTED_VALUE"""),"Sébastien Rome")</f>
        <v>Sébastien Rome</v>
      </c>
      <c r="C506">
        <f>IFERROR(__xludf.DUMMYFUNCTION("""COMPUTED_VALUE"""),3.68)</f>
        <v>3.68</v>
      </c>
      <c r="D506">
        <f>IFERROR(__xludf.DUMMYFUNCTION("""COMPUTED_VALUE"""),8.05)</f>
        <v>8.05</v>
      </c>
      <c r="E506">
        <f>IFERROR(__xludf.DUMMYFUNCTION("""COMPUTED_VALUE"""),12.89)</f>
        <v>12.89</v>
      </c>
      <c r="F506">
        <f>IFERROR(__xludf.DUMMYFUNCTION("""COMPUTED_VALUE"""),6.95)</f>
        <v>6.95</v>
      </c>
      <c r="G506">
        <f>IFERROR(__xludf.DUMMYFUNCTION("""COMPUTED_VALUE"""),3.42)</f>
        <v>3.42</v>
      </c>
      <c r="H506">
        <f>IFERROR(__xludf.DUMMYFUNCTION("""COMPUTED_VALUE"""),17.26)</f>
        <v>17.26</v>
      </c>
      <c r="I506">
        <f>IFERROR(__xludf.DUMMYFUNCTION("""COMPUTED_VALUE"""),888.68)</f>
        <v>888.68</v>
      </c>
      <c r="J506">
        <f>IFERROR(__xludf.DUMMYFUNCTION("""COMPUTED_VALUE"""),28.79)</f>
        <v>28.79</v>
      </c>
      <c r="K506">
        <f>IFERROR(__xludf.DUMMYFUNCTION("""COMPUTED_VALUE"""),0.21)</f>
        <v>0.21</v>
      </c>
      <c r="L506">
        <f>IFERROR(__xludf.DUMMYFUNCTION("""COMPUTED_VALUE"""),0.16)</f>
        <v>0.16</v>
      </c>
      <c r="M506">
        <f>IFERROR(__xludf.DUMMYFUNCTION("""COMPUTED_VALUE"""),7.26)</f>
        <v>7.26</v>
      </c>
      <c r="N506">
        <f>IFERROR(__xludf.DUMMYFUNCTION("""COMPUTED_VALUE"""),0.47)</f>
        <v>0.47</v>
      </c>
      <c r="O506">
        <f>IFERROR(__xludf.DUMMYFUNCTION("""COMPUTED_VALUE"""),0.21)</f>
        <v>0.21</v>
      </c>
    </row>
    <row r="507">
      <c r="A507" t="str">
        <f>IFERROR(__xludf.DUMMYFUNCTION("""COMPUTED_VALUE"""),"Roseren")</f>
        <v>Roseren</v>
      </c>
      <c r="B507" t="str">
        <f>IFERROR(__xludf.DUMMYFUNCTION("""COMPUTED_VALUE"""),"Xavier Roseren")</f>
        <v>Xavier Roseren</v>
      </c>
      <c r="C507">
        <f>IFERROR(__xludf.DUMMYFUNCTION("""COMPUTED_VALUE"""),3.68)</f>
        <v>3.68</v>
      </c>
      <c r="D507">
        <f>IFERROR(__xludf.DUMMYFUNCTION("""COMPUTED_VALUE"""),7.79)</f>
        <v>7.79</v>
      </c>
      <c r="E507">
        <f>IFERROR(__xludf.DUMMYFUNCTION("""COMPUTED_VALUE"""),2.53)</f>
        <v>2.53</v>
      </c>
      <c r="F507">
        <f>IFERROR(__xludf.DUMMYFUNCTION("""COMPUTED_VALUE"""),1.74)</f>
        <v>1.74</v>
      </c>
      <c r="G507">
        <f>IFERROR(__xludf.DUMMYFUNCTION("""COMPUTED_VALUE"""),0.37)</f>
        <v>0.37</v>
      </c>
      <c r="H507">
        <f>IFERROR(__xludf.DUMMYFUNCTION("""COMPUTED_VALUE"""),3.0)</f>
        <v>3</v>
      </c>
      <c r="I507">
        <f>IFERROR(__xludf.DUMMYFUNCTION("""COMPUTED_VALUE"""),69.74)</f>
        <v>69.74</v>
      </c>
      <c r="J507">
        <f>IFERROR(__xludf.DUMMYFUNCTION("""COMPUTED_VALUE"""),17.89)</f>
        <v>17.89</v>
      </c>
      <c r="K507">
        <f>IFERROR(__xludf.DUMMYFUNCTION("""COMPUTED_VALUE"""),0.16)</f>
        <v>0.16</v>
      </c>
      <c r="L507">
        <f>IFERROR(__xludf.DUMMYFUNCTION("""COMPUTED_VALUE"""),0.0)</f>
        <v>0</v>
      </c>
      <c r="M507">
        <f>IFERROR(__xludf.DUMMYFUNCTION("""COMPUTED_VALUE"""),2.21)</f>
        <v>2.21</v>
      </c>
      <c r="N507">
        <f>IFERROR(__xludf.DUMMYFUNCTION("""COMPUTED_VALUE"""),0.42)</f>
        <v>0.42</v>
      </c>
      <c r="O507">
        <f>IFERROR(__xludf.DUMMYFUNCTION("""COMPUTED_VALUE"""),0.16)</f>
        <v>0.16</v>
      </c>
    </row>
    <row r="508">
      <c r="A508" t="str">
        <f>IFERROR(__xludf.DUMMYFUNCTION("""COMPUTED_VALUE"""),"Rouaux")</f>
        <v>Rouaux</v>
      </c>
      <c r="B508" t="str">
        <f>IFERROR(__xludf.DUMMYFUNCTION("""COMPUTED_VALUE"""),"Claudia Rouaux")</f>
        <v>Claudia Rouaux</v>
      </c>
      <c r="C508">
        <f>IFERROR(__xludf.DUMMYFUNCTION("""COMPUTED_VALUE"""),3.84)</f>
        <v>3.84</v>
      </c>
      <c r="D508">
        <f>IFERROR(__xludf.DUMMYFUNCTION("""COMPUTED_VALUE"""),5.95)</f>
        <v>5.95</v>
      </c>
      <c r="E508">
        <f>IFERROR(__xludf.DUMMYFUNCTION("""COMPUTED_VALUE"""),8.58)</f>
        <v>8.58</v>
      </c>
      <c r="F508">
        <f>IFERROR(__xludf.DUMMYFUNCTION("""COMPUTED_VALUE"""),4.58)</f>
        <v>4.58</v>
      </c>
      <c r="G508">
        <f>IFERROR(__xludf.DUMMYFUNCTION("""COMPUTED_VALUE"""),1.16)</f>
        <v>1.16</v>
      </c>
      <c r="H508">
        <f>IFERROR(__xludf.DUMMYFUNCTION("""COMPUTED_VALUE"""),5.95)</f>
        <v>5.95</v>
      </c>
      <c r="I508">
        <f>IFERROR(__xludf.DUMMYFUNCTION("""COMPUTED_VALUE"""),438.84)</f>
        <v>438.84</v>
      </c>
      <c r="J508">
        <f>IFERROR(__xludf.DUMMYFUNCTION("""COMPUTED_VALUE"""),20.16)</f>
        <v>20.16</v>
      </c>
      <c r="K508">
        <f>IFERROR(__xludf.DUMMYFUNCTION("""COMPUTED_VALUE"""),0.11)</f>
        <v>0.11</v>
      </c>
      <c r="L508">
        <f>IFERROR(__xludf.DUMMYFUNCTION("""COMPUTED_VALUE"""),0.11)</f>
        <v>0.11</v>
      </c>
      <c r="M508">
        <f>IFERROR(__xludf.DUMMYFUNCTION("""COMPUTED_VALUE"""),4.63)</f>
        <v>4.63</v>
      </c>
      <c r="N508">
        <f>IFERROR(__xludf.DUMMYFUNCTION("""COMPUTED_VALUE"""),3.32)</f>
        <v>3.32</v>
      </c>
      <c r="O508">
        <f>IFERROR(__xludf.DUMMYFUNCTION("""COMPUTED_VALUE"""),0.42)</f>
        <v>0.42</v>
      </c>
    </row>
    <row r="509">
      <c r="A509" t="str">
        <f>IFERROR(__xludf.DUMMYFUNCTION("""COMPUTED_VALUE"""),"Roullaud")</f>
        <v>Roullaud</v>
      </c>
      <c r="B509" t="str">
        <f>IFERROR(__xludf.DUMMYFUNCTION("""COMPUTED_VALUE"""),"Béatrice Roullaud")</f>
        <v>Béatrice Roullaud</v>
      </c>
      <c r="C509">
        <f>IFERROR(__xludf.DUMMYFUNCTION("""COMPUTED_VALUE"""),4.05)</f>
        <v>4.05</v>
      </c>
      <c r="D509">
        <f>IFERROR(__xludf.DUMMYFUNCTION("""COMPUTED_VALUE"""),7.95)</f>
        <v>7.95</v>
      </c>
      <c r="E509">
        <f>IFERROR(__xludf.DUMMYFUNCTION("""COMPUTED_VALUE"""),6.42)</f>
        <v>6.42</v>
      </c>
      <c r="F509">
        <f>IFERROR(__xludf.DUMMYFUNCTION("""COMPUTED_VALUE"""),5.53)</f>
        <v>5.53</v>
      </c>
      <c r="G509">
        <f>IFERROR(__xludf.DUMMYFUNCTION("""COMPUTED_VALUE"""),5.47)</f>
        <v>5.47</v>
      </c>
      <c r="H509">
        <f>IFERROR(__xludf.DUMMYFUNCTION("""COMPUTED_VALUE"""),4.05)</f>
        <v>4.05</v>
      </c>
      <c r="I509">
        <f>IFERROR(__xludf.DUMMYFUNCTION("""COMPUTED_VALUE"""),440.84)</f>
        <v>440.84</v>
      </c>
      <c r="J509">
        <f>IFERROR(__xludf.DUMMYFUNCTION("""COMPUTED_VALUE"""),5.47)</f>
        <v>5.47</v>
      </c>
      <c r="K509">
        <f>IFERROR(__xludf.DUMMYFUNCTION("""COMPUTED_VALUE"""),0.0)</f>
        <v>0</v>
      </c>
      <c r="L509">
        <f>IFERROR(__xludf.DUMMYFUNCTION("""COMPUTED_VALUE"""),0.05)</f>
        <v>0.05</v>
      </c>
      <c r="M509">
        <f>IFERROR(__xludf.DUMMYFUNCTION("""COMPUTED_VALUE"""),3.95)</f>
        <v>3.95</v>
      </c>
      <c r="N509">
        <f>IFERROR(__xludf.DUMMYFUNCTION("""COMPUTED_VALUE"""),1.16)</f>
        <v>1.16</v>
      </c>
      <c r="O509">
        <f>IFERROR(__xludf.DUMMYFUNCTION("""COMPUTED_VALUE"""),0.26)</f>
        <v>0.26</v>
      </c>
    </row>
    <row r="510">
      <c r="A510" t="str">
        <f>IFERROR(__xludf.DUMMYFUNCTION("""COMPUTED_VALUE"""),"Rousseau")</f>
        <v>Rousseau</v>
      </c>
      <c r="B510" t="str">
        <f>IFERROR(__xludf.DUMMYFUNCTION("""COMPUTED_VALUE"""),"Sandrine Rousseau")</f>
        <v>Sandrine Rousseau</v>
      </c>
      <c r="C510">
        <f>IFERROR(__xludf.DUMMYFUNCTION("""COMPUTED_VALUE"""),4.0)</f>
        <v>4</v>
      </c>
      <c r="D510">
        <f>IFERROR(__xludf.DUMMYFUNCTION("""COMPUTED_VALUE"""),8.26)</f>
        <v>8.26</v>
      </c>
      <c r="E510">
        <f>IFERROR(__xludf.DUMMYFUNCTION("""COMPUTED_VALUE"""),21.11)</f>
        <v>21.11</v>
      </c>
      <c r="F510">
        <f>IFERROR(__xludf.DUMMYFUNCTION("""COMPUTED_VALUE"""),29.58)</f>
        <v>29.58</v>
      </c>
      <c r="G510">
        <f>IFERROR(__xludf.DUMMYFUNCTION("""COMPUTED_VALUE"""),21.84)</f>
        <v>21.84</v>
      </c>
      <c r="H510">
        <f>IFERROR(__xludf.DUMMYFUNCTION("""COMPUTED_VALUE"""),83.0)</f>
        <v>83</v>
      </c>
      <c r="I510">
        <f>IFERROR(__xludf.DUMMYFUNCTION("""COMPUTED_VALUE"""),555.89)</f>
        <v>555.89</v>
      </c>
      <c r="J510">
        <f>IFERROR(__xludf.DUMMYFUNCTION("""COMPUTED_VALUE"""),21.79)</f>
        <v>21.79</v>
      </c>
      <c r="K510">
        <f>IFERROR(__xludf.DUMMYFUNCTION("""COMPUTED_VALUE"""),0.11)</f>
        <v>0.11</v>
      </c>
      <c r="L510">
        <f>IFERROR(__xludf.DUMMYFUNCTION("""COMPUTED_VALUE"""),0.16)</f>
        <v>0.16</v>
      </c>
      <c r="M510">
        <f>IFERROR(__xludf.DUMMYFUNCTION("""COMPUTED_VALUE"""),3.89)</f>
        <v>3.89</v>
      </c>
      <c r="N510">
        <f>IFERROR(__xludf.DUMMYFUNCTION("""COMPUTED_VALUE"""),0.95)</f>
        <v>0.95</v>
      </c>
      <c r="O510">
        <f>IFERROR(__xludf.DUMMYFUNCTION("""COMPUTED_VALUE"""),0.58)</f>
        <v>0.58</v>
      </c>
    </row>
    <row r="511">
      <c r="A511" t="str">
        <f>IFERROR(__xludf.DUMMYFUNCTION("""COMPUTED_VALUE"""),"Roussel")</f>
        <v>Roussel</v>
      </c>
      <c r="B511" t="str">
        <f>IFERROR(__xludf.DUMMYFUNCTION("""COMPUTED_VALUE"""),"Fabien Roussel")</f>
        <v>Fabien Roussel</v>
      </c>
      <c r="C511">
        <f>IFERROR(__xludf.DUMMYFUNCTION("""COMPUTED_VALUE"""),2.95)</f>
        <v>2.95</v>
      </c>
      <c r="D511">
        <f>IFERROR(__xludf.DUMMYFUNCTION("""COMPUTED_VALUE"""),2.37)</f>
        <v>2.37</v>
      </c>
      <c r="E511">
        <f>IFERROR(__xludf.DUMMYFUNCTION("""COMPUTED_VALUE"""),3.05)</f>
        <v>3.05</v>
      </c>
      <c r="F511">
        <f>IFERROR(__xludf.DUMMYFUNCTION("""COMPUTED_VALUE"""),9.42)</f>
        <v>9.42</v>
      </c>
      <c r="G511">
        <f>IFERROR(__xludf.DUMMYFUNCTION("""COMPUTED_VALUE"""),10.63)</f>
        <v>10.63</v>
      </c>
      <c r="H511">
        <f>IFERROR(__xludf.DUMMYFUNCTION("""COMPUTED_VALUE"""),7.32)</f>
        <v>7.32</v>
      </c>
      <c r="I511">
        <f>IFERROR(__xludf.DUMMYFUNCTION("""COMPUTED_VALUE"""),207.74)</f>
        <v>207.74</v>
      </c>
      <c r="J511">
        <f>IFERROR(__xludf.DUMMYFUNCTION("""COMPUTED_VALUE"""),12.47)</f>
        <v>12.47</v>
      </c>
      <c r="K511">
        <f>IFERROR(__xludf.DUMMYFUNCTION("""COMPUTED_VALUE"""),0.05)</f>
        <v>0.05</v>
      </c>
      <c r="L511">
        <f>IFERROR(__xludf.DUMMYFUNCTION("""COMPUTED_VALUE"""),0.42)</f>
        <v>0.42</v>
      </c>
      <c r="M511">
        <f>IFERROR(__xludf.DUMMYFUNCTION("""COMPUTED_VALUE"""),4.16)</f>
        <v>4.16</v>
      </c>
      <c r="N511">
        <f>IFERROR(__xludf.DUMMYFUNCTION("""COMPUTED_VALUE"""),1.11)</f>
        <v>1.11</v>
      </c>
      <c r="O511">
        <f>IFERROR(__xludf.DUMMYFUNCTION("""COMPUTED_VALUE"""),0.63)</f>
        <v>0.63</v>
      </c>
    </row>
    <row r="512">
      <c r="A512" t="str">
        <f>IFERROR(__xludf.DUMMYFUNCTION("""COMPUTED_VALUE"""),"Rousset")</f>
        <v>Rousset</v>
      </c>
      <c r="B512" t="str">
        <f>IFERROR(__xludf.DUMMYFUNCTION("""COMPUTED_VALUE"""),"Jean-François Rousset")</f>
        <v>Jean-François Rousset</v>
      </c>
      <c r="C512">
        <f>IFERROR(__xludf.DUMMYFUNCTION("""COMPUTED_VALUE"""),4.05)</f>
        <v>4.05</v>
      </c>
      <c r="D512">
        <f>IFERROR(__xludf.DUMMYFUNCTION("""COMPUTED_VALUE"""),9.79)</f>
        <v>9.79</v>
      </c>
      <c r="E512">
        <f>IFERROR(__xludf.DUMMYFUNCTION("""COMPUTED_VALUE"""),5.26)</f>
        <v>5.26</v>
      </c>
      <c r="F512">
        <f>IFERROR(__xludf.DUMMYFUNCTION("""COMPUTED_VALUE"""),4.89)</f>
        <v>4.89</v>
      </c>
      <c r="G512">
        <f>IFERROR(__xludf.DUMMYFUNCTION("""COMPUTED_VALUE"""),1.53)</f>
        <v>1.53</v>
      </c>
      <c r="H512">
        <f>IFERROR(__xludf.DUMMYFUNCTION("""COMPUTED_VALUE"""),6.47)</f>
        <v>6.47</v>
      </c>
      <c r="I512">
        <f>IFERROR(__xludf.DUMMYFUNCTION("""COMPUTED_VALUE"""),77.84)</f>
        <v>77.84</v>
      </c>
      <c r="J512">
        <f>IFERROR(__xludf.DUMMYFUNCTION("""COMPUTED_VALUE"""),18.79)</f>
        <v>18.79</v>
      </c>
      <c r="K512">
        <f>IFERROR(__xludf.DUMMYFUNCTION("""COMPUTED_VALUE"""),0.0)</f>
        <v>0</v>
      </c>
      <c r="L512">
        <f>IFERROR(__xludf.DUMMYFUNCTION("""COMPUTED_VALUE"""),0.0)</f>
        <v>0</v>
      </c>
      <c r="M512">
        <f>IFERROR(__xludf.DUMMYFUNCTION("""COMPUTED_VALUE"""),2.32)</f>
        <v>2.32</v>
      </c>
      <c r="N512">
        <f>IFERROR(__xludf.DUMMYFUNCTION("""COMPUTED_VALUE"""),0.26)</f>
        <v>0.26</v>
      </c>
      <c r="O512">
        <f>IFERROR(__xludf.DUMMYFUNCTION("""COMPUTED_VALUE"""),0.16)</f>
        <v>0.16</v>
      </c>
    </row>
    <row r="513">
      <c r="A513" t="str">
        <f>IFERROR(__xludf.DUMMYFUNCTION("""COMPUTED_VALUE"""),"Royer-Perreaut")</f>
        <v>Royer-Perreaut</v>
      </c>
      <c r="B513" t="str">
        <f>IFERROR(__xludf.DUMMYFUNCTION("""COMPUTED_VALUE"""),"Lionel Royer-Perreaut")</f>
        <v>Lionel Royer-Perreaut</v>
      </c>
      <c r="C513">
        <f>IFERROR(__xludf.DUMMYFUNCTION("""COMPUTED_VALUE"""),3.47)</f>
        <v>3.47</v>
      </c>
      <c r="D513">
        <f>IFERROR(__xludf.DUMMYFUNCTION("""COMPUTED_VALUE"""),7.16)</f>
        <v>7.16</v>
      </c>
      <c r="E513">
        <f>IFERROR(__xludf.DUMMYFUNCTION("""COMPUTED_VALUE"""),7.53)</f>
        <v>7.53</v>
      </c>
      <c r="F513">
        <f>IFERROR(__xludf.DUMMYFUNCTION("""COMPUTED_VALUE"""),8.89)</f>
        <v>8.89</v>
      </c>
      <c r="G513">
        <f>IFERROR(__xludf.DUMMYFUNCTION("""COMPUTED_VALUE"""),7.63)</f>
        <v>7.63</v>
      </c>
      <c r="H513">
        <f>IFERROR(__xludf.DUMMYFUNCTION("""COMPUTED_VALUE"""),2.11)</f>
        <v>2.11</v>
      </c>
      <c r="I513">
        <f>IFERROR(__xludf.DUMMYFUNCTION("""COMPUTED_VALUE"""),65.68)</f>
        <v>65.68</v>
      </c>
      <c r="J513">
        <f>IFERROR(__xludf.DUMMYFUNCTION("""COMPUTED_VALUE"""),18.42)</f>
        <v>18.42</v>
      </c>
      <c r="K513">
        <f>IFERROR(__xludf.DUMMYFUNCTION("""COMPUTED_VALUE"""),0.21)</f>
        <v>0.21</v>
      </c>
      <c r="L513">
        <f>IFERROR(__xludf.DUMMYFUNCTION("""COMPUTED_VALUE"""),0.37)</f>
        <v>0.37</v>
      </c>
      <c r="M513">
        <f>IFERROR(__xludf.DUMMYFUNCTION("""COMPUTED_VALUE"""),3.32)</f>
        <v>3.32</v>
      </c>
      <c r="N513">
        <f>IFERROR(__xludf.DUMMYFUNCTION("""COMPUTED_VALUE"""),2.84)</f>
        <v>2.84</v>
      </c>
      <c r="O513">
        <f>IFERROR(__xludf.DUMMYFUNCTION("""COMPUTED_VALUE"""),0.37)</f>
        <v>0.37</v>
      </c>
    </row>
    <row r="514">
      <c r="A514" t="str">
        <f>IFERROR(__xludf.DUMMYFUNCTION("""COMPUTED_VALUE"""),"Rudigoz")</f>
        <v>Rudigoz</v>
      </c>
      <c r="B514" t="str">
        <f>IFERROR(__xludf.DUMMYFUNCTION("""COMPUTED_VALUE"""),"Thomas Rudigoz")</f>
        <v>Thomas Rudigoz</v>
      </c>
      <c r="C514">
        <f>IFERROR(__xludf.DUMMYFUNCTION("""COMPUTED_VALUE"""),3.84)</f>
        <v>3.84</v>
      </c>
      <c r="D514">
        <f>IFERROR(__xludf.DUMMYFUNCTION("""COMPUTED_VALUE"""),5.53)</f>
        <v>5.53</v>
      </c>
      <c r="E514">
        <f>IFERROR(__xludf.DUMMYFUNCTION("""COMPUTED_VALUE"""),3.63)</f>
        <v>3.63</v>
      </c>
      <c r="F514">
        <f>IFERROR(__xludf.DUMMYFUNCTION("""COMPUTED_VALUE"""),5.47)</f>
        <v>5.47</v>
      </c>
      <c r="G514">
        <f>IFERROR(__xludf.DUMMYFUNCTION("""COMPUTED_VALUE"""),9.05)</f>
        <v>9.05</v>
      </c>
      <c r="H514">
        <f>IFERROR(__xludf.DUMMYFUNCTION("""COMPUTED_VALUE"""),3.0)</f>
        <v>3</v>
      </c>
      <c r="I514">
        <f>IFERROR(__xludf.DUMMYFUNCTION("""COMPUTED_VALUE"""),63.63)</f>
        <v>63.63</v>
      </c>
      <c r="J514">
        <f>IFERROR(__xludf.DUMMYFUNCTION("""COMPUTED_VALUE"""),18.89)</f>
        <v>18.89</v>
      </c>
      <c r="K514">
        <f>IFERROR(__xludf.DUMMYFUNCTION("""COMPUTED_VALUE"""),0.21)</f>
        <v>0.21</v>
      </c>
      <c r="L514">
        <f>IFERROR(__xludf.DUMMYFUNCTION("""COMPUTED_VALUE"""),0.0)</f>
        <v>0</v>
      </c>
      <c r="M514">
        <f>IFERROR(__xludf.DUMMYFUNCTION("""COMPUTED_VALUE"""),2.16)</f>
        <v>2.16</v>
      </c>
      <c r="N514">
        <f>IFERROR(__xludf.DUMMYFUNCTION("""COMPUTED_VALUE"""),0.95)</f>
        <v>0.95</v>
      </c>
      <c r="O514">
        <f>IFERROR(__xludf.DUMMYFUNCTION("""COMPUTED_VALUE"""),0.21)</f>
        <v>0.21</v>
      </c>
    </row>
    <row r="515">
      <c r="A515" t="str">
        <f>IFERROR(__xludf.DUMMYFUNCTION("""COMPUTED_VALUE"""),"Ruffin")</f>
        <v>Ruffin</v>
      </c>
      <c r="B515" t="str">
        <f>IFERROR(__xludf.DUMMYFUNCTION("""COMPUTED_VALUE"""),"François Ruffin")</f>
        <v>François Ruffin</v>
      </c>
      <c r="C515">
        <f>IFERROR(__xludf.DUMMYFUNCTION("""COMPUTED_VALUE"""),3.58)</f>
        <v>3.58</v>
      </c>
      <c r="D515">
        <f>IFERROR(__xludf.DUMMYFUNCTION("""COMPUTED_VALUE"""),4.26)</f>
        <v>4.26</v>
      </c>
      <c r="E515">
        <f>IFERROR(__xludf.DUMMYFUNCTION("""COMPUTED_VALUE"""),11.58)</f>
        <v>11.58</v>
      </c>
      <c r="F515">
        <f>IFERROR(__xludf.DUMMYFUNCTION("""COMPUTED_VALUE"""),19.47)</f>
        <v>19.47</v>
      </c>
      <c r="G515">
        <f>IFERROR(__xludf.DUMMYFUNCTION("""COMPUTED_VALUE"""),11.95)</f>
        <v>11.95</v>
      </c>
      <c r="H515">
        <f>IFERROR(__xludf.DUMMYFUNCTION("""COMPUTED_VALUE"""),63.47)</f>
        <v>63.47</v>
      </c>
      <c r="I515">
        <f>IFERROR(__xludf.DUMMYFUNCTION("""COMPUTED_VALUE"""),902.47)</f>
        <v>902.47</v>
      </c>
      <c r="J515">
        <f>IFERROR(__xludf.DUMMYFUNCTION("""COMPUTED_VALUE"""),28.79)</f>
        <v>28.79</v>
      </c>
      <c r="K515">
        <f>IFERROR(__xludf.DUMMYFUNCTION("""COMPUTED_VALUE"""),0.32)</f>
        <v>0.32</v>
      </c>
      <c r="L515">
        <f>IFERROR(__xludf.DUMMYFUNCTION("""COMPUTED_VALUE"""),0.16)</f>
        <v>0.16</v>
      </c>
      <c r="M515">
        <f>IFERROR(__xludf.DUMMYFUNCTION("""COMPUTED_VALUE"""),7.47)</f>
        <v>7.47</v>
      </c>
      <c r="N515">
        <f>IFERROR(__xludf.DUMMYFUNCTION("""COMPUTED_VALUE"""),2.84)</f>
        <v>2.84</v>
      </c>
      <c r="O515">
        <f>IFERROR(__xludf.DUMMYFUNCTION("""COMPUTED_VALUE"""),0.11)</f>
        <v>0.11</v>
      </c>
    </row>
    <row r="516">
      <c r="A516" t="str">
        <f>IFERROR(__xludf.DUMMYFUNCTION("""COMPUTED_VALUE"""),"Sabatini")</f>
        <v>Sabatini</v>
      </c>
      <c r="B516" t="str">
        <f>IFERROR(__xludf.DUMMYFUNCTION("""COMPUTED_VALUE"""),"Anaïs Sabatini")</f>
        <v>Anaïs Sabatini</v>
      </c>
      <c r="C516">
        <f>IFERROR(__xludf.DUMMYFUNCTION("""COMPUTED_VALUE"""),3.74)</f>
        <v>3.74</v>
      </c>
      <c r="D516">
        <f>IFERROR(__xludf.DUMMYFUNCTION("""COMPUTED_VALUE"""),4.47)</f>
        <v>4.47</v>
      </c>
      <c r="E516">
        <f>IFERROR(__xludf.DUMMYFUNCTION("""COMPUTED_VALUE"""),2.11)</f>
        <v>2.11</v>
      </c>
      <c r="F516">
        <f>IFERROR(__xludf.DUMMYFUNCTION("""COMPUTED_VALUE"""),1.0)</f>
        <v>1</v>
      </c>
      <c r="G516">
        <f>IFERROR(__xludf.DUMMYFUNCTION("""COMPUTED_VALUE"""),0.26)</f>
        <v>0.26</v>
      </c>
      <c r="H516">
        <f>IFERROR(__xludf.DUMMYFUNCTION("""COMPUTED_VALUE"""),5.58)</f>
        <v>5.58</v>
      </c>
      <c r="I516">
        <f>IFERROR(__xludf.DUMMYFUNCTION("""COMPUTED_VALUE"""),458.89)</f>
        <v>458.89</v>
      </c>
      <c r="J516">
        <f>IFERROR(__xludf.DUMMYFUNCTION("""COMPUTED_VALUE"""),6.0)</f>
        <v>6</v>
      </c>
      <c r="K516">
        <f>IFERROR(__xludf.DUMMYFUNCTION("""COMPUTED_VALUE"""),0.21)</f>
        <v>0.21</v>
      </c>
      <c r="L516">
        <f>IFERROR(__xludf.DUMMYFUNCTION("""COMPUTED_VALUE"""),0.32)</f>
        <v>0.32</v>
      </c>
      <c r="M516">
        <f>IFERROR(__xludf.DUMMYFUNCTION("""COMPUTED_VALUE"""),4.53)</f>
        <v>4.53</v>
      </c>
      <c r="N516">
        <f>IFERROR(__xludf.DUMMYFUNCTION("""COMPUTED_VALUE"""),3.26)</f>
        <v>3.26</v>
      </c>
      <c r="O516">
        <f>IFERROR(__xludf.DUMMYFUNCTION("""COMPUTED_VALUE"""),0.11)</f>
        <v>0.11</v>
      </c>
    </row>
    <row r="517">
      <c r="A517" t="str">
        <f>IFERROR(__xludf.DUMMYFUNCTION("""COMPUTED_VALUE"""),"Sabatou")</f>
        <v>Sabatou</v>
      </c>
      <c r="B517" t="str">
        <f>IFERROR(__xludf.DUMMYFUNCTION("""COMPUTED_VALUE"""),"Alexandre Sabatou")</f>
        <v>Alexandre Sabatou</v>
      </c>
      <c r="C517">
        <f>IFERROR(__xludf.DUMMYFUNCTION("""COMPUTED_VALUE"""),4.05)</f>
        <v>4.05</v>
      </c>
      <c r="D517">
        <f>IFERROR(__xludf.DUMMYFUNCTION("""COMPUTED_VALUE"""),8.37)</f>
        <v>8.37</v>
      </c>
      <c r="E517">
        <f>IFERROR(__xludf.DUMMYFUNCTION("""COMPUTED_VALUE"""),5.58)</f>
        <v>5.58</v>
      </c>
      <c r="F517">
        <f>IFERROR(__xludf.DUMMYFUNCTION("""COMPUTED_VALUE"""),8.53)</f>
        <v>8.53</v>
      </c>
      <c r="G517">
        <f>IFERROR(__xludf.DUMMYFUNCTION("""COMPUTED_VALUE"""),2.79)</f>
        <v>2.79</v>
      </c>
      <c r="H517">
        <f>IFERROR(__xludf.DUMMYFUNCTION("""COMPUTED_VALUE"""),7.0)</f>
        <v>7</v>
      </c>
      <c r="I517">
        <f>IFERROR(__xludf.DUMMYFUNCTION("""COMPUTED_VALUE"""),452.05)</f>
        <v>452.05</v>
      </c>
      <c r="J517">
        <f>IFERROR(__xludf.DUMMYFUNCTION("""COMPUTED_VALUE"""),5.58)</f>
        <v>5.58</v>
      </c>
      <c r="K517">
        <f>IFERROR(__xludf.DUMMYFUNCTION("""COMPUTED_VALUE"""),0.16)</f>
        <v>0.16</v>
      </c>
      <c r="L517">
        <f>IFERROR(__xludf.DUMMYFUNCTION("""COMPUTED_VALUE"""),0.21)</f>
        <v>0.21</v>
      </c>
      <c r="M517">
        <f>IFERROR(__xludf.DUMMYFUNCTION("""COMPUTED_VALUE"""),5.79)</f>
        <v>5.79</v>
      </c>
      <c r="N517">
        <f>IFERROR(__xludf.DUMMYFUNCTION("""COMPUTED_VALUE"""),2.42)</f>
        <v>2.42</v>
      </c>
      <c r="O517">
        <f>IFERROR(__xludf.DUMMYFUNCTION("""COMPUTED_VALUE"""),0.16)</f>
        <v>0.16</v>
      </c>
    </row>
    <row r="518">
      <c r="A518" t="str">
        <f>IFERROR(__xludf.DUMMYFUNCTION("""COMPUTED_VALUE"""),"Saint-Huile")</f>
        <v>Saint-Huile</v>
      </c>
      <c r="B518" t="str">
        <f>IFERROR(__xludf.DUMMYFUNCTION("""COMPUTED_VALUE"""),"Benjamin Saint-Huile")</f>
        <v>Benjamin Saint-Huile</v>
      </c>
      <c r="C518">
        <f>IFERROR(__xludf.DUMMYFUNCTION("""COMPUTED_VALUE"""),3.68)</f>
        <v>3.68</v>
      </c>
      <c r="D518">
        <f>IFERROR(__xludf.DUMMYFUNCTION("""COMPUTED_VALUE"""),7.42)</f>
        <v>7.42</v>
      </c>
      <c r="E518">
        <f>IFERROR(__xludf.DUMMYFUNCTION("""COMPUTED_VALUE"""),11.53)</f>
        <v>11.53</v>
      </c>
      <c r="F518">
        <f>IFERROR(__xludf.DUMMYFUNCTION("""COMPUTED_VALUE"""),19.63)</f>
        <v>19.63</v>
      </c>
      <c r="G518">
        <f>IFERROR(__xludf.DUMMYFUNCTION("""COMPUTED_VALUE"""),7.63)</f>
        <v>7.63</v>
      </c>
      <c r="H518">
        <f>IFERROR(__xludf.DUMMYFUNCTION("""COMPUTED_VALUE"""),19.42)</f>
        <v>19.42</v>
      </c>
      <c r="I518">
        <f>IFERROR(__xludf.DUMMYFUNCTION("""COMPUTED_VALUE"""),243.84)</f>
        <v>243.84</v>
      </c>
      <c r="J518">
        <f>IFERROR(__xludf.DUMMYFUNCTION("""COMPUTED_VALUE"""),15.58)</f>
        <v>15.58</v>
      </c>
      <c r="K518">
        <f>IFERROR(__xludf.DUMMYFUNCTION("""COMPUTED_VALUE"""),0.11)</f>
        <v>0.11</v>
      </c>
      <c r="L518">
        <f>IFERROR(__xludf.DUMMYFUNCTION("""COMPUTED_VALUE"""),0.26)</f>
        <v>0.26</v>
      </c>
      <c r="M518">
        <f>IFERROR(__xludf.DUMMYFUNCTION("""COMPUTED_VALUE"""),2.11)</f>
        <v>2.11</v>
      </c>
      <c r="N518">
        <f>IFERROR(__xludf.DUMMYFUNCTION("""COMPUTED_VALUE"""),2.63)</f>
        <v>2.63</v>
      </c>
      <c r="O518">
        <f>IFERROR(__xludf.DUMMYFUNCTION("""COMPUTED_VALUE"""),0.79)</f>
        <v>0.79</v>
      </c>
    </row>
    <row r="519">
      <c r="A519" t="str">
        <f>IFERROR(__xludf.DUMMYFUNCTION("""COMPUTED_VALUE"""),"Saint-Paul")</f>
        <v>Saint-Paul</v>
      </c>
      <c r="B519" t="str">
        <f>IFERROR(__xludf.DUMMYFUNCTION("""COMPUTED_VALUE"""),"Laetitia Saint-Paul")</f>
        <v>Laetitia Saint-Paul</v>
      </c>
      <c r="C519">
        <f>IFERROR(__xludf.DUMMYFUNCTION("""COMPUTED_VALUE"""),3.37)</f>
        <v>3.37</v>
      </c>
      <c r="D519">
        <f>IFERROR(__xludf.DUMMYFUNCTION("""COMPUTED_VALUE"""),5.37)</f>
        <v>5.37</v>
      </c>
      <c r="E519">
        <f>IFERROR(__xludf.DUMMYFUNCTION("""COMPUTED_VALUE"""),5.63)</f>
        <v>5.63</v>
      </c>
      <c r="F519">
        <f>IFERROR(__xludf.DUMMYFUNCTION("""COMPUTED_VALUE"""),0.53)</f>
        <v>0.53</v>
      </c>
      <c r="G519">
        <f>IFERROR(__xludf.DUMMYFUNCTION("""COMPUTED_VALUE"""),0.11)</f>
        <v>0.11</v>
      </c>
      <c r="H519">
        <f>IFERROR(__xludf.DUMMYFUNCTION("""COMPUTED_VALUE"""),0.63)</f>
        <v>0.63</v>
      </c>
      <c r="I519">
        <f>IFERROR(__xludf.DUMMYFUNCTION("""COMPUTED_VALUE"""),48.95)</f>
        <v>48.95</v>
      </c>
      <c r="J519">
        <f>IFERROR(__xludf.DUMMYFUNCTION("""COMPUTED_VALUE"""),14.47)</f>
        <v>14.47</v>
      </c>
      <c r="K519">
        <f>IFERROR(__xludf.DUMMYFUNCTION("""COMPUTED_VALUE"""),0.0)</f>
        <v>0</v>
      </c>
      <c r="L519">
        <f>IFERROR(__xludf.DUMMYFUNCTION("""COMPUTED_VALUE"""),0.16)</f>
        <v>0.16</v>
      </c>
      <c r="M519">
        <f>IFERROR(__xludf.DUMMYFUNCTION("""COMPUTED_VALUE"""),2.37)</f>
        <v>2.37</v>
      </c>
      <c r="N519">
        <f>IFERROR(__xludf.DUMMYFUNCTION("""COMPUTED_VALUE"""),0.63)</f>
        <v>0.63</v>
      </c>
      <c r="O519">
        <f>IFERROR(__xludf.DUMMYFUNCTION("""COMPUTED_VALUE"""),0.16)</f>
        <v>0.16</v>
      </c>
    </row>
    <row r="520">
      <c r="A520" t="str">
        <f>IFERROR(__xludf.DUMMYFUNCTION("""COMPUTED_VALUE"""),"Saintoul")</f>
        <v>Saintoul</v>
      </c>
      <c r="B520" t="str">
        <f>IFERROR(__xludf.DUMMYFUNCTION("""COMPUTED_VALUE"""),"Aurélien Saintoul")</f>
        <v>Aurélien Saintoul</v>
      </c>
      <c r="C520">
        <f>IFERROR(__xludf.DUMMYFUNCTION("""COMPUTED_VALUE"""),3.89)</f>
        <v>3.89</v>
      </c>
      <c r="D520">
        <f>IFERROR(__xludf.DUMMYFUNCTION("""COMPUTED_VALUE"""),9.0)</f>
        <v>9</v>
      </c>
      <c r="E520">
        <f>IFERROR(__xludf.DUMMYFUNCTION("""COMPUTED_VALUE"""),55.58)</f>
        <v>55.58</v>
      </c>
      <c r="F520">
        <f>IFERROR(__xludf.DUMMYFUNCTION("""COMPUTED_VALUE"""),31.47)</f>
        <v>31.47</v>
      </c>
      <c r="G520">
        <f>IFERROR(__xludf.DUMMYFUNCTION("""COMPUTED_VALUE"""),13.47)</f>
        <v>13.47</v>
      </c>
      <c r="H520">
        <f>IFERROR(__xludf.DUMMYFUNCTION("""COMPUTED_VALUE"""),33.21)</f>
        <v>33.21</v>
      </c>
      <c r="I520">
        <f>IFERROR(__xludf.DUMMYFUNCTION("""COMPUTED_VALUE"""),888.47)</f>
        <v>888.47</v>
      </c>
      <c r="J520">
        <f>IFERROR(__xludf.DUMMYFUNCTION("""COMPUTED_VALUE"""),28.68)</f>
        <v>28.68</v>
      </c>
      <c r="K520">
        <f>IFERROR(__xludf.DUMMYFUNCTION("""COMPUTED_VALUE"""),0.11)</f>
        <v>0.11</v>
      </c>
      <c r="L520">
        <f>IFERROR(__xludf.DUMMYFUNCTION("""COMPUTED_VALUE"""),0.42)</f>
        <v>0.42</v>
      </c>
      <c r="M520">
        <f>IFERROR(__xludf.DUMMYFUNCTION("""COMPUTED_VALUE"""),7.58)</f>
        <v>7.58</v>
      </c>
      <c r="N520">
        <f>IFERROR(__xludf.DUMMYFUNCTION("""COMPUTED_VALUE"""),4.53)</f>
        <v>4.53</v>
      </c>
      <c r="O520">
        <f>IFERROR(__xludf.DUMMYFUNCTION("""COMPUTED_VALUE"""),0.21)</f>
        <v>0.21</v>
      </c>
    </row>
    <row r="521">
      <c r="A521" t="str">
        <f>IFERROR(__xludf.DUMMYFUNCTION("""COMPUTED_VALUE"""),"Sala")</f>
        <v>Sala</v>
      </c>
      <c r="B521" t="str">
        <f>IFERROR(__xludf.DUMMYFUNCTION("""COMPUTED_VALUE"""),"Michel Sala")</f>
        <v>Michel Sala</v>
      </c>
      <c r="C521">
        <f>IFERROR(__xludf.DUMMYFUNCTION("""COMPUTED_VALUE"""),3.42)</f>
        <v>3.42</v>
      </c>
      <c r="D521">
        <f>IFERROR(__xludf.DUMMYFUNCTION("""COMPUTED_VALUE"""),6.0)</f>
        <v>6</v>
      </c>
      <c r="E521">
        <f>IFERROR(__xludf.DUMMYFUNCTION("""COMPUTED_VALUE"""),5.42)</f>
        <v>5.42</v>
      </c>
      <c r="F521">
        <f>IFERROR(__xludf.DUMMYFUNCTION("""COMPUTED_VALUE"""),2.89)</f>
        <v>2.89</v>
      </c>
      <c r="G521">
        <f>IFERROR(__xludf.DUMMYFUNCTION("""COMPUTED_VALUE"""),0.21)</f>
        <v>0.21</v>
      </c>
      <c r="H521">
        <f>IFERROR(__xludf.DUMMYFUNCTION("""COMPUTED_VALUE"""),15.42)</f>
        <v>15.42</v>
      </c>
      <c r="I521">
        <f>IFERROR(__xludf.DUMMYFUNCTION("""COMPUTED_VALUE"""),889.74)</f>
        <v>889.74</v>
      </c>
      <c r="J521">
        <f>IFERROR(__xludf.DUMMYFUNCTION("""COMPUTED_VALUE"""),28.74)</f>
        <v>28.74</v>
      </c>
      <c r="K521">
        <f>IFERROR(__xludf.DUMMYFUNCTION("""COMPUTED_VALUE"""),0.16)</f>
        <v>0.16</v>
      </c>
      <c r="L521">
        <f>IFERROR(__xludf.DUMMYFUNCTION("""COMPUTED_VALUE"""),0.11)</f>
        <v>0.11</v>
      </c>
      <c r="M521">
        <f>IFERROR(__xludf.DUMMYFUNCTION("""COMPUTED_VALUE"""),7.26)</f>
        <v>7.26</v>
      </c>
      <c r="N521">
        <f>IFERROR(__xludf.DUMMYFUNCTION("""COMPUTED_VALUE"""),1.11)</f>
        <v>1.11</v>
      </c>
      <c r="O521">
        <f>IFERROR(__xludf.DUMMYFUNCTION("""COMPUTED_VALUE"""),0.26)</f>
        <v>0.26</v>
      </c>
    </row>
    <row r="522">
      <c r="A522" t="str">
        <f>IFERROR(__xludf.DUMMYFUNCTION("""COMPUTED_VALUE"""),"Salmon")</f>
        <v>Salmon</v>
      </c>
      <c r="B522" t="str">
        <f>IFERROR(__xludf.DUMMYFUNCTION("""COMPUTED_VALUE"""),"Emeric Salmon")</f>
        <v>Emeric Salmon</v>
      </c>
      <c r="C522">
        <f>IFERROR(__xludf.DUMMYFUNCTION("""COMPUTED_VALUE"""),4.0)</f>
        <v>4</v>
      </c>
      <c r="D522">
        <f>IFERROR(__xludf.DUMMYFUNCTION("""COMPUTED_VALUE"""),5.89)</f>
        <v>5.89</v>
      </c>
      <c r="E522">
        <f>IFERROR(__xludf.DUMMYFUNCTION("""COMPUTED_VALUE"""),3.53)</f>
        <v>3.53</v>
      </c>
      <c r="F522">
        <f>IFERROR(__xludf.DUMMYFUNCTION("""COMPUTED_VALUE"""),9.21)</f>
        <v>9.21</v>
      </c>
      <c r="G522">
        <f>IFERROR(__xludf.DUMMYFUNCTION("""COMPUTED_VALUE"""),38.32)</f>
        <v>38.32</v>
      </c>
      <c r="H522">
        <f>IFERROR(__xludf.DUMMYFUNCTION("""COMPUTED_VALUE"""),2.84)</f>
        <v>2.84</v>
      </c>
      <c r="I522">
        <f>IFERROR(__xludf.DUMMYFUNCTION("""COMPUTED_VALUE"""),450.11)</f>
        <v>450.11</v>
      </c>
      <c r="J522">
        <f>IFERROR(__xludf.DUMMYFUNCTION("""COMPUTED_VALUE"""),5.42)</f>
        <v>5.42</v>
      </c>
      <c r="K522">
        <f>IFERROR(__xludf.DUMMYFUNCTION("""COMPUTED_VALUE"""),0.16)</f>
        <v>0.16</v>
      </c>
      <c r="L522">
        <f>IFERROR(__xludf.DUMMYFUNCTION("""COMPUTED_VALUE"""),0.11)</f>
        <v>0.11</v>
      </c>
      <c r="M522">
        <f>IFERROR(__xludf.DUMMYFUNCTION("""COMPUTED_VALUE"""),7.47)</f>
        <v>7.47</v>
      </c>
      <c r="N522">
        <f>IFERROR(__xludf.DUMMYFUNCTION("""COMPUTED_VALUE"""),0.84)</f>
        <v>0.84</v>
      </c>
      <c r="O522">
        <f>IFERROR(__xludf.DUMMYFUNCTION("""COMPUTED_VALUE"""),0.21)</f>
        <v>0.21</v>
      </c>
    </row>
    <row r="523">
      <c r="A523" t="str">
        <f>IFERROR(__xludf.DUMMYFUNCTION("""COMPUTED_VALUE"""),"Sansu")</f>
        <v>Sansu</v>
      </c>
      <c r="B523" t="str">
        <f>IFERROR(__xludf.DUMMYFUNCTION("""COMPUTED_VALUE"""),"Nicolas Sansu")</f>
        <v>Nicolas Sansu</v>
      </c>
      <c r="C523">
        <f>IFERROR(__xludf.DUMMYFUNCTION("""COMPUTED_VALUE"""),3.89)</f>
        <v>3.89</v>
      </c>
      <c r="D523">
        <f>IFERROR(__xludf.DUMMYFUNCTION("""COMPUTED_VALUE"""),6.79)</f>
        <v>6.79</v>
      </c>
      <c r="E523">
        <f>IFERROR(__xludf.DUMMYFUNCTION("""COMPUTED_VALUE"""),17.32)</f>
        <v>17.32</v>
      </c>
      <c r="F523">
        <f>IFERROR(__xludf.DUMMYFUNCTION("""COMPUTED_VALUE"""),24.05)</f>
        <v>24.05</v>
      </c>
      <c r="G523">
        <f>IFERROR(__xludf.DUMMYFUNCTION("""COMPUTED_VALUE"""),32.21)</f>
        <v>32.21</v>
      </c>
      <c r="H523">
        <f>IFERROR(__xludf.DUMMYFUNCTION("""COMPUTED_VALUE"""),22.16)</f>
        <v>22.16</v>
      </c>
      <c r="I523">
        <f>IFERROR(__xludf.DUMMYFUNCTION("""COMPUTED_VALUE"""),230.32)</f>
        <v>230.32</v>
      </c>
      <c r="J523">
        <f>IFERROR(__xludf.DUMMYFUNCTION("""COMPUTED_VALUE"""),14.74)</f>
        <v>14.74</v>
      </c>
      <c r="K523">
        <f>IFERROR(__xludf.DUMMYFUNCTION("""COMPUTED_VALUE"""),0.32)</f>
        <v>0.32</v>
      </c>
      <c r="L523">
        <f>IFERROR(__xludf.DUMMYFUNCTION("""COMPUTED_VALUE"""),0.37)</f>
        <v>0.37</v>
      </c>
      <c r="M523">
        <f>IFERROR(__xludf.DUMMYFUNCTION("""COMPUTED_VALUE"""),4.16)</f>
        <v>4.16</v>
      </c>
      <c r="N523">
        <f>IFERROR(__xludf.DUMMYFUNCTION("""COMPUTED_VALUE"""),0.74)</f>
        <v>0.74</v>
      </c>
      <c r="O523">
        <f>IFERROR(__xludf.DUMMYFUNCTION("""COMPUTED_VALUE"""),0.32)</f>
        <v>0.32</v>
      </c>
    </row>
    <row r="524">
      <c r="A524" t="str">
        <f>IFERROR(__xludf.DUMMYFUNCTION("""COMPUTED_VALUE"""),"Santiago")</f>
        <v>Santiago</v>
      </c>
      <c r="B524" t="str">
        <f>IFERROR(__xludf.DUMMYFUNCTION("""COMPUTED_VALUE"""),"Isabelle Santiago")</f>
        <v>Isabelle Santiago</v>
      </c>
      <c r="C524">
        <f>IFERROR(__xludf.DUMMYFUNCTION("""COMPUTED_VALUE"""),3.37)</f>
        <v>3.37</v>
      </c>
      <c r="D524">
        <f>IFERROR(__xludf.DUMMYFUNCTION("""COMPUTED_VALUE"""),6.37)</f>
        <v>6.37</v>
      </c>
      <c r="E524">
        <f>IFERROR(__xludf.DUMMYFUNCTION("""COMPUTED_VALUE"""),9.68)</f>
        <v>9.68</v>
      </c>
      <c r="F524">
        <f>IFERROR(__xludf.DUMMYFUNCTION("""COMPUTED_VALUE"""),4.84)</f>
        <v>4.84</v>
      </c>
      <c r="G524">
        <f>IFERROR(__xludf.DUMMYFUNCTION("""COMPUTED_VALUE"""),1.26)</f>
        <v>1.26</v>
      </c>
      <c r="H524">
        <f>IFERROR(__xludf.DUMMYFUNCTION("""COMPUTED_VALUE"""),11.68)</f>
        <v>11.68</v>
      </c>
      <c r="I524">
        <f>IFERROR(__xludf.DUMMYFUNCTION("""COMPUTED_VALUE"""),436.84)</f>
        <v>436.84</v>
      </c>
      <c r="J524">
        <f>IFERROR(__xludf.DUMMYFUNCTION("""COMPUTED_VALUE"""),21.42)</f>
        <v>21.42</v>
      </c>
      <c r="K524">
        <f>IFERROR(__xludf.DUMMYFUNCTION("""COMPUTED_VALUE"""),0.37)</f>
        <v>0.37</v>
      </c>
      <c r="L524">
        <f>IFERROR(__xludf.DUMMYFUNCTION("""COMPUTED_VALUE"""),0.37)</f>
        <v>0.37</v>
      </c>
      <c r="M524">
        <f>IFERROR(__xludf.DUMMYFUNCTION("""COMPUTED_VALUE"""),4.21)</f>
        <v>4.21</v>
      </c>
      <c r="N524">
        <f>IFERROR(__xludf.DUMMYFUNCTION("""COMPUTED_VALUE"""),2.16)</f>
        <v>2.16</v>
      </c>
      <c r="O524">
        <f>IFERROR(__xludf.DUMMYFUNCTION("""COMPUTED_VALUE"""),0.32)</f>
        <v>0.32</v>
      </c>
    </row>
    <row r="525">
      <c r="A525" t="str">
        <f>IFERROR(__xludf.DUMMYFUNCTION("""COMPUTED_VALUE"""),"Sas")</f>
        <v>Sas</v>
      </c>
      <c r="B525" t="str">
        <f>IFERROR(__xludf.DUMMYFUNCTION("""COMPUTED_VALUE"""),"Eva Sas")</f>
        <v>Eva Sas</v>
      </c>
      <c r="C525">
        <f>IFERROR(__xludf.DUMMYFUNCTION("""COMPUTED_VALUE"""),3.84)</f>
        <v>3.84</v>
      </c>
      <c r="D525">
        <f>IFERROR(__xludf.DUMMYFUNCTION("""COMPUTED_VALUE"""),7.26)</f>
        <v>7.26</v>
      </c>
      <c r="E525">
        <f>IFERROR(__xludf.DUMMYFUNCTION("""COMPUTED_VALUE"""),22.74)</f>
        <v>22.74</v>
      </c>
      <c r="F525">
        <f>IFERROR(__xludf.DUMMYFUNCTION("""COMPUTED_VALUE"""),18.63)</f>
        <v>18.63</v>
      </c>
      <c r="G525">
        <f>IFERROR(__xludf.DUMMYFUNCTION("""COMPUTED_VALUE"""),3.05)</f>
        <v>3.05</v>
      </c>
      <c r="H525">
        <f>IFERROR(__xludf.DUMMYFUNCTION("""COMPUTED_VALUE"""),38.37)</f>
        <v>38.37</v>
      </c>
      <c r="I525">
        <f>IFERROR(__xludf.DUMMYFUNCTION("""COMPUTED_VALUE"""),512.26)</f>
        <v>512.26</v>
      </c>
      <c r="J525">
        <f>IFERROR(__xludf.DUMMYFUNCTION("""COMPUTED_VALUE"""),18.74)</f>
        <v>18.74</v>
      </c>
      <c r="K525">
        <f>IFERROR(__xludf.DUMMYFUNCTION("""COMPUTED_VALUE"""),0.21)</f>
        <v>0.21</v>
      </c>
      <c r="L525">
        <f>IFERROR(__xludf.DUMMYFUNCTION("""COMPUTED_VALUE"""),0.26)</f>
        <v>0.26</v>
      </c>
      <c r="M525">
        <f>IFERROR(__xludf.DUMMYFUNCTION("""COMPUTED_VALUE"""),4.37)</f>
        <v>4.37</v>
      </c>
      <c r="N525">
        <f>IFERROR(__xludf.DUMMYFUNCTION("""COMPUTED_VALUE"""),1.63)</f>
        <v>1.63</v>
      </c>
      <c r="O525">
        <f>IFERROR(__xludf.DUMMYFUNCTION("""COMPUTED_VALUE"""),0.47)</f>
        <v>0.47</v>
      </c>
    </row>
    <row r="526">
      <c r="A526" t="str">
        <f>IFERROR(__xludf.DUMMYFUNCTION("""COMPUTED_VALUE"""),"Saulignac")</f>
        <v>Saulignac</v>
      </c>
      <c r="B526" t="str">
        <f>IFERROR(__xludf.DUMMYFUNCTION("""COMPUTED_VALUE"""),"Hervé Saulignac")</f>
        <v>Hervé Saulignac</v>
      </c>
      <c r="C526">
        <f>IFERROR(__xludf.DUMMYFUNCTION("""COMPUTED_VALUE"""),3.84)</f>
        <v>3.84</v>
      </c>
      <c r="D526">
        <f>IFERROR(__xludf.DUMMYFUNCTION("""COMPUTED_VALUE"""),5.58)</f>
        <v>5.58</v>
      </c>
      <c r="E526">
        <f>IFERROR(__xludf.DUMMYFUNCTION("""COMPUTED_VALUE"""),7.11)</f>
        <v>7.11</v>
      </c>
      <c r="F526">
        <f>IFERROR(__xludf.DUMMYFUNCTION("""COMPUTED_VALUE"""),9.89)</f>
        <v>9.89</v>
      </c>
      <c r="G526">
        <f>IFERROR(__xludf.DUMMYFUNCTION("""COMPUTED_VALUE"""),3.11)</f>
        <v>3.11</v>
      </c>
      <c r="H526">
        <f>IFERROR(__xludf.DUMMYFUNCTION("""COMPUTED_VALUE"""),6.74)</f>
        <v>6.74</v>
      </c>
      <c r="I526">
        <f>IFERROR(__xludf.DUMMYFUNCTION("""COMPUTED_VALUE"""),461.37)</f>
        <v>461.37</v>
      </c>
      <c r="J526">
        <f>IFERROR(__xludf.DUMMYFUNCTION("""COMPUTED_VALUE"""),24.95)</f>
        <v>24.95</v>
      </c>
      <c r="K526">
        <f>IFERROR(__xludf.DUMMYFUNCTION("""COMPUTED_VALUE"""),0.16)</f>
        <v>0.16</v>
      </c>
      <c r="L526">
        <f>IFERROR(__xludf.DUMMYFUNCTION("""COMPUTED_VALUE"""),0.11)</f>
        <v>0.11</v>
      </c>
      <c r="M526">
        <f>IFERROR(__xludf.DUMMYFUNCTION("""COMPUTED_VALUE"""),4.47)</f>
        <v>4.47</v>
      </c>
      <c r="N526">
        <f>IFERROR(__xludf.DUMMYFUNCTION("""COMPUTED_VALUE"""),3.74)</f>
        <v>3.74</v>
      </c>
      <c r="O526">
        <f>IFERROR(__xludf.DUMMYFUNCTION("""COMPUTED_VALUE"""),0.42)</f>
        <v>0.42</v>
      </c>
    </row>
    <row r="527">
      <c r="A527" t="str">
        <f>IFERROR(__xludf.DUMMYFUNCTION("""COMPUTED_VALUE"""),"Schellenberger")</f>
        <v>Schellenberger</v>
      </c>
      <c r="B527" t="str">
        <f>IFERROR(__xludf.DUMMYFUNCTION("""COMPUTED_VALUE"""),"Raphaël Schellenberger")</f>
        <v>Raphaël Schellenberger</v>
      </c>
      <c r="C527">
        <f>IFERROR(__xludf.DUMMYFUNCTION("""COMPUTED_VALUE"""),3.74)</f>
        <v>3.74</v>
      </c>
      <c r="D527">
        <f>IFERROR(__xludf.DUMMYFUNCTION("""COMPUTED_VALUE"""),6.89)</f>
        <v>6.89</v>
      </c>
      <c r="E527">
        <f>IFERROR(__xludf.DUMMYFUNCTION("""COMPUTED_VALUE"""),52.68)</f>
        <v>52.68</v>
      </c>
      <c r="F527">
        <f>IFERROR(__xludf.DUMMYFUNCTION("""COMPUTED_VALUE"""),8.68)</f>
        <v>8.68</v>
      </c>
      <c r="G527">
        <f>IFERROR(__xludf.DUMMYFUNCTION("""COMPUTED_VALUE"""),27.79)</f>
        <v>27.79</v>
      </c>
      <c r="H527">
        <f>IFERROR(__xludf.DUMMYFUNCTION("""COMPUTED_VALUE"""),3.47)</f>
        <v>3.47</v>
      </c>
      <c r="I527">
        <f>IFERROR(__xludf.DUMMYFUNCTION("""COMPUTED_VALUE"""),101.95)</f>
        <v>101.95</v>
      </c>
      <c r="J527">
        <f>IFERROR(__xludf.DUMMYFUNCTION("""COMPUTED_VALUE"""),6.42)</f>
        <v>6.42</v>
      </c>
      <c r="K527">
        <f>IFERROR(__xludf.DUMMYFUNCTION("""COMPUTED_VALUE"""),0.0)</f>
        <v>0</v>
      </c>
      <c r="L527">
        <f>IFERROR(__xludf.DUMMYFUNCTION("""COMPUTED_VALUE"""),0.32)</f>
        <v>0.32</v>
      </c>
      <c r="M527">
        <f>IFERROR(__xludf.DUMMYFUNCTION("""COMPUTED_VALUE"""),4.42)</f>
        <v>4.42</v>
      </c>
      <c r="N527">
        <f>IFERROR(__xludf.DUMMYFUNCTION("""COMPUTED_VALUE"""),1.53)</f>
        <v>1.53</v>
      </c>
      <c r="O527">
        <f>IFERROR(__xludf.DUMMYFUNCTION("""COMPUTED_VALUE"""),0.11)</f>
        <v>0.11</v>
      </c>
    </row>
    <row r="528">
      <c r="A528" t="str">
        <f>IFERROR(__xludf.DUMMYFUNCTION("""COMPUTED_VALUE"""),"Schreck")</f>
        <v>Schreck</v>
      </c>
      <c r="B528" t="str">
        <f>IFERROR(__xludf.DUMMYFUNCTION("""COMPUTED_VALUE"""),"Philippe Schreck")</f>
        <v>Philippe Schreck</v>
      </c>
      <c r="C528">
        <f>IFERROR(__xludf.DUMMYFUNCTION("""COMPUTED_VALUE"""),3.26)</f>
        <v>3.26</v>
      </c>
      <c r="D528">
        <f>IFERROR(__xludf.DUMMYFUNCTION("""COMPUTED_VALUE"""),4.42)</f>
        <v>4.42</v>
      </c>
      <c r="E528">
        <f>IFERROR(__xludf.DUMMYFUNCTION("""COMPUTED_VALUE"""),4.47)</f>
        <v>4.47</v>
      </c>
      <c r="F528">
        <f>IFERROR(__xludf.DUMMYFUNCTION("""COMPUTED_VALUE"""),7.58)</f>
        <v>7.58</v>
      </c>
      <c r="G528">
        <f>IFERROR(__xludf.DUMMYFUNCTION("""COMPUTED_VALUE"""),1.47)</f>
        <v>1.47</v>
      </c>
      <c r="H528">
        <f>IFERROR(__xludf.DUMMYFUNCTION("""COMPUTED_VALUE"""),21.89)</f>
        <v>21.89</v>
      </c>
      <c r="I528">
        <f>IFERROR(__xludf.DUMMYFUNCTION("""COMPUTED_VALUE"""),442.37)</f>
        <v>442.37</v>
      </c>
      <c r="J528">
        <f>IFERROR(__xludf.DUMMYFUNCTION("""COMPUTED_VALUE"""),5.58)</f>
        <v>5.58</v>
      </c>
      <c r="K528">
        <f>IFERROR(__xludf.DUMMYFUNCTION("""COMPUTED_VALUE"""),0.0)</f>
        <v>0</v>
      </c>
      <c r="L528">
        <f>IFERROR(__xludf.DUMMYFUNCTION("""COMPUTED_VALUE"""),0.11)</f>
        <v>0.11</v>
      </c>
      <c r="M528">
        <f>IFERROR(__xludf.DUMMYFUNCTION("""COMPUTED_VALUE"""),3.47)</f>
        <v>3.47</v>
      </c>
      <c r="N528">
        <f>IFERROR(__xludf.DUMMYFUNCTION("""COMPUTED_VALUE"""),0.95)</f>
        <v>0.95</v>
      </c>
      <c r="O528">
        <f>IFERROR(__xludf.DUMMYFUNCTION("""COMPUTED_VALUE"""),0.21)</f>
        <v>0.21</v>
      </c>
    </row>
    <row r="529">
      <c r="A529" t="str">
        <f>IFERROR(__xludf.DUMMYFUNCTION("""COMPUTED_VALUE"""),"Sebaihi")</f>
        <v>Sebaihi</v>
      </c>
      <c r="B529" t="str">
        <f>IFERROR(__xludf.DUMMYFUNCTION("""COMPUTED_VALUE"""),"Sabrina Sebaihi")</f>
        <v>Sabrina Sebaihi</v>
      </c>
      <c r="C529">
        <f>IFERROR(__xludf.DUMMYFUNCTION("""COMPUTED_VALUE"""),3.63)</f>
        <v>3.63</v>
      </c>
      <c r="D529">
        <f>IFERROR(__xludf.DUMMYFUNCTION("""COMPUTED_VALUE"""),6.47)</f>
        <v>6.47</v>
      </c>
      <c r="E529">
        <f>IFERROR(__xludf.DUMMYFUNCTION("""COMPUTED_VALUE"""),31.74)</f>
        <v>31.74</v>
      </c>
      <c r="F529">
        <f>IFERROR(__xludf.DUMMYFUNCTION("""COMPUTED_VALUE"""),13.79)</f>
        <v>13.79</v>
      </c>
      <c r="G529">
        <f>IFERROR(__xludf.DUMMYFUNCTION("""COMPUTED_VALUE"""),12.16)</f>
        <v>12.16</v>
      </c>
      <c r="H529">
        <f>IFERROR(__xludf.DUMMYFUNCTION("""COMPUTED_VALUE"""),16.58)</f>
        <v>16.58</v>
      </c>
      <c r="I529">
        <f>IFERROR(__xludf.DUMMYFUNCTION("""COMPUTED_VALUE"""),513.74)</f>
        <v>513.74</v>
      </c>
      <c r="J529">
        <f>IFERROR(__xludf.DUMMYFUNCTION("""COMPUTED_VALUE"""),18.84)</f>
        <v>18.84</v>
      </c>
      <c r="K529">
        <f>IFERROR(__xludf.DUMMYFUNCTION("""COMPUTED_VALUE"""),0.26)</f>
        <v>0.26</v>
      </c>
      <c r="L529">
        <f>IFERROR(__xludf.DUMMYFUNCTION("""COMPUTED_VALUE"""),0.58)</f>
        <v>0.58</v>
      </c>
      <c r="M529">
        <f>IFERROR(__xludf.DUMMYFUNCTION("""COMPUTED_VALUE"""),4.05)</f>
        <v>4.05</v>
      </c>
      <c r="N529">
        <f>IFERROR(__xludf.DUMMYFUNCTION("""COMPUTED_VALUE"""),0.37)</f>
        <v>0.37</v>
      </c>
      <c r="O529">
        <f>IFERROR(__xludf.DUMMYFUNCTION("""COMPUTED_VALUE"""),0.68)</f>
        <v>0.68</v>
      </c>
    </row>
    <row r="530">
      <c r="A530" t="str">
        <f>IFERROR(__xludf.DUMMYFUNCTION("""COMPUTED_VALUE"""),"Seitlinger")</f>
        <v>Seitlinger</v>
      </c>
      <c r="B530" t="str">
        <f>IFERROR(__xludf.DUMMYFUNCTION("""COMPUTED_VALUE"""),"Vincent Seitlinger")</f>
        <v>Vincent Seitlinger</v>
      </c>
      <c r="C530">
        <f>IFERROR(__xludf.DUMMYFUNCTION("""COMPUTED_VALUE"""),3.84)</f>
        <v>3.84</v>
      </c>
      <c r="D530">
        <f>IFERROR(__xludf.DUMMYFUNCTION("""COMPUTED_VALUE"""),8.21)</f>
        <v>8.21</v>
      </c>
      <c r="E530">
        <f>IFERROR(__xludf.DUMMYFUNCTION("""COMPUTED_VALUE"""),3.89)</f>
        <v>3.89</v>
      </c>
      <c r="F530">
        <f>IFERROR(__xludf.DUMMYFUNCTION("""COMPUTED_VALUE"""),1.47)</f>
        <v>1.47</v>
      </c>
      <c r="G530">
        <f>IFERROR(__xludf.DUMMYFUNCTION("""COMPUTED_VALUE"""),0.16)</f>
        <v>0.16</v>
      </c>
      <c r="H530">
        <f>IFERROR(__xludf.DUMMYFUNCTION("""COMPUTED_VALUE"""),11.84)</f>
        <v>11.84</v>
      </c>
      <c r="I530">
        <f>IFERROR(__xludf.DUMMYFUNCTION("""COMPUTED_VALUE"""),315.79)</f>
        <v>315.79</v>
      </c>
      <c r="J530">
        <f>IFERROR(__xludf.DUMMYFUNCTION("""COMPUTED_VALUE"""),10.53)</f>
        <v>10.53</v>
      </c>
      <c r="K530">
        <f>IFERROR(__xludf.DUMMYFUNCTION("""COMPUTED_VALUE"""),0.16)</f>
        <v>0.16</v>
      </c>
      <c r="L530">
        <f>IFERROR(__xludf.DUMMYFUNCTION("""COMPUTED_VALUE"""),0.74)</f>
        <v>0.74</v>
      </c>
      <c r="M530">
        <f>IFERROR(__xludf.DUMMYFUNCTION("""COMPUTED_VALUE"""),6.74)</f>
        <v>6.74</v>
      </c>
      <c r="N530">
        <f>IFERROR(__xludf.DUMMYFUNCTION("""COMPUTED_VALUE"""),3.26)</f>
        <v>3.26</v>
      </c>
      <c r="O530">
        <f>IFERROR(__xludf.DUMMYFUNCTION("""COMPUTED_VALUE"""),0.05)</f>
        <v>0.05</v>
      </c>
    </row>
    <row r="531">
      <c r="A531" t="str">
        <f>IFERROR(__xludf.DUMMYFUNCTION("""COMPUTED_VALUE"""),"Seo")</f>
        <v>Seo</v>
      </c>
      <c r="B531" t="str">
        <f>IFERROR(__xludf.DUMMYFUNCTION("""COMPUTED_VALUE"""),"Mikaele Seo")</f>
        <v>Mikaele Seo</v>
      </c>
      <c r="C531">
        <f>IFERROR(__xludf.DUMMYFUNCTION("""COMPUTED_VALUE"""),1.21)</f>
        <v>1.21</v>
      </c>
      <c r="D531">
        <f>IFERROR(__xludf.DUMMYFUNCTION("""COMPUTED_VALUE"""),0.63)</f>
        <v>0.63</v>
      </c>
      <c r="E531">
        <f>IFERROR(__xludf.DUMMYFUNCTION("""COMPUTED_VALUE"""),0.16)</f>
        <v>0.16</v>
      </c>
      <c r="F531">
        <f>IFERROR(__xludf.DUMMYFUNCTION("""COMPUTED_VALUE"""),0.26)</f>
        <v>0.26</v>
      </c>
      <c r="G531">
        <f>IFERROR(__xludf.DUMMYFUNCTION("""COMPUTED_VALUE"""),0.0)</f>
        <v>0</v>
      </c>
      <c r="H531">
        <f>IFERROR(__xludf.DUMMYFUNCTION("""COMPUTED_VALUE"""),0.74)</f>
        <v>0.74</v>
      </c>
      <c r="I531">
        <f>IFERROR(__xludf.DUMMYFUNCTION("""COMPUTED_VALUE"""),52.89)</f>
        <v>52.89</v>
      </c>
      <c r="J531">
        <f>IFERROR(__xludf.DUMMYFUNCTION("""COMPUTED_VALUE"""),13.89)</f>
        <v>13.89</v>
      </c>
      <c r="K531">
        <f>IFERROR(__xludf.DUMMYFUNCTION("""COMPUTED_VALUE"""),0.0)</f>
        <v>0</v>
      </c>
      <c r="L531">
        <f>IFERROR(__xludf.DUMMYFUNCTION("""COMPUTED_VALUE"""),0.16)</f>
        <v>0.16</v>
      </c>
      <c r="M531">
        <f>IFERROR(__xludf.DUMMYFUNCTION("""COMPUTED_VALUE"""),2.26)</f>
        <v>2.26</v>
      </c>
      <c r="N531">
        <f>IFERROR(__xludf.DUMMYFUNCTION("""COMPUTED_VALUE"""),0.37)</f>
        <v>0.37</v>
      </c>
      <c r="O531">
        <f>IFERROR(__xludf.DUMMYFUNCTION("""COMPUTED_VALUE"""),0.11)</f>
        <v>0.11</v>
      </c>
    </row>
    <row r="532">
      <c r="A532" t="str">
        <f>IFERROR(__xludf.DUMMYFUNCTION("""COMPUTED_VALUE"""),"Serre")</f>
        <v>Serre</v>
      </c>
      <c r="B532" t="str">
        <f>IFERROR(__xludf.DUMMYFUNCTION("""COMPUTED_VALUE"""),"Nathalie Serre")</f>
        <v>Nathalie Serre</v>
      </c>
      <c r="C532">
        <f>IFERROR(__xludf.DUMMYFUNCTION("""COMPUTED_VALUE"""),3.11)</f>
        <v>3.11</v>
      </c>
      <c r="D532">
        <f>IFERROR(__xludf.DUMMYFUNCTION("""COMPUTED_VALUE"""),4.79)</f>
        <v>4.79</v>
      </c>
      <c r="E532">
        <f>IFERROR(__xludf.DUMMYFUNCTION("""COMPUTED_VALUE"""),1.68)</f>
        <v>1.68</v>
      </c>
      <c r="F532">
        <f>IFERROR(__xludf.DUMMYFUNCTION("""COMPUTED_VALUE"""),3.16)</f>
        <v>3.16</v>
      </c>
      <c r="G532">
        <f>IFERROR(__xludf.DUMMYFUNCTION("""COMPUTED_VALUE"""),1.95)</f>
        <v>1.95</v>
      </c>
      <c r="H532">
        <f>IFERROR(__xludf.DUMMYFUNCTION("""COMPUTED_VALUE"""),2.37)</f>
        <v>2.37</v>
      </c>
      <c r="I532">
        <f>IFERROR(__xludf.DUMMYFUNCTION("""COMPUTED_VALUE"""),151.74)</f>
        <v>151.74</v>
      </c>
      <c r="J532">
        <f>IFERROR(__xludf.DUMMYFUNCTION("""COMPUTED_VALUE"""),6.26)</f>
        <v>6.26</v>
      </c>
      <c r="K532">
        <f>IFERROR(__xludf.DUMMYFUNCTION("""COMPUTED_VALUE"""),0.0)</f>
        <v>0</v>
      </c>
      <c r="L532">
        <f>IFERROR(__xludf.DUMMYFUNCTION("""COMPUTED_VALUE"""),0.11)</f>
        <v>0.11</v>
      </c>
      <c r="M532">
        <f>IFERROR(__xludf.DUMMYFUNCTION("""COMPUTED_VALUE"""),8.63)</f>
        <v>8.63</v>
      </c>
      <c r="N532">
        <f>IFERROR(__xludf.DUMMYFUNCTION("""COMPUTED_VALUE"""),2.26)</f>
        <v>2.26</v>
      </c>
      <c r="O532">
        <f>IFERROR(__xludf.DUMMYFUNCTION("""COMPUTED_VALUE"""),0.26)</f>
        <v>0.26</v>
      </c>
    </row>
    <row r="533">
      <c r="A533" t="str">
        <f>IFERROR(__xludf.DUMMYFUNCTION("""COMPUTED_VALUE"""),"Sertin")</f>
        <v>Sertin</v>
      </c>
      <c r="B533" t="str">
        <f>IFERROR(__xludf.DUMMYFUNCTION("""COMPUTED_VALUE"""),"Freddy Sertin")</f>
        <v>Freddy Sertin</v>
      </c>
      <c r="C533">
        <f>IFERROR(__xludf.DUMMYFUNCTION("""COMPUTED_VALUE"""),4.29)</f>
        <v>4.29</v>
      </c>
      <c r="D533">
        <f>IFERROR(__xludf.DUMMYFUNCTION("""COMPUTED_VALUE"""),7.14)</f>
        <v>7.14</v>
      </c>
      <c r="E533">
        <f>IFERROR(__xludf.DUMMYFUNCTION("""COMPUTED_VALUE"""),2.07)</f>
        <v>2.07</v>
      </c>
      <c r="F533">
        <f>IFERROR(__xludf.DUMMYFUNCTION("""COMPUTED_VALUE"""),2.43)</f>
        <v>2.43</v>
      </c>
      <c r="G533">
        <f>IFERROR(__xludf.DUMMYFUNCTION("""COMPUTED_VALUE"""),4.43)</f>
        <v>4.43</v>
      </c>
      <c r="H533">
        <f>IFERROR(__xludf.DUMMYFUNCTION("""COMPUTED_VALUE"""),7.21)</f>
        <v>7.21</v>
      </c>
      <c r="I533">
        <f>IFERROR(__xludf.DUMMYFUNCTION("""COMPUTED_VALUE"""),78.93)</f>
        <v>78.93</v>
      </c>
      <c r="J533">
        <f>IFERROR(__xludf.DUMMYFUNCTION("""COMPUTED_VALUE"""),20.43)</f>
        <v>20.43</v>
      </c>
      <c r="K533">
        <f>IFERROR(__xludf.DUMMYFUNCTION("""COMPUTED_VALUE"""),0.0)</f>
        <v>0</v>
      </c>
      <c r="L533">
        <f>IFERROR(__xludf.DUMMYFUNCTION("""COMPUTED_VALUE"""),0.0)</f>
        <v>0</v>
      </c>
      <c r="M533">
        <f>IFERROR(__xludf.DUMMYFUNCTION("""COMPUTED_VALUE"""),2.36)</f>
        <v>2.36</v>
      </c>
      <c r="N533">
        <f>IFERROR(__xludf.DUMMYFUNCTION("""COMPUTED_VALUE"""),0.07)</f>
        <v>0.07</v>
      </c>
      <c r="O533">
        <f>IFERROR(__xludf.DUMMYFUNCTION("""COMPUTED_VALUE"""),0.14)</f>
        <v>0.14</v>
      </c>
    </row>
    <row r="534">
      <c r="A534" t="str">
        <f>IFERROR(__xludf.DUMMYFUNCTION("""COMPUTED_VALUE"""),"Serva")</f>
        <v>Serva</v>
      </c>
      <c r="B534" t="str">
        <f>IFERROR(__xludf.DUMMYFUNCTION("""COMPUTED_VALUE"""),"Olivier Serva")</f>
        <v>Olivier Serva</v>
      </c>
      <c r="C534">
        <f>IFERROR(__xludf.DUMMYFUNCTION("""COMPUTED_VALUE"""),2.42)</f>
        <v>2.42</v>
      </c>
      <c r="D534">
        <f>IFERROR(__xludf.DUMMYFUNCTION("""COMPUTED_VALUE"""),2.05)</f>
        <v>2.05</v>
      </c>
      <c r="E534">
        <f>IFERROR(__xludf.DUMMYFUNCTION("""COMPUTED_VALUE"""),5.05)</f>
        <v>5.05</v>
      </c>
      <c r="F534">
        <f>IFERROR(__xludf.DUMMYFUNCTION("""COMPUTED_VALUE"""),6.26)</f>
        <v>6.26</v>
      </c>
      <c r="G534">
        <f>IFERROR(__xludf.DUMMYFUNCTION("""COMPUTED_VALUE"""),2.05)</f>
        <v>2.05</v>
      </c>
      <c r="H534">
        <f>IFERROR(__xludf.DUMMYFUNCTION("""COMPUTED_VALUE"""),9.74)</f>
        <v>9.74</v>
      </c>
      <c r="I534">
        <f>IFERROR(__xludf.DUMMYFUNCTION("""COMPUTED_VALUE"""),227.26)</f>
        <v>227.26</v>
      </c>
      <c r="J534">
        <f>IFERROR(__xludf.DUMMYFUNCTION("""COMPUTED_VALUE"""),16.79)</f>
        <v>16.79</v>
      </c>
      <c r="K534">
        <f>IFERROR(__xludf.DUMMYFUNCTION("""COMPUTED_VALUE"""),0.26)</f>
        <v>0.26</v>
      </c>
      <c r="L534">
        <f>IFERROR(__xludf.DUMMYFUNCTION("""COMPUTED_VALUE"""),0.16)</f>
        <v>0.16</v>
      </c>
      <c r="M534">
        <f>IFERROR(__xludf.DUMMYFUNCTION("""COMPUTED_VALUE"""),1.37)</f>
        <v>1.37</v>
      </c>
      <c r="N534">
        <f>IFERROR(__xludf.DUMMYFUNCTION("""COMPUTED_VALUE"""),1.0)</f>
        <v>1</v>
      </c>
      <c r="O534">
        <f>IFERROR(__xludf.DUMMYFUNCTION("""COMPUTED_VALUE"""),0.37)</f>
        <v>0.37</v>
      </c>
    </row>
    <row r="535">
      <c r="A535" t="str">
        <f>IFERROR(__xludf.DUMMYFUNCTION("""COMPUTED_VALUE"""),"Simonnet")</f>
        <v>Simonnet</v>
      </c>
      <c r="B535" t="str">
        <f>IFERROR(__xludf.DUMMYFUNCTION("""COMPUTED_VALUE"""),"Danielle Simonnet")</f>
        <v>Danielle Simonnet</v>
      </c>
      <c r="C535">
        <f>IFERROR(__xludf.DUMMYFUNCTION("""COMPUTED_VALUE"""),3.95)</f>
        <v>3.95</v>
      </c>
      <c r="D535">
        <f>IFERROR(__xludf.DUMMYFUNCTION("""COMPUTED_VALUE"""),7.74)</f>
        <v>7.74</v>
      </c>
      <c r="E535">
        <f>IFERROR(__xludf.DUMMYFUNCTION("""COMPUTED_VALUE"""),32.37)</f>
        <v>32.37</v>
      </c>
      <c r="F535">
        <f>IFERROR(__xludf.DUMMYFUNCTION("""COMPUTED_VALUE"""),24.79)</f>
        <v>24.79</v>
      </c>
      <c r="G535">
        <f>IFERROR(__xludf.DUMMYFUNCTION("""COMPUTED_VALUE"""),26.42)</f>
        <v>26.42</v>
      </c>
      <c r="H535">
        <f>IFERROR(__xludf.DUMMYFUNCTION("""COMPUTED_VALUE"""),31.05)</f>
        <v>31.05</v>
      </c>
      <c r="I535">
        <f>IFERROR(__xludf.DUMMYFUNCTION("""COMPUTED_VALUE"""),892.47)</f>
        <v>892.47</v>
      </c>
      <c r="J535">
        <f>IFERROR(__xludf.DUMMYFUNCTION("""COMPUTED_VALUE"""),28.63)</f>
        <v>28.63</v>
      </c>
      <c r="K535">
        <f>IFERROR(__xludf.DUMMYFUNCTION("""COMPUTED_VALUE"""),0.21)</f>
        <v>0.21</v>
      </c>
      <c r="L535">
        <f>IFERROR(__xludf.DUMMYFUNCTION("""COMPUTED_VALUE"""),0.32)</f>
        <v>0.32</v>
      </c>
      <c r="M535">
        <f>IFERROR(__xludf.DUMMYFUNCTION("""COMPUTED_VALUE"""),7.21)</f>
        <v>7.21</v>
      </c>
      <c r="N535">
        <f>IFERROR(__xludf.DUMMYFUNCTION("""COMPUTED_VALUE"""),1.74)</f>
        <v>1.74</v>
      </c>
      <c r="O535">
        <f>IFERROR(__xludf.DUMMYFUNCTION("""COMPUTED_VALUE"""),0.26)</f>
        <v>0.26</v>
      </c>
    </row>
    <row r="536">
      <c r="A536" t="str">
        <f>IFERROR(__xludf.DUMMYFUNCTION("""COMPUTED_VALUE"""),"Sitzenstuhl")</f>
        <v>Sitzenstuhl</v>
      </c>
      <c r="B536" t="str">
        <f>IFERROR(__xludf.DUMMYFUNCTION("""COMPUTED_VALUE"""),"Charles Sitzenstuhl")</f>
        <v>Charles Sitzenstuhl</v>
      </c>
      <c r="C536">
        <f>IFERROR(__xludf.DUMMYFUNCTION("""COMPUTED_VALUE"""),3.79)</f>
        <v>3.79</v>
      </c>
      <c r="D536">
        <f>IFERROR(__xludf.DUMMYFUNCTION("""COMPUTED_VALUE"""),10.37)</f>
        <v>10.37</v>
      </c>
      <c r="E536">
        <f>IFERROR(__xludf.DUMMYFUNCTION("""COMPUTED_VALUE"""),35.53)</f>
        <v>35.53</v>
      </c>
      <c r="F536">
        <f>IFERROR(__xludf.DUMMYFUNCTION("""COMPUTED_VALUE"""),16.63)</f>
        <v>16.63</v>
      </c>
      <c r="G536">
        <f>IFERROR(__xludf.DUMMYFUNCTION("""COMPUTED_VALUE"""),33.16)</f>
        <v>33.16</v>
      </c>
      <c r="H536">
        <f>IFERROR(__xludf.DUMMYFUNCTION("""COMPUTED_VALUE"""),12.79)</f>
        <v>12.79</v>
      </c>
      <c r="I536">
        <f>IFERROR(__xludf.DUMMYFUNCTION("""COMPUTED_VALUE"""),81.37)</f>
        <v>81.37</v>
      </c>
      <c r="J536">
        <f>IFERROR(__xludf.DUMMYFUNCTION("""COMPUTED_VALUE"""),20.21)</f>
        <v>20.21</v>
      </c>
      <c r="K536">
        <f>IFERROR(__xludf.DUMMYFUNCTION("""COMPUTED_VALUE"""),0.47)</f>
        <v>0.47</v>
      </c>
      <c r="L536">
        <f>IFERROR(__xludf.DUMMYFUNCTION("""COMPUTED_VALUE"""),0.0)</f>
        <v>0</v>
      </c>
      <c r="M536">
        <f>IFERROR(__xludf.DUMMYFUNCTION("""COMPUTED_VALUE"""),2.47)</f>
        <v>2.47</v>
      </c>
      <c r="N536">
        <f>IFERROR(__xludf.DUMMYFUNCTION("""COMPUTED_VALUE"""),3.11)</f>
        <v>3.11</v>
      </c>
      <c r="O536">
        <f>IFERROR(__xludf.DUMMYFUNCTION("""COMPUTED_VALUE"""),0.11)</f>
        <v>0.11</v>
      </c>
    </row>
    <row r="537">
      <c r="A537" t="str">
        <f>IFERROR(__xludf.DUMMYFUNCTION("""COMPUTED_VALUE"""),"Sorez")</f>
        <v>Sorez</v>
      </c>
      <c r="B537" t="str">
        <f>IFERROR(__xludf.DUMMYFUNCTION("""COMPUTED_VALUE"""),"Philippe Sorez")</f>
        <v>Philippe Sorez</v>
      </c>
      <c r="C537">
        <f>IFERROR(__xludf.DUMMYFUNCTION("""COMPUTED_VALUE"""),3.0)</f>
        <v>3</v>
      </c>
      <c r="D537">
        <f>IFERROR(__xludf.DUMMYFUNCTION("""COMPUTED_VALUE"""),3.94)</f>
        <v>3.94</v>
      </c>
      <c r="E537">
        <f>IFERROR(__xludf.DUMMYFUNCTION("""COMPUTED_VALUE"""),0.94)</f>
        <v>0.94</v>
      </c>
      <c r="F537">
        <f>IFERROR(__xludf.DUMMYFUNCTION("""COMPUTED_VALUE"""),0.11)</f>
        <v>0.11</v>
      </c>
      <c r="G537">
        <f>IFERROR(__xludf.DUMMYFUNCTION("""COMPUTED_VALUE"""),0.06)</f>
        <v>0.06</v>
      </c>
      <c r="H537">
        <f>IFERROR(__xludf.DUMMYFUNCTION("""COMPUTED_VALUE"""),0.39)</f>
        <v>0.39</v>
      </c>
      <c r="I537">
        <f>IFERROR(__xludf.DUMMYFUNCTION("""COMPUTED_VALUE"""),63.17)</f>
        <v>63.17</v>
      </c>
      <c r="J537">
        <f>IFERROR(__xludf.DUMMYFUNCTION("""COMPUTED_VALUE"""),14.94)</f>
        <v>14.94</v>
      </c>
      <c r="K537">
        <f>IFERROR(__xludf.DUMMYFUNCTION("""COMPUTED_VALUE"""),0.0)</f>
        <v>0</v>
      </c>
      <c r="L537">
        <f>IFERROR(__xludf.DUMMYFUNCTION("""COMPUTED_VALUE"""),0.0)</f>
        <v>0</v>
      </c>
      <c r="M537">
        <f>IFERROR(__xludf.DUMMYFUNCTION("""COMPUTED_VALUE"""),2.67)</f>
        <v>2.67</v>
      </c>
      <c r="N537">
        <f>IFERROR(__xludf.DUMMYFUNCTION("""COMPUTED_VALUE"""),0.17)</f>
        <v>0.17</v>
      </c>
      <c r="O537">
        <f>IFERROR(__xludf.DUMMYFUNCTION("""COMPUTED_VALUE"""),0.06)</f>
        <v>0.06</v>
      </c>
    </row>
    <row r="538">
      <c r="A538" t="str">
        <f>IFERROR(__xludf.DUMMYFUNCTION("""COMPUTED_VALUE"""),"Sorre")</f>
        <v>Sorre</v>
      </c>
      <c r="B538" t="str">
        <f>IFERROR(__xludf.DUMMYFUNCTION("""COMPUTED_VALUE"""),"Bertrand Sorre")</f>
        <v>Bertrand Sorre</v>
      </c>
      <c r="C538">
        <f>IFERROR(__xludf.DUMMYFUNCTION("""COMPUTED_VALUE"""),3.68)</f>
        <v>3.68</v>
      </c>
      <c r="D538">
        <f>IFERROR(__xludf.DUMMYFUNCTION("""COMPUTED_VALUE"""),6.89)</f>
        <v>6.89</v>
      </c>
      <c r="E538">
        <f>IFERROR(__xludf.DUMMYFUNCTION("""COMPUTED_VALUE"""),7.89)</f>
        <v>7.89</v>
      </c>
      <c r="F538">
        <f>IFERROR(__xludf.DUMMYFUNCTION("""COMPUTED_VALUE"""),2.74)</f>
        <v>2.74</v>
      </c>
      <c r="G538">
        <f>IFERROR(__xludf.DUMMYFUNCTION("""COMPUTED_VALUE"""),1.47)</f>
        <v>1.47</v>
      </c>
      <c r="H538">
        <f>IFERROR(__xludf.DUMMYFUNCTION("""COMPUTED_VALUE"""),4.95)</f>
        <v>4.95</v>
      </c>
      <c r="I538">
        <f>IFERROR(__xludf.DUMMYFUNCTION("""COMPUTED_VALUE"""),84.68)</f>
        <v>84.68</v>
      </c>
      <c r="J538">
        <f>IFERROR(__xludf.DUMMYFUNCTION("""COMPUTED_VALUE"""),18.05)</f>
        <v>18.05</v>
      </c>
      <c r="K538">
        <f>IFERROR(__xludf.DUMMYFUNCTION("""COMPUTED_VALUE"""),0.0)</f>
        <v>0</v>
      </c>
      <c r="L538">
        <f>IFERROR(__xludf.DUMMYFUNCTION("""COMPUTED_VALUE"""),0.0)</f>
        <v>0</v>
      </c>
      <c r="M538">
        <f>IFERROR(__xludf.DUMMYFUNCTION("""COMPUTED_VALUE"""),2.37)</f>
        <v>2.37</v>
      </c>
      <c r="N538">
        <f>IFERROR(__xludf.DUMMYFUNCTION("""COMPUTED_VALUE"""),5.32)</f>
        <v>5.32</v>
      </c>
      <c r="O538">
        <f>IFERROR(__xludf.DUMMYFUNCTION("""COMPUTED_VALUE"""),0.32)</f>
        <v>0.32</v>
      </c>
    </row>
    <row r="539">
      <c r="A539" t="str">
        <f>IFERROR(__xludf.DUMMYFUNCTION("""COMPUTED_VALUE"""),"Soudais")</f>
        <v>Soudais</v>
      </c>
      <c r="B539" t="str">
        <f>IFERROR(__xludf.DUMMYFUNCTION("""COMPUTED_VALUE"""),"Ersilia Soudais")</f>
        <v>Ersilia Soudais</v>
      </c>
      <c r="C539">
        <f>IFERROR(__xludf.DUMMYFUNCTION("""COMPUTED_VALUE"""),3.84)</f>
        <v>3.84</v>
      </c>
      <c r="D539">
        <f>IFERROR(__xludf.DUMMYFUNCTION("""COMPUTED_VALUE"""),6.58)</f>
        <v>6.58</v>
      </c>
      <c r="E539">
        <f>IFERROR(__xludf.DUMMYFUNCTION("""COMPUTED_VALUE"""),4.68)</f>
        <v>4.68</v>
      </c>
      <c r="F539">
        <f>IFERROR(__xludf.DUMMYFUNCTION("""COMPUTED_VALUE"""),9.47)</f>
        <v>9.47</v>
      </c>
      <c r="G539">
        <f>IFERROR(__xludf.DUMMYFUNCTION("""COMPUTED_VALUE"""),2.16)</f>
        <v>2.16</v>
      </c>
      <c r="H539">
        <f>IFERROR(__xludf.DUMMYFUNCTION("""COMPUTED_VALUE"""),12.42)</f>
        <v>12.42</v>
      </c>
      <c r="I539">
        <f>IFERROR(__xludf.DUMMYFUNCTION("""COMPUTED_VALUE"""),886.37)</f>
        <v>886.37</v>
      </c>
      <c r="J539">
        <f>IFERROR(__xludf.DUMMYFUNCTION("""COMPUTED_VALUE"""),28.68)</f>
        <v>28.68</v>
      </c>
      <c r="K539">
        <f>IFERROR(__xludf.DUMMYFUNCTION("""COMPUTED_VALUE"""),0.05)</f>
        <v>0.05</v>
      </c>
      <c r="L539">
        <f>IFERROR(__xludf.DUMMYFUNCTION("""COMPUTED_VALUE"""),0.11)</f>
        <v>0.11</v>
      </c>
      <c r="M539">
        <f>IFERROR(__xludf.DUMMYFUNCTION("""COMPUTED_VALUE"""),7.53)</f>
        <v>7.53</v>
      </c>
      <c r="N539">
        <f>IFERROR(__xludf.DUMMYFUNCTION("""COMPUTED_VALUE"""),1.68)</f>
        <v>1.68</v>
      </c>
      <c r="O539">
        <f>IFERROR(__xludf.DUMMYFUNCTION("""COMPUTED_VALUE"""),0.16)</f>
        <v>0.16</v>
      </c>
    </row>
    <row r="540">
      <c r="A540" t="str">
        <f>IFERROR(__xludf.DUMMYFUNCTION("""COMPUTED_VALUE"""),"Spillebout")</f>
        <v>Spillebout</v>
      </c>
      <c r="B540" t="str">
        <f>IFERROR(__xludf.DUMMYFUNCTION("""COMPUTED_VALUE"""),"Violette Spillebout")</f>
        <v>Violette Spillebout</v>
      </c>
      <c r="C540">
        <f>IFERROR(__xludf.DUMMYFUNCTION("""COMPUTED_VALUE"""),4.11)</f>
        <v>4.11</v>
      </c>
      <c r="D540">
        <f>IFERROR(__xludf.DUMMYFUNCTION("""COMPUTED_VALUE"""),5.79)</f>
        <v>5.79</v>
      </c>
      <c r="E540">
        <f>IFERROR(__xludf.DUMMYFUNCTION("""COMPUTED_VALUE"""),5.47)</f>
        <v>5.47</v>
      </c>
      <c r="F540">
        <f>IFERROR(__xludf.DUMMYFUNCTION("""COMPUTED_VALUE"""),8.74)</f>
        <v>8.74</v>
      </c>
      <c r="G540">
        <f>IFERROR(__xludf.DUMMYFUNCTION("""COMPUTED_VALUE"""),1.37)</f>
        <v>1.37</v>
      </c>
      <c r="H540">
        <f>IFERROR(__xludf.DUMMYFUNCTION("""COMPUTED_VALUE"""),8.0)</f>
        <v>8</v>
      </c>
      <c r="I540">
        <f>IFERROR(__xludf.DUMMYFUNCTION("""COMPUTED_VALUE"""),98.79)</f>
        <v>98.79</v>
      </c>
      <c r="J540">
        <f>IFERROR(__xludf.DUMMYFUNCTION("""COMPUTED_VALUE"""),22.74)</f>
        <v>22.74</v>
      </c>
      <c r="K540">
        <f>IFERROR(__xludf.DUMMYFUNCTION("""COMPUTED_VALUE"""),0.21)</f>
        <v>0.21</v>
      </c>
      <c r="L540">
        <f>IFERROR(__xludf.DUMMYFUNCTION("""COMPUTED_VALUE"""),0.16)</f>
        <v>0.16</v>
      </c>
      <c r="M540">
        <f>IFERROR(__xludf.DUMMYFUNCTION("""COMPUTED_VALUE"""),3.53)</f>
        <v>3.53</v>
      </c>
      <c r="N540">
        <f>IFERROR(__xludf.DUMMYFUNCTION("""COMPUTED_VALUE"""),2.79)</f>
        <v>2.79</v>
      </c>
      <c r="O540">
        <f>IFERROR(__xludf.DUMMYFUNCTION("""COMPUTED_VALUE"""),0.21)</f>
        <v>0.21</v>
      </c>
    </row>
    <row r="541">
      <c r="A541" t="str">
        <f>IFERROR(__xludf.DUMMYFUNCTION("""COMPUTED_VALUE"""),"Stambach-Terrenoir")</f>
        <v>Stambach-Terrenoir</v>
      </c>
      <c r="B541" t="str">
        <f>IFERROR(__xludf.DUMMYFUNCTION("""COMPUTED_VALUE"""),"Anne Stambach-Terrenoir")</f>
        <v>Anne Stambach-Terrenoir</v>
      </c>
      <c r="C541">
        <f>IFERROR(__xludf.DUMMYFUNCTION("""COMPUTED_VALUE"""),3.68)</f>
        <v>3.68</v>
      </c>
      <c r="D541">
        <f>IFERROR(__xludf.DUMMYFUNCTION("""COMPUTED_VALUE"""),7.63)</f>
        <v>7.63</v>
      </c>
      <c r="E541">
        <f>IFERROR(__xludf.DUMMYFUNCTION("""COMPUTED_VALUE"""),10.26)</f>
        <v>10.26</v>
      </c>
      <c r="F541">
        <f>IFERROR(__xludf.DUMMYFUNCTION("""COMPUTED_VALUE"""),14.89)</f>
        <v>14.89</v>
      </c>
      <c r="G541">
        <f>IFERROR(__xludf.DUMMYFUNCTION("""COMPUTED_VALUE"""),4.42)</f>
        <v>4.42</v>
      </c>
      <c r="H541">
        <f>IFERROR(__xludf.DUMMYFUNCTION("""COMPUTED_VALUE"""),20.79)</f>
        <v>20.79</v>
      </c>
      <c r="I541">
        <f>IFERROR(__xludf.DUMMYFUNCTION("""COMPUTED_VALUE"""),893.89)</f>
        <v>893.89</v>
      </c>
      <c r="J541">
        <f>IFERROR(__xludf.DUMMYFUNCTION("""COMPUTED_VALUE"""),28.74)</f>
        <v>28.74</v>
      </c>
      <c r="K541">
        <f>IFERROR(__xludf.DUMMYFUNCTION("""COMPUTED_VALUE"""),0.05)</f>
        <v>0.05</v>
      </c>
      <c r="L541">
        <f>IFERROR(__xludf.DUMMYFUNCTION("""COMPUTED_VALUE"""),0.16)</f>
        <v>0.16</v>
      </c>
      <c r="M541">
        <f>IFERROR(__xludf.DUMMYFUNCTION("""COMPUTED_VALUE"""),7.37)</f>
        <v>7.37</v>
      </c>
      <c r="N541">
        <f>IFERROR(__xludf.DUMMYFUNCTION("""COMPUTED_VALUE"""),1.0)</f>
        <v>1</v>
      </c>
      <c r="O541">
        <f>IFERROR(__xludf.DUMMYFUNCTION("""COMPUTED_VALUE"""),0.26)</f>
        <v>0.26</v>
      </c>
    </row>
    <row r="542">
      <c r="A542" t="str">
        <f>IFERROR(__xludf.DUMMYFUNCTION("""COMPUTED_VALUE"""),"Studer")</f>
        <v>Studer</v>
      </c>
      <c r="B542" t="str">
        <f>IFERROR(__xludf.DUMMYFUNCTION("""COMPUTED_VALUE"""),"Bruno Studer")</f>
        <v>Bruno Studer</v>
      </c>
      <c r="C542">
        <f>IFERROR(__xludf.DUMMYFUNCTION("""COMPUTED_VALUE"""),3.32)</f>
        <v>3.32</v>
      </c>
      <c r="D542">
        <f>IFERROR(__xludf.DUMMYFUNCTION("""COMPUTED_VALUE"""),4.11)</f>
        <v>4.11</v>
      </c>
      <c r="E542">
        <f>IFERROR(__xludf.DUMMYFUNCTION("""COMPUTED_VALUE"""),1.58)</f>
        <v>1.58</v>
      </c>
      <c r="F542">
        <f>IFERROR(__xludf.DUMMYFUNCTION("""COMPUTED_VALUE"""),3.0)</f>
        <v>3</v>
      </c>
      <c r="G542">
        <f>IFERROR(__xludf.DUMMYFUNCTION("""COMPUTED_VALUE"""),8.58)</f>
        <v>8.58</v>
      </c>
      <c r="H542">
        <f>IFERROR(__xludf.DUMMYFUNCTION("""COMPUTED_VALUE"""),1.11)</f>
        <v>1.11</v>
      </c>
      <c r="I542">
        <f>IFERROR(__xludf.DUMMYFUNCTION("""COMPUTED_VALUE"""),46.37)</f>
        <v>46.37</v>
      </c>
      <c r="J542">
        <f>IFERROR(__xludf.DUMMYFUNCTION("""COMPUTED_VALUE"""),13.74)</f>
        <v>13.74</v>
      </c>
      <c r="K542">
        <f>IFERROR(__xludf.DUMMYFUNCTION("""COMPUTED_VALUE"""),0.26)</f>
        <v>0.26</v>
      </c>
      <c r="L542">
        <f>IFERROR(__xludf.DUMMYFUNCTION("""COMPUTED_VALUE"""),0.21)</f>
        <v>0.21</v>
      </c>
      <c r="M542">
        <f>IFERROR(__xludf.DUMMYFUNCTION("""COMPUTED_VALUE"""),2.32)</f>
        <v>2.32</v>
      </c>
      <c r="N542">
        <f>IFERROR(__xludf.DUMMYFUNCTION("""COMPUTED_VALUE"""),0.32)</f>
        <v>0.32</v>
      </c>
      <c r="O542">
        <f>IFERROR(__xludf.DUMMYFUNCTION("""COMPUTED_VALUE"""),0.05)</f>
        <v>0.05</v>
      </c>
    </row>
    <row r="543">
      <c r="A543" t="str">
        <f>IFERROR(__xludf.DUMMYFUNCTION("""COMPUTED_VALUE"""),"Tabarot")</f>
        <v>Tabarot</v>
      </c>
      <c r="B543" t="str">
        <f>IFERROR(__xludf.DUMMYFUNCTION("""COMPUTED_VALUE"""),"Michèle Tabarot")</f>
        <v>Michèle Tabarot</v>
      </c>
      <c r="C543">
        <f>IFERROR(__xludf.DUMMYFUNCTION("""COMPUTED_VALUE"""),2.58)</f>
        <v>2.58</v>
      </c>
      <c r="D543">
        <f>IFERROR(__xludf.DUMMYFUNCTION("""COMPUTED_VALUE"""),3.37)</f>
        <v>3.37</v>
      </c>
      <c r="E543">
        <f>IFERROR(__xludf.DUMMYFUNCTION("""COMPUTED_VALUE"""),1.84)</f>
        <v>1.84</v>
      </c>
      <c r="F543">
        <f>IFERROR(__xludf.DUMMYFUNCTION("""COMPUTED_VALUE"""),4.16)</f>
        <v>4.16</v>
      </c>
      <c r="G543">
        <f>IFERROR(__xludf.DUMMYFUNCTION("""COMPUTED_VALUE"""),2.21)</f>
        <v>2.21</v>
      </c>
      <c r="H543">
        <f>IFERROR(__xludf.DUMMYFUNCTION("""COMPUTED_VALUE"""),3.16)</f>
        <v>3.16</v>
      </c>
      <c r="I543">
        <f>IFERROR(__xludf.DUMMYFUNCTION("""COMPUTED_VALUE"""),150.42)</f>
        <v>150.42</v>
      </c>
      <c r="J543">
        <f>IFERROR(__xludf.DUMMYFUNCTION("""COMPUTED_VALUE"""),5.74)</f>
        <v>5.74</v>
      </c>
      <c r="K543">
        <f>IFERROR(__xludf.DUMMYFUNCTION("""COMPUTED_VALUE"""),0.05)</f>
        <v>0.05</v>
      </c>
      <c r="L543">
        <f>IFERROR(__xludf.DUMMYFUNCTION("""COMPUTED_VALUE"""),0.26)</f>
        <v>0.26</v>
      </c>
      <c r="M543">
        <f>IFERROR(__xludf.DUMMYFUNCTION("""COMPUTED_VALUE"""),3.47)</f>
        <v>3.47</v>
      </c>
      <c r="N543">
        <f>IFERROR(__xludf.DUMMYFUNCTION("""COMPUTED_VALUE"""),2.32)</f>
        <v>2.32</v>
      </c>
      <c r="O543">
        <f>IFERROR(__xludf.DUMMYFUNCTION("""COMPUTED_VALUE"""),0.05)</f>
        <v>0.05</v>
      </c>
    </row>
    <row r="544">
      <c r="A544" t="str">
        <f>IFERROR(__xludf.DUMMYFUNCTION("""COMPUTED_VALUE"""),"Taché")</f>
        <v>Taché</v>
      </c>
      <c r="B544" t="str">
        <f>IFERROR(__xludf.DUMMYFUNCTION("""COMPUTED_VALUE"""),"Aurélien Taché")</f>
        <v>Aurélien Taché</v>
      </c>
      <c r="C544">
        <f>IFERROR(__xludf.DUMMYFUNCTION("""COMPUTED_VALUE"""),2.84)</f>
        <v>2.84</v>
      </c>
      <c r="D544">
        <f>IFERROR(__xludf.DUMMYFUNCTION("""COMPUTED_VALUE"""),3.21)</f>
        <v>3.21</v>
      </c>
      <c r="E544">
        <f>IFERROR(__xludf.DUMMYFUNCTION("""COMPUTED_VALUE"""),7.95)</f>
        <v>7.95</v>
      </c>
      <c r="F544">
        <f>IFERROR(__xludf.DUMMYFUNCTION("""COMPUTED_VALUE"""),12.0)</f>
        <v>12</v>
      </c>
      <c r="G544">
        <f>IFERROR(__xludf.DUMMYFUNCTION("""COMPUTED_VALUE"""),3.68)</f>
        <v>3.68</v>
      </c>
      <c r="H544">
        <f>IFERROR(__xludf.DUMMYFUNCTION("""COMPUTED_VALUE"""),41.21)</f>
        <v>41.21</v>
      </c>
      <c r="I544">
        <f>IFERROR(__xludf.DUMMYFUNCTION("""COMPUTED_VALUE"""),523.47)</f>
        <v>523.47</v>
      </c>
      <c r="J544">
        <f>IFERROR(__xludf.DUMMYFUNCTION("""COMPUTED_VALUE"""),18.68)</f>
        <v>18.68</v>
      </c>
      <c r="K544">
        <f>IFERROR(__xludf.DUMMYFUNCTION("""COMPUTED_VALUE"""),0.11)</f>
        <v>0.11</v>
      </c>
      <c r="L544">
        <f>IFERROR(__xludf.DUMMYFUNCTION("""COMPUTED_VALUE"""),0.32)</f>
        <v>0.32</v>
      </c>
      <c r="M544">
        <f>IFERROR(__xludf.DUMMYFUNCTION("""COMPUTED_VALUE"""),3.84)</f>
        <v>3.84</v>
      </c>
      <c r="N544">
        <f>IFERROR(__xludf.DUMMYFUNCTION("""COMPUTED_VALUE"""),0.42)</f>
        <v>0.42</v>
      </c>
      <c r="O544">
        <f>IFERROR(__xludf.DUMMYFUNCTION("""COMPUTED_VALUE"""),0.26)</f>
        <v>0.26</v>
      </c>
    </row>
    <row r="545">
      <c r="A545" t="str">
        <f>IFERROR(__xludf.DUMMYFUNCTION("""COMPUTED_VALUE"""),"Taché de la Pagerie")</f>
        <v>Taché de la Pagerie</v>
      </c>
      <c r="B545" t="str">
        <f>IFERROR(__xludf.DUMMYFUNCTION("""COMPUTED_VALUE"""),"Emmanuel Taché de la Pagerie")</f>
        <v>Emmanuel Taché de la Pagerie</v>
      </c>
      <c r="C545">
        <f>IFERROR(__xludf.DUMMYFUNCTION("""COMPUTED_VALUE"""),3.68)</f>
        <v>3.68</v>
      </c>
      <c r="D545">
        <f>IFERROR(__xludf.DUMMYFUNCTION("""COMPUTED_VALUE"""),5.79)</f>
        <v>5.79</v>
      </c>
      <c r="E545">
        <f>IFERROR(__xludf.DUMMYFUNCTION("""COMPUTED_VALUE"""),3.89)</f>
        <v>3.89</v>
      </c>
      <c r="F545">
        <f>IFERROR(__xludf.DUMMYFUNCTION("""COMPUTED_VALUE"""),3.16)</f>
        <v>3.16</v>
      </c>
      <c r="G545">
        <f>IFERROR(__xludf.DUMMYFUNCTION("""COMPUTED_VALUE"""),5.11)</f>
        <v>5.11</v>
      </c>
      <c r="H545">
        <f>IFERROR(__xludf.DUMMYFUNCTION("""COMPUTED_VALUE"""),5.32)</f>
        <v>5.32</v>
      </c>
      <c r="I545">
        <f>IFERROR(__xludf.DUMMYFUNCTION("""COMPUTED_VALUE"""),495.68)</f>
        <v>495.68</v>
      </c>
      <c r="J545">
        <f>IFERROR(__xludf.DUMMYFUNCTION("""COMPUTED_VALUE"""),6.0)</f>
        <v>6</v>
      </c>
      <c r="K545">
        <f>IFERROR(__xludf.DUMMYFUNCTION("""COMPUTED_VALUE"""),0.16)</f>
        <v>0.16</v>
      </c>
      <c r="L545">
        <f>IFERROR(__xludf.DUMMYFUNCTION("""COMPUTED_VALUE"""),0.11)</f>
        <v>0.11</v>
      </c>
      <c r="M545">
        <f>IFERROR(__xludf.DUMMYFUNCTION("""COMPUTED_VALUE"""),5.47)</f>
        <v>5.47</v>
      </c>
      <c r="N545">
        <f>IFERROR(__xludf.DUMMYFUNCTION("""COMPUTED_VALUE"""),3.32)</f>
        <v>3.32</v>
      </c>
      <c r="O545">
        <f>IFERROR(__xludf.DUMMYFUNCTION("""COMPUTED_VALUE"""),0.21)</f>
        <v>0.21</v>
      </c>
    </row>
    <row r="546">
      <c r="A546" t="str">
        <f>IFERROR(__xludf.DUMMYFUNCTION("""COMPUTED_VALUE"""),"Taillé-Polian")</f>
        <v>Taillé-Polian</v>
      </c>
      <c r="B546" t="str">
        <f>IFERROR(__xludf.DUMMYFUNCTION("""COMPUTED_VALUE"""),"Sophie Taillé-Polian")</f>
        <v>Sophie Taillé-Polian</v>
      </c>
      <c r="C546">
        <f>IFERROR(__xludf.DUMMYFUNCTION("""COMPUTED_VALUE"""),3.89)</f>
        <v>3.89</v>
      </c>
      <c r="D546">
        <f>IFERROR(__xludf.DUMMYFUNCTION("""COMPUTED_VALUE"""),6.63)</f>
        <v>6.63</v>
      </c>
      <c r="E546">
        <f>IFERROR(__xludf.DUMMYFUNCTION("""COMPUTED_VALUE"""),16.58)</f>
        <v>16.58</v>
      </c>
      <c r="F546">
        <f>IFERROR(__xludf.DUMMYFUNCTION("""COMPUTED_VALUE"""),22.11)</f>
        <v>22.11</v>
      </c>
      <c r="G546">
        <f>IFERROR(__xludf.DUMMYFUNCTION("""COMPUTED_VALUE"""),19.26)</f>
        <v>19.26</v>
      </c>
      <c r="H546">
        <f>IFERROR(__xludf.DUMMYFUNCTION("""COMPUTED_VALUE"""),24.21)</f>
        <v>24.21</v>
      </c>
      <c r="I546">
        <f>IFERROR(__xludf.DUMMYFUNCTION("""COMPUTED_VALUE"""),528.68)</f>
        <v>528.68</v>
      </c>
      <c r="J546">
        <f>IFERROR(__xludf.DUMMYFUNCTION("""COMPUTED_VALUE"""),18.95)</f>
        <v>18.95</v>
      </c>
      <c r="K546">
        <f>IFERROR(__xludf.DUMMYFUNCTION("""COMPUTED_VALUE"""),0.11)</f>
        <v>0.11</v>
      </c>
      <c r="L546">
        <f>IFERROR(__xludf.DUMMYFUNCTION("""COMPUTED_VALUE"""),0.47)</f>
        <v>0.47</v>
      </c>
      <c r="M546">
        <f>IFERROR(__xludf.DUMMYFUNCTION("""COMPUTED_VALUE"""),3.68)</f>
        <v>3.68</v>
      </c>
      <c r="N546">
        <f>IFERROR(__xludf.DUMMYFUNCTION("""COMPUTED_VALUE"""),1.16)</f>
        <v>1.16</v>
      </c>
      <c r="O546">
        <f>IFERROR(__xludf.DUMMYFUNCTION("""COMPUTED_VALUE"""),0.68)</f>
        <v>0.68</v>
      </c>
    </row>
    <row r="547">
      <c r="A547" t="str">
        <f>IFERROR(__xludf.DUMMYFUNCTION("""COMPUTED_VALUE"""),"Taite")</f>
        <v>Taite</v>
      </c>
      <c r="B547" t="str">
        <f>IFERROR(__xludf.DUMMYFUNCTION("""COMPUTED_VALUE"""),"Jean-Pierre Taite")</f>
        <v>Jean-Pierre Taite</v>
      </c>
      <c r="C547">
        <f>IFERROR(__xludf.DUMMYFUNCTION("""COMPUTED_VALUE"""),3.53)</f>
        <v>3.53</v>
      </c>
      <c r="D547">
        <f>IFERROR(__xludf.DUMMYFUNCTION("""COMPUTED_VALUE"""),5.95)</f>
        <v>5.95</v>
      </c>
      <c r="E547">
        <f>IFERROR(__xludf.DUMMYFUNCTION("""COMPUTED_VALUE"""),4.32)</f>
        <v>4.32</v>
      </c>
      <c r="F547">
        <f>IFERROR(__xludf.DUMMYFUNCTION("""COMPUTED_VALUE"""),1.16)</f>
        <v>1.16</v>
      </c>
      <c r="G547">
        <f>IFERROR(__xludf.DUMMYFUNCTION("""COMPUTED_VALUE"""),3.68)</f>
        <v>3.68</v>
      </c>
      <c r="H547">
        <f>IFERROR(__xludf.DUMMYFUNCTION("""COMPUTED_VALUE"""),15.47)</f>
        <v>15.47</v>
      </c>
      <c r="I547">
        <f>IFERROR(__xludf.DUMMYFUNCTION("""COMPUTED_VALUE"""),375.0)</f>
        <v>375</v>
      </c>
      <c r="J547">
        <f>IFERROR(__xludf.DUMMYFUNCTION("""COMPUTED_VALUE"""),13.16)</f>
        <v>13.16</v>
      </c>
      <c r="K547">
        <f>IFERROR(__xludf.DUMMYFUNCTION("""COMPUTED_VALUE"""),0.0)</f>
        <v>0</v>
      </c>
      <c r="L547">
        <f>IFERROR(__xludf.DUMMYFUNCTION("""COMPUTED_VALUE"""),0.42)</f>
        <v>0.42</v>
      </c>
      <c r="M547">
        <f>IFERROR(__xludf.DUMMYFUNCTION("""COMPUTED_VALUE"""),8.53)</f>
        <v>8.53</v>
      </c>
      <c r="N547">
        <f>IFERROR(__xludf.DUMMYFUNCTION("""COMPUTED_VALUE"""),1.58)</f>
        <v>1.58</v>
      </c>
      <c r="O547">
        <f>IFERROR(__xludf.DUMMYFUNCTION("""COMPUTED_VALUE"""),0.16)</f>
        <v>0.16</v>
      </c>
    </row>
    <row r="548">
      <c r="A548" t="str">
        <f>IFERROR(__xludf.DUMMYFUNCTION("""COMPUTED_VALUE"""),"Tanguy")</f>
        <v>Tanguy</v>
      </c>
      <c r="B548" t="str">
        <f>IFERROR(__xludf.DUMMYFUNCTION("""COMPUTED_VALUE"""),"Jean-Philippe Tanguy")</f>
        <v>Jean-Philippe Tanguy</v>
      </c>
      <c r="C548">
        <f>IFERROR(__xludf.DUMMYFUNCTION("""COMPUTED_VALUE"""),4.05)</f>
        <v>4.05</v>
      </c>
      <c r="D548">
        <f>IFERROR(__xludf.DUMMYFUNCTION("""COMPUTED_VALUE"""),13.53)</f>
        <v>13.53</v>
      </c>
      <c r="E548">
        <f>IFERROR(__xludf.DUMMYFUNCTION("""COMPUTED_VALUE"""),56.42)</f>
        <v>56.42</v>
      </c>
      <c r="F548">
        <f>IFERROR(__xludf.DUMMYFUNCTION("""COMPUTED_VALUE"""),47.63)</f>
        <v>47.63</v>
      </c>
      <c r="G548">
        <f>IFERROR(__xludf.DUMMYFUNCTION("""COMPUTED_VALUE"""),38.53)</f>
        <v>38.53</v>
      </c>
      <c r="H548">
        <f>IFERROR(__xludf.DUMMYFUNCTION("""COMPUTED_VALUE"""),35.47)</f>
        <v>35.47</v>
      </c>
      <c r="I548">
        <f>IFERROR(__xludf.DUMMYFUNCTION("""COMPUTED_VALUE"""),478.42)</f>
        <v>478.42</v>
      </c>
      <c r="J548">
        <f>IFERROR(__xludf.DUMMYFUNCTION("""COMPUTED_VALUE"""),5.42)</f>
        <v>5.42</v>
      </c>
      <c r="K548">
        <f>IFERROR(__xludf.DUMMYFUNCTION("""COMPUTED_VALUE"""),0.0)</f>
        <v>0</v>
      </c>
      <c r="L548">
        <f>IFERROR(__xludf.DUMMYFUNCTION("""COMPUTED_VALUE"""),0.47)</f>
        <v>0.47</v>
      </c>
      <c r="M548">
        <f>IFERROR(__xludf.DUMMYFUNCTION("""COMPUTED_VALUE"""),5.37)</f>
        <v>5.37</v>
      </c>
      <c r="N548">
        <f>IFERROR(__xludf.DUMMYFUNCTION("""COMPUTED_VALUE"""),3.89)</f>
        <v>3.89</v>
      </c>
      <c r="O548">
        <f>IFERROR(__xludf.DUMMYFUNCTION("""COMPUTED_VALUE"""),0.37)</f>
        <v>0.37</v>
      </c>
    </row>
    <row r="549">
      <c r="A549" t="str">
        <f>IFERROR(__xludf.DUMMYFUNCTION("""COMPUTED_VALUE"""),"Tanguy")</f>
        <v>Tanguy</v>
      </c>
      <c r="B549" t="str">
        <f>IFERROR(__xludf.DUMMYFUNCTION("""COMPUTED_VALUE"""),"Liliana Tanguy")</f>
        <v>Liliana Tanguy</v>
      </c>
      <c r="C549">
        <f>IFERROR(__xludf.DUMMYFUNCTION("""COMPUTED_VALUE"""),2.95)</f>
        <v>2.95</v>
      </c>
      <c r="D549">
        <f>IFERROR(__xludf.DUMMYFUNCTION("""COMPUTED_VALUE"""),5.79)</f>
        <v>5.79</v>
      </c>
      <c r="E549">
        <f>IFERROR(__xludf.DUMMYFUNCTION("""COMPUTED_VALUE"""),4.68)</f>
        <v>4.68</v>
      </c>
      <c r="F549">
        <f>IFERROR(__xludf.DUMMYFUNCTION("""COMPUTED_VALUE"""),0.74)</f>
        <v>0.74</v>
      </c>
      <c r="G549">
        <f>IFERROR(__xludf.DUMMYFUNCTION("""COMPUTED_VALUE"""),1.37)</f>
        <v>1.37</v>
      </c>
      <c r="H549">
        <f>IFERROR(__xludf.DUMMYFUNCTION("""COMPUTED_VALUE"""),2.68)</f>
        <v>2.68</v>
      </c>
      <c r="I549">
        <f>IFERROR(__xludf.DUMMYFUNCTION("""COMPUTED_VALUE"""),63.68)</f>
        <v>63.68</v>
      </c>
      <c r="J549">
        <f>IFERROR(__xludf.DUMMYFUNCTION("""COMPUTED_VALUE"""),14.11)</f>
        <v>14.11</v>
      </c>
      <c r="K549">
        <f>IFERROR(__xludf.DUMMYFUNCTION("""COMPUTED_VALUE"""),0.21)</f>
        <v>0.21</v>
      </c>
      <c r="L549">
        <f>IFERROR(__xludf.DUMMYFUNCTION("""COMPUTED_VALUE"""),0.0)</f>
        <v>0</v>
      </c>
      <c r="M549">
        <f>IFERROR(__xludf.DUMMYFUNCTION("""COMPUTED_VALUE"""),2.32)</f>
        <v>2.32</v>
      </c>
      <c r="N549">
        <f>IFERROR(__xludf.DUMMYFUNCTION("""COMPUTED_VALUE"""),0.05)</f>
        <v>0.05</v>
      </c>
      <c r="O549">
        <f>IFERROR(__xludf.DUMMYFUNCTION("""COMPUTED_VALUE"""),0.11)</f>
        <v>0.11</v>
      </c>
    </row>
    <row r="550">
      <c r="A550" t="str">
        <f>IFERROR(__xludf.DUMMYFUNCTION("""COMPUTED_VALUE"""),"Tanzilli")</f>
        <v>Tanzilli</v>
      </c>
      <c r="B550" t="str">
        <f>IFERROR(__xludf.DUMMYFUNCTION("""COMPUTED_VALUE"""),"Sarah Tanzilli")</f>
        <v>Sarah Tanzilli</v>
      </c>
      <c r="C550">
        <f>IFERROR(__xludf.DUMMYFUNCTION("""COMPUTED_VALUE"""),3.74)</f>
        <v>3.74</v>
      </c>
      <c r="D550">
        <f>IFERROR(__xludf.DUMMYFUNCTION("""COMPUTED_VALUE"""),6.16)</f>
        <v>6.16</v>
      </c>
      <c r="E550">
        <f>IFERROR(__xludf.DUMMYFUNCTION("""COMPUTED_VALUE"""),2.42)</f>
        <v>2.42</v>
      </c>
      <c r="F550">
        <f>IFERROR(__xludf.DUMMYFUNCTION("""COMPUTED_VALUE"""),3.58)</f>
        <v>3.58</v>
      </c>
      <c r="G550">
        <f>IFERROR(__xludf.DUMMYFUNCTION("""COMPUTED_VALUE"""),0.53)</f>
        <v>0.53</v>
      </c>
      <c r="H550">
        <f>IFERROR(__xludf.DUMMYFUNCTION("""COMPUTED_VALUE"""),2.32)</f>
        <v>2.32</v>
      </c>
      <c r="I550">
        <f>IFERROR(__xludf.DUMMYFUNCTION("""COMPUTED_VALUE"""),66.0)</f>
        <v>66</v>
      </c>
      <c r="J550">
        <f>IFERROR(__xludf.DUMMYFUNCTION("""COMPUTED_VALUE"""),18.63)</f>
        <v>18.63</v>
      </c>
      <c r="K550">
        <f>IFERROR(__xludf.DUMMYFUNCTION("""COMPUTED_VALUE"""),0.16)</f>
        <v>0.16</v>
      </c>
      <c r="L550">
        <f>IFERROR(__xludf.DUMMYFUNCTION("""COMPUTED_VALUE"""),0.0)</f>
        <v>0</v>
      </c>
      <c r="M550">
        <f>IFERROR(__xludf.DUMMYFUNCTION("""COMPUTED_VALUE"""),2.21)</f>
        <v>2.21</v>
      </c>
      <c r="N550">
        <f>IFERROR(__xludf.DUMMYFUNCTION("""COMPUTED_VALUE"""),0.58)</f>
        <v>0.58</v>
      </c>
      <c r="O550">
        <f>IFERROR(__xludf.DUMMYFUNCTION("""COMPUTED_VALUE"""),0.21)</f>
        <v>0.21</v>
      </c>
    </row>
    <row r="551">
      <c r="A551" t="str">
        <f>IFERROR(__xludf.DUMMYFUNCTION("""COMPUTED_VALUE"""),"Taupiac")</f>
        <v>Taupiac</v>
      </c>
      <c r="B551" t="str">
        <f>IFERROR(__xludf.DUMMYFUNCTION("""COMPUTED_VALUE"""),"David Taupiac")</f>
        <v>David Taupiac</v>
      </c>
      <c r="C551">
        <f>IFERROR(__xludf.DUMMYFUNCTION("""COMPUTED_VALUE"""),3.63)</f>
        <v>3.63</v>
      </c>
      <c r="D551">
        <f>IFERROR(__xludf.DUMMYFUNCTION("""COMPUTED_VALUE"""),5.89)</f>
        <v>5.89</v>
      </c>
      <c r="E551">
        <f>IFERROR(__xludf.DUMMYFUNCTION("""COMPUTED_VALUE"""),9.47)</f>
        <v>9.47</v>
      </c>
      <c r="F551">
        <f>IFERROR(__xludf.DUMMYFUNCTION("""COMPUTED_VALUE"""),9.11)</f>
        <v>9.11</v>
      </c>
      <c r="G551">
        <f>IFERROR(__xludf.DUMMYFUNCTION("""COMPUTED_VALUE"""),0.37)</f>
        <v>0.37</v>
      </c>
      <c r="H551">
        <f>IFERROR(__xludf.DUMMYFUNCTION("""COMPUTED_VALUE"""),20.11)</f>
        <v>20.11</v>
      </c>
      <c r="I551">
        <f>IFERROR(__xludf.DUMMYFUNCTION("""COMPUTED_VALUE"""),244.53)</f>
        <v>244.53</v>
      </c>
      <c r="J551">
        <f>IFERROR(__xludf.DUMMYFUNCTION("""COMPUTED_VALUE"""),16.26)</f>
        <v>16.26</v>
      </c>
      <c r="K551">
        <f>IFERROR(__xludf.DUMMYFUNCTION("""COMPUTED_VALUE"""),0.05)</f>
        <v>0.05</v>
      </c>
      <c r="L551">
        <f>IFERROR(__xludf.DUMMYFUNCTION("""COMPUTED_VALUE"""),0.21)</f>
        <v>0.21</v>
      </c>
      <c r="M551">
        <f>IFERROR(__xludf.DUMMYFUNCTION("""COMPUTED_VALUE"""),2.16)</f>
        <v>2.16</v>
      </c>
      <c r="N551">
        <f>IFERROR(__xludf.DUMMYFUNCTION("""COMPUTED_VALUE"""),1.53)</f>
        <v>1.53</v>
      </c>
      <c r="O551">
        <f>IFERROR(__xludf.DUMMYFUNCTION("""COMPUTED_VALUE"""),0.63)</f>
        <v>0.63</v>
      </c>
    </row>
    <row r="552">
      <c r="A552" t="str">
        <f>IFERROR(__xludf.DUMMYFUNCTION("""COMPUTED_VALUE"""),"Taurinya")</f>
        <v>Taurinya</v>
      </c>
      <c r="B552" t="str">
        <f>IFERROR(__xludf.DUMMYFUNCTION("""COMPUTED_VALUE"""),"Andrée Taurinya")</f>
        <v>Andrée Taurinya</v>
      </c>
      <c r="C552">
        <f>IFERROR(__xludf.DUMMYFUNCTION("""COMPUTED_VALUE"""),3.68)</f>
        <v>3.68</v>
      </c>
      <c r="D552">
        <f>IFERROR(__xludf.DUMMYFUNCTION("""COMPUTED_VALUE"""),4.89)</f>
        <v>4.89</v>
      </c>
      <c r="E552">
        <f>IFERROR(__xludf.DUMMYFUNCTION("""COMPUTED_VALUE"""),7.95)</f>
        <v>7.95</v>
      </c>
      <c r="F552">
        <f>IFERROR(__xludf.DUMMYFUNCTION("""COMPUTED_VALUE"""),20.84)</f>
        <v>20.84</v>
      </c>
      <c r="G552">
        <f>IFERROR(__xludf.DUMMYFUNCTION("""COMPUTED_VALUE"""),21.84)</f>
        <v>21.84</v>
      </c>
      <c r="H552">
        <f>IFERROR(__xludf.DUMMYFUNCTION("""COMPUTED_VALUE"""),28.11)</f>
        <v>28.11</v>
      </c>
      <c r="I552">
        <f>IFERROR(__xludf.DUMMYFUNCTION("""COMPUTED_VALUE"""),899.47)</f>
        <v>899.47</v>
      </c>
      <c r="J552">
        <f>IFERROR(__xludf.DUMMYFUNCTION("""COMPUTED_VALUE"""),28.68)</f>
        <v>28.68</v>
      </c>
      <c r="K552">
        <f>IFERROR(__xludf.DUMMYFUNCTION("""COMPUTED_VALUE"""),0.0)</f>
        <v>0</v>
      </c>
      <c r="L552">
        <f>IFERROR(__xludf.DUMMYFUNCTION("""COMPUTED_VALUE"""),0.16)</f>
        <v>0.16</v>
      </c>
      <c r="M552">
        <f>IFERROR(__xludf.DUMMYFUNCTION("""COMPUTED_VALUE"""),7.37)</f>
        <v>7.37</v>
      </c>
      <c r="N552">
        <f>IFERROR(__xludf.DUMMYFUNCTION("""COMPUTED_VALUE"""),1.0)</f>
        <v>1</v>
      </c>
      <c r="O552">
        <f>IFERROR(__xludf.DUMMYFUNCTION("""COMPUTED_VALUE"""),0.21)</f>
        <v>0.21</v>
      </c>
    </row>
    <row r="553">
      <c r="A553" t="str">
        <f>IFERROR(__xludf.DUMMYFUNCTION("""COMPUTED_VALUE"""),"Tavel")</f>
        <v>Tavel</v>
      </c>
      <c r="B553" t="str">
        <f>IFERROR(__xludf.DUMMYFUNCTION("""COMPUTED_VALUE"""),"Matthias Tavel")</f>
        <v>Matthias Tavel</v>
      </c>
      <c r="C553">
        <f>IFERROR(__xludf.DUMMYFUNCTION("""COMPUTED_VALUE"""),3.58)</f>
        <v>3.58</v>
      </c>
      <c r="D553">
        <f>IFERROR(__xludf.DUMMYFUNCTION("""COMPUTED_VALUE"""),5.0)</f>
        <v>5</v>
      </c>
      <c r="E553">
        <f>IFERROR(__xludf.DUMMYFUNCTION("""COMPUTED_VALUE"""),12.05)</f>
        <v>12.05</v>
      </c>
      <c r="F553">
        <f>IFERROR(__xludf.DUMMYFUNCTION("""COMPUTED_VALUE"""),37.11)</f>
        <v>37.11</v>
      </c>
      <c r="G553">
        <f>IFERROR(__xludf.DUMMYFUNCTION("""COMPUTED_VALUE"""),53.05)</f>
        <v>53.05</v>
      </c>
      <c r="H553">
        <f>IFERROR(__xludf.DUMMYFUNCTION("""COMPUTED_VALUE"""),42.0)</f>
        <v>42</v>
      </c>
      <c r="I553">
        <f>IFERROR(__xludf.DUMMYFUNCTION("""COMPUTED_VALUE"""),886.42)</f>
        <v>886.42</v>
      </c>
      <c r="J553">
        <f>IFERROR(__xludf.DUMMYFUNCTION("""COMPUTED_VALUE"""),28.68)</f>
        <v>28.68</v>
      </c>
      <c r="K553">
        <f>IFERROR(__xludf.DUMMYFUNCTION("""COMPUTED_VALUE"""),0.05)</f>
        <v>0.05</v>
      </c>
      <c r="L553">
        <f>IFERROR(__xludf.DUMMYFUNCTION("""COMPUTED_VALUE"""),0.37)</f>
        <v>0.37</v>
      </c>
      <c r="M553">
        <f>IFERROR(__xludf.DUMMYFUNCTION("""COMPUTED_VALUE"""),8.05)</f>
        <v>8.05</v>
      </c>
      <c r="N553">
        <f>IFERROR(__xludf.DUMMYFUNCTION("""COMPUTED_VALUE"""),1.21)</f>
        <v>1.21</v>
      </c>
      <c r="O553">
        <f>IFERROR(__xludf.DUMMYFUNCTION("""COMPUTED_VALUE"""),0.32)</f>
        <v>0.32</v>
      </c>
    </row>
    <row r="554">
      <c r="A554" t="str">
        <f>IFERROR(__xludf.DUMMYFUNCTION("""COMPUTED_VALUE"""),"Taverne")</f>
        <v>Taverne</v>
      </c>
      <c r="B554" t="str">
        <f>IFERROR(__xludf.DUMMYFUNCTION("""COMPUTED_VALUE"""),"Michaël Taverne")</f>
        <v>Michaël Taverne</v>
      </c>
      <c r="C554">
        <f>IFERROR(__xludf.DUMMYFUNCTION("""COMPUTED_VALUE"""),3.63)</f>
        <v>3.63</v>
      </c>
      <c r="D554">
        <f>IFERROR(__xludf.DUMMYFUNCTION("""COMPUTED_VALUE"""),6.53)</f>
        <v>6.53</v>
      </c>
      <c r="E554">
        <f>IFERROR(__xludf.DUMMYFUNCTION("""COMPUTED_VALUE"""),5.16)</f>
        <v>5.16</v>
      </c>
      <c r="F554">
        <f>IFERROR(__xludf.DUMMYFUNCTION("""COMPUTED_VALUE"""),5.47)</f>
        <v>5.47</v>
      </c>
      <c r="G554">
        <f>IFERROR(__xludf.DUMMYFUNCTION("""COMPUTED_VALUE"""),3.42)</f>
        <v>3.42</v>
      </c>
      <c r="H554">
        <f>IFERROR(__xludf.DUMMYFUNCTION("""COMPUTED_VALUE"""),6.63)</f>
        <v>6.63</v>
      </c>
      <c r="I554">
        <f>IFERROR(__xludf.DUMMYFUNCTION("""COMPUTED_VALUE"""),436.53)</f>
        <v>436.53</v>
      </c>
      <c r="J554">
        <f>IFERROR(__xludf.DUMMYFUNCTION("""COMPUTED_VALUE"""),6.53)</f>
        <v>6.53</v>
      </c>
      <c r="K554">
        <f>IFERROR(__xludf.DUMMYFUNCTION("""COMPUTED_VALUE"""),0.11)</f>
        <v>0.11</v>
      </c>
      <c r="L554">
        <f>IFERROR(__xludf.DUMMYFUNCTION("""COMPUTED_VALUE"""),0.11)</f>
        <v>0.11</v>
      </c>
      <c r="M554">
        <f>IFERROR(__xludf.DUMMYFUNCTION("""COMPUTED_VALUE"""),6.37)</f>
        <v>6.37</v>
      </c>
      <c r="N554">
        <f>IFERROR(__xludf.DUMMYFUNCTION("""COMPUTED_VALUE"""),2.26)</f>
        <v>2.26</v>
      </c>
      <c r="O554">
        <f>IFERROR(__xludf.DUMMYFUNCTION("""COMPUTED_VALUE"""),0.26)</f>
        <v>0.26</v>
      </c>
    </row>
    <row r="555">
      <c r="A555" t="str">
        <f>IFERROR(__xludf.DUMMYFUNCTION("""COMPUTED_VALUE"""),"Tellier")</f>
        <v>Tellier</v>
      </c>
      <c r="B555" t="str">
        <f>IFERROR(__xludf.DUMMYFUNCTION("""COMPUTED_VALUE"""),"Jean-Marc Tellier")</f>
        <v>Jean-Marc Tellier</v>
      </c>
      <c r="C555">
        <f>IFERROR(__xludf.DUMMYFUNCTION("""COMPUTED_VALUE"""),3.53)</f>
        <v>3.53</v>
      </c>
      <c r="D555">
        <f>IFERROR(__xludf.DUMMYFUNCTION("""COMPUTED_VALUE"""),5.32)</f>
        <v>5.32</v>
      </c>
      <c r="E555">
        <f>IFERROR(__xludf.DUMMYFUNCTION("""COMPUTED_VALUE"""),7.32)</f>
        <v>7.32</v>
      </c>
      <c r="F555">
        <f>IFERROR(__xludf.DUMMYFUNCTION("""COMPUTED_VALUE"""),7.63)</f>
        <v>7.63</v>
      </c>
      <c r="G555">
        <f>IFERROR(__xludf.DUMMYFUNCTION("""COMPUTED_VALUE"""),1.11)</f>
        <v>1.11</v>
      </c>
      <c r="H555">
        <f>IFERROR(__xludf.DUMMYFUNCTION("""COMPUTED_VALUE"""),10.79)</f>
        <v>10.79</v>
      </c>
      <c r="I555">
        <f>IFERROR(__xludf.DUMMYFUNCTION("""COMPUTED_VALUE"""),225.79)</f>
        <v>225.79</v>
      </c>
      <c r="J555">
        <f>IFERROR(__xludf.DUMMYFUNCTION("""COMPUTED_VALUE"""),13.37)</f>
        <v>13.37</v>
      </c>
      <c r="K555">
        <f>IFERROR(__xludf.DUMMYFUNCTION("""COMPUTED_VALUE"""),0.16)</f>
        <v>0.16</v>
      </c>
      <c r="L555">
        <f>IFERROR(__xludf.DUMMYFUNCTION("""COMPUTED_VALUE"""),0.11)</f>
        <v>0.11</v>
      </c>
      <c r="M555">
        <f>IFERROR(__xludf.DUMMYFUNCTION("""COMPUTED_VALUE"""),4.26)</f>
        <v>4.26</v>
      </c>
      <c r="N555">
        <f>IFERROR(__xludf.DUMMYFUNCTION("""COMPUTED_VALUE"""),0.79)</f>
        <v>0.79</v>
      </c>
      <c r="O555">
        <f>IFERROR(__xludf.DUMMYFUNCTION("""COMPUTED_VALUE"""),0.42)</f>
        <v>0.42</v>
      </c>
    </row>
    <row r="556">
      <c r="A556" t="str">
        <f>IFERROR(__xludf.DUMMYFUNCTION("""COMPUTED_VALUE"""),"Terlier")</f>
        <v>Terlier</v>
      </c>
      <c r="B556" t="str">
        <f>IFERROR(__xludf.DUMMYFUNCTION("""COMPUTED_VALUE"""),"Jean Terlier")</f>
        <v>Jean Terlier</v>
      </c>
      <c r="C556">
        <f>IFERROR(__xludf.DUMMYFUNCTION("""COMPUTED_VALUE"""),4.05)</f>
        <v>4.05</v>
      </c>
      <c r="D556">
        <f>IFERROR(__xludf.DUMMYFUNCTION("""COMPUTED_VALUE"""),9.37)</f>
        <v>9.37</v>
      </c>
      <c r="E556">
        <f>IFERROR(__xludf.DUMMYFUNCTION("""COMPUTED_VALUE"""),24.53)</f>
        <v>24.53</v>
      </c>
      <c r="F556">
        <f>IFERROR(__xludf.DUMMYFUNCTION("""COMPUTED_VALUE"""),12.53)</f>
        <v>12.53</v>
      </c>
      <c r="G556">
        <f>IFERROR(__xludf.DUMMYFUNCTION("""COMPUTED_VALUE"""),9.16)</f>
        <v>9.16</v>
      </c>
      <c r="H556">
        <f>IFERROR(__xludf.DUMMYFUNCTION("""COMPUTED_VALUE"""),6.89)</f>
        <v>6.89</v>
      </c>
      <c r="I556">
        <f>IFERROR(__xludf.DUMMYFUNCTION("""COMPUTED_VALUE"""),70.74)</f>
        <v>70.74</v>
      </c>
      <c r="J556">
        <f>IFERROR(__xludf.DUMMYFUNCTION("""COMPUTED_VALUE"""),33.53)</f>
        <v>33.53</v>
      </c>
      <c r="K556">
        <f>IFERROR(__xludf.DUMMYFUNCTION("""COMPUTED_VALUE"""),0.26)</f>
        <v>0.26</v>
      </c>
      <c r="L556">
        <f>IFERROR(__xludf.DUMMYFUNCTION("""COMPUTED_VALUE"""),0.21)</f>
        <v>0.21</v>
      </c>
      <c r="M556">
        <f>IFERROR(__xludf.DUMMYFUNCTION("""COMPUTED_VALUE"""),2.26)</f>
        <v>2.26</v>
      </c>
      <c r="N556">
        <f>IFERROR(__xludf.DUMMYFUNCTION("""COMPUTED_VALUE"""),0.42)</f>
        <v>0.42</v>
      </c>
      <c r="O556">
        <f>IFERROR(__xludf.DUMMYFUNCTION("""COMPUTED_VALUE"""),0.26)</f>
        <v>0.26</v>
      </c>
    </row>
    <row r="557">
      <c r="A557" t="str">
        <f>IFERROR(__xludf.DUMMYFUNCTION("""COMPUTED_VALUE"""),"Thevenot")</f>
        <v>Thevenot</v>
      </c>
      <c r="B557" t="str">
        <f>IFERROR(__xludf.DUMMYFUNCTION("""COMPUTED_VALUE"""),"Prisca Thevenot")</f>
        <v>Prisca Thevenot</v>
      </c>
      <c r="C557">
        <f>IFERROR(__xludf.DUMMYFUNCTION("""COMPUTED_VALUE"""),3.82)</f>
        <v>3.82</v>
      </c>
      <c r="D557">
        <f>IFERROR(__xludf.DUMMYFUNCTION("""COMPUTED_VALUE"""),7.73)</f>
        <v>7.73</v>
      </c>
      <c r="E557">
        <f>IFERROR(__xludf.DUMMYFUNCTION("""COMPUTED_VALUE"""),5.45)</f>
        <v>5.45</v>
      </c>
      <c r="F557">
        <f>IFERROR(__xludf.DUMMYFUNCTION("""COMPUTED_VALUE"""),7.73)</f>
        <v>7.73</v>
      </c>
      <c r="G557">
        <f>IFERROR(__xludf.DUMMYFUNCTION("""COMPUTED_VALUE"""),19.36)</f>
        <v>19.36</v>
      </c>
      <c r="H557">
        <f>IFERROR(__xludf.DUMMYFUNCTION("""COMPUTED_VALUE"""),3.45)</f>
        <v>3.45</v>
      </c>
      <c r="I557">
        <f>IFERROR(__xludf.DUMMYFUNCTION("""COMPUTED_VALUE"""),59.73)</f>
        <v>59.73</v>
      </c>
      <c r="J557">
        <f>IFERROR(__xludf.DUMMYFUNCTION("""COMPUTED_VALUE"""),19.55)</f>
        <v>19.55</v>
      </c>
      <c r="K557">
        <f>IFERROR(__xludf.DUMMYFUNCTION("""COMPUTED_VALUE"""),0.09)</f>
        <v>0.09</v>
      </c>
      <c r="L557">
        <f>IFERROR(__xludf.DUMMYFUNCTION("""COMPUTED_VALUE"""),0.0)</f>
        <v>0</v>
      </c>
      <c r="M557">
        <f>IFERROR(__xludf.DUMMYFUNCTION("""COMPUTED_VALUE"""),2.82)</f>
        <v>2.82</v>
      </c>
      <c r="N557">
        <f>IFERROR(__xludf.DUMMYFUNCTION("""COMPUTED_VALUE"""),0.18)</f>
        <v>0.18</v>
      </c>
      <c r="O557">
        <f>IFERROR(__xludf.DUMMYFUNCTION("""COMPUTED_VALUE"""),0.18)</f>
        <v>0.18</v>
      </c>
    </row>
    <row r="558">
      <c r="A558" t="str">
        <f>IFERROR(__xludf.DUMMYFUNCTION("""COMPUTED_VALUE"""),"Thiébaut")</f>
        <v>Thiébaut</v>
      </c>
      <c r="B558" t="str">
        <f>IFERROR(__xludf.DUMMYFUNCTION("""COMPUTED_VALUE"""),"Vincent Thiébaut")</f>
        <v>Vincent Thiébaut</v>
      </c>
      <c r="C558">
        <f>IFERROR(__xludf.DUMMYFUNCTION("""COMPUTED_VALUE"""),3.84)</f>
        <v>3.84</v>
      </c>
      <c r="D558">
        <f>IFERROR(__xludf.DUMMYFUNCTION("""COMPUTED_VALUE"""),7.95)</f>
        <v>7.95</v>
      </c>
      <c r="E558">
        <f>IFERROR(__xludf.DUMMYFUNCTION("""COMPUTED_VALUE"""),9.89)</f>
        <v>9.89</v>
      </c>
      <c r="F558">
        <f>IFERROR(__xludf.DUMMYFUNCTION("""COMPUTED_VALUE"""),8.95)</f>
        <v>8.95</v>
      </c>
      <c r="G558">
        <f>IFERROR(__xludf.DUMMYFUNCTION("""COMPUTED_VALUE"""),2.42)</f>
        <v>2.42</v>
      </c>
      <c r="H558">
        <f>IFERROR(__xludf.DUMMYFUNCTION("""COMPUTED_VALUE"""),6.42)</f>
        <v>6.42</v>
      </c>
      <c r="I558">
        <f>IFERROR(__xludf.DUMMYFUNCTION("""COMPUTED_VALUE"""),76.21)</f>
        <v>76.21</v>
      </c>
      <c r="J558">
        <f>IFERROR(__xludf.DUMMYFUNCTION("""COMPUTED_VALUE"""),14.95)</f>
        <v>14.95</v>
      </c>
      <c r="K558">
        <f>IFERROR(__xludf.DUMMYFUNCTION("""COMPUTED_VALUE"""),0.21)</f>
        <v>0.21</v>
      </c>
      <c r="L558">
        <f>IFERROR(__xludf.DUMMYFUNCTION("""COMPUTED_VALUE"""),0.11)</f>
        <v>0.11</v>
      </c>
      <c r="M558">
        <f>IFERROR(__xludf.DUMMYFUNCTION("""COMPUTED_VALUE"""),1.89)</f>
        <v>1.89</v>
      </c>
      <c r="N558">
        <f>IFERROR(__xludf.DUMMYFUNCTION("""COMPUTED_VALUE"""),1.21)</f>
        <v>1.21</v>
      </c>
      <c r="O558">
        <f>IFERROR(__xludf.DUMMYFUNCTION("""COMPUTED_VALUE"""),0.26)</f>
        <v>0.26</v>
      </c>
    </row>
    <row r="559">
      <c r="A559" t="str">
        <f>IFERROR(__xludf.DUMMYFUNCTION("""COMPUTED_VALUE"""),"Thiériot")</f>
        <v>Thiériot</v>
      </c>
      <c r="B559" t="str">
        <f>IFERROR(__xludf.DUMMYFUNCTION("""COMPUTED_VALUE"""),"Jean-Louis Thiériot")</f>
        <v>Jean-Louis Thiériot</v>
      </c>
      <c r="C559">
        <f>IFERROR(__xludf.DUMMYFUNCTION("""COMPUTED_VALUE"""),3.42)</f>
        <v>3.42</v>
      </c>
      <c r="D559">
        <f>IFERROR(__xludf.DUMMYFUNCTION("""COMPUTED_VALUE"""),6.89)</f>
        <v>6.89</v>
      </c>
      <c r="E559">
        <f>IFERROR(__xludf.DUMMYFUNCTION("""COMPUTED_VALUE"""),11.95)</f>
        <v>11.95</v>
      </c>
      <c r="F559">
        <f>IFERROR(__xludf.DUMMYFUNCTION("""COMPUTED_VALUE"""),9.95)</f>
        <v>9.95</v>
      </c>
      <c r="G559">
        <f>IFERROR(__xludf.DUMMYFUNCTION("""COMPUTED_VALUE"""),2.84)</f>
        <v>2.84</v>
      </c>
      <c r="H559">
        <f>IFERROR(__xludf.DUMMYFUNCTION("""COMPUTED_VALUE"""),15.68)</f>
        <v>15.68</v>
      </c>
      <c r="I559">
        <f>IFERROR(__xludf.DUMMYFUNCTION("""COMPUTED_VALUE"""),84.47)</f>
        <v>84.47</v>
      </c>
      <c r="J559">
        <f>IFERROR(__xludf.DUMMYFUNCTION("""COMPUTED_VALUE"""),6.16)</f>
        <v>6.16</v>
      </c>
      <c r="K559">
        <f>IFERROR(__xludf.DUMMYFUNCTION("""COMPUTED_VALUE"""),0.16)</f>
        <v>0.16</v>
      </c>
      <c r="L559">
        <f>IFERROR(__xludf.DUMMYFUNCTION("""COMPUTED_VALUE"""),1.42)</f>
        <v>1.42</v>
      </c>
      <c r="M559">
        <f>IFERROR(__xludf.DUMMYFUNCTION("""COMPUTED_VALUE"""),3.16)</f>
        <v>3.16</v>
      </c>
      <c r="N559">
        <f>IFERROR(__xludf.DUMMYFUNCTION("""COMPUTED_VALUE"""),2.16)</f>
        <v>2.16</v>
      </c>
      <c r="O559">
        <f>IFERROR(__xludf.DUMMYFUNCTION("""COMPUTED_VALUE"""),0.16)</f>
        <v>0.16</v>
      </c>
    </row>
    <row r="560">
      <c r="A560" t="str">
        <f>IFERROR(__xludf.DUMMYFUNCTION("""COMPUTED_VALUE"""),"Thierry")</f>
        <v>Thierry</v>
      </c>
      <c r="B560" t="str">
        <f>IFERROR(__xludf.DUMMYFUNCTION("""COMPUTED_VALUE"""),"Nicolas Thierry")</f>
        <v>Nicolas Thierry</v>
      </c>
      <c r="C560">
        <f>IFERROR(__xludf.DUMMYFUNCTION("""COMPUTED_VALUE"""),3.47)</f>
        <v>3.47</v>
      </c>
      <c r="D560">
        <f>IFERROR(__xludf.DUMMYFUNCTION("""COMPUTED_VALUE"""),5.05)</f>
        <v>5.05</v>
      </c>
      <c r="E560">
        <f>IFERROR(__xludf.DUMMYFUNCTION("""COMPUTED_VALUE"""),8.21)</f>
        <v>8.21</v>
      </c>
      <c r="F560">
        <f>IFERROR(__xludf.DUMMYFUNCTION("""COMPUTED_VALUE"""),6.16)</f>
        <v>6.16</v>
      </c>
      <c r="G560">
        <f>IFERROR(__xludf.DUMMYFUNCTION("""COMPUTED_VALUE"""),2.84)</f>
        <v>2.84</v>
      </c>
      <c r="H560">
        <f>IFERROR(__xludf.DUMMYFUNCTION("""COMPUTED_VALUE"""),8.32)</f>
        <v>8.32</v>
      </c>
      <c r="I560">
        <f>IFERROR(__xludf.DUMMYFUNCTION("""COMPUTED_VALUE"""),525.26)</f>
        <v>525.26</v>
      </c>
      <c r="J560">
        <f>IFERROR(__xludf.DUMMYFUNCTION("""COMPUTED_VALUE"""),19.95)</f>
        <v>19.95</v>
      </c>
      <c r="K560">
        <f>IFERROR(__xludf.DUMMYFUNCTION("""COMPUTED_VALUE"""),0.21)</f>
        <v>0.21</v>
      </c>
      <c r="L560">
        <f>IFERROR(__xludf.DUMMYFUNCTION("""COMPUTED_VALUE"""),0.47)</f>
        <v>0.47</v>
      </c>
      <c r="M560">
        <f>IFERROR(__xludf.DUMMYFUNCTION("""COMPUTED_VALUE"""),3.05)</f>
        <v>3.05</v>
      </c>
      <c r="N560">
        <f>IFERROR(__xludf.DUMMYFUNCTION("""COMPUTED_VALUE"""),0.63)</f>
        <v>0.63</v>
      </c>
      <c r="O560">
        <f>IFERROR(__xludf.DUMMYFUNCTION("""COMPUTED_VALUE"""),0.42)</f>
        <v>0.42</v>
      </c>
    </row>
    <row r="561">
      <c r="A561" t="str">
        <f>IFERROR(__xludf.DUMMYFUNCTION("""COMPUTED_VALUE"""),"Thillaye")</f>
        <v>Thillaye</v>
      </c>
      <c r="B561" t="str">
        <f>IFERROR(__xludf.DUMMYFUNCTION("""COMPUTED_VALUE"""),"Sabine Thillaye")</f>
        <v>Sabine Thillaye</v>
      </c>
      <c r="C561">
        <f>IFERROR(__xludf.DUMMYFUNCTION("""COMPUTED_VALUE"""),3.37)</f>
        <v>3.37</v>
      </c>
      <c r="D561">
        <f>IFERROR(__xludf.DUMMYFUNCTION("""COMPUTED_VALUE"""),5.79)</f>
        <v>5.79</v>
      </c>
      <c r="E561">
        <f>IFERROR(__xludf.DUMMYFUNCTION("""COMPUTED_VALUE"""),7.47)</f>
        <v>7.47</v>
      </c>
      <c r="F561">
        <f>IFERROR(__xludf.DUMMYFUNCTION("""COMPUTED_VALUE"""),4.11)</f>
        <v>4.11</v>
      </c>
      <c r="G561">
        <f>IFERROR(__xludf.DUMMYFUNCTION("""COMPUTED_VALUE"""),1.32)</f>
        <v>1.32</v>
      </c>
      <c r="H561">
        <f>IFERROR(__xludf.DUMMYFUNCTION("""COMPUTED_VALUE"""),5.84)</f>
        <v>5.84</v>
      </c>
      <c r="I561">
        <f>IFERROR(__xludf.DUMMYFUNCTION("""COMPUTED_VALUE"""),70.74)</f>
        <v>70.74</v>
      </c>
      <c r="J561">
        <f>IFERROR(__xludf.DUMMYFUNCTION("""COMPUTED_VALUE"""),17.84)</f>
        <v>17.84</v>
      </c>
      <c r="K561">
        <f>IFERROR(__xludf.DUMMYFUNCTION("""COMPUTED_VALUE"""),0.11)</f>
        <v>0.11</v>
      </c>
      <c r="L561">
        <f>IFERROR(__xludf.DUMMYFUNCTION("""COMPUTED_VALUE"""),0.05)</f>
        <v>0.05</v>
      </c>
      <c r="M561">
        <f>IFERROR(__xludf.DUMMYFUNCTION("""COMPUTED_VALUE"""),0.74)</f>
        <v>0.74</v>
      </c>
      <c r="N561">
        <f>IFERROR(__xludf.DUMMYFUNCTION("""COMPUTED_VALUE"""),0.32)</f>
        <v>0.32</v>
      </c>
      <c r="O561">
        <f>IFERROR(__xludf.DUMMYFUNCTION("""COMPUTED_VALUE"""),0.26)</f>
        <v>0.26</v>
      </c>
    </row>
    <row r="562">
      <c r="A562" t="str">
        <f>IFERROR(__xludf.DUMMYFUNCTION("""COMPUTED_VALUE"""),"Thomin")</f>
        <v>Thomin</v>
      </c>
      <c r="B562" t="str">
        <f>IFERROR(__xludf.DUMMYFUNCTION("""COMPUTED_VALUE"""),"Mélanie Thomin")</f>
        <v>Mélanie Thomin</v>
      </c>
      <c r="C562">
        <f>IFERROR(__xludf.DUMMYFUNCTION("""COMPUTED_VALUE"""),3.21)</f>
        <v>3.21</v>
      </c>
      <c r="D562">
        <f>IFERROR(__xludf.DUMMYFUNCTION("""COMPUTED_VALUE"""),7.74)</f>
        <v>7.74</v>
      </c>
      <c r="E562">
        <f>IFERROR(__xludf.DUMMYFUNCTION("""COMPUTED_VALUE"""),14.58)</f>
        <v>14.58</v>
      </c>
      <c r="F562">
        <f>IFERROR(__xludf.DUMMYFUNCTION("""COMPUTED_VALUE"""),8.42)</f>
        <v>8.42</v>
      </c>
      <c r="G562">
        <f>IFERROR(__xludf.DUMMYFUNCTION("""COMPUTED_VALUE"""),0.95)</f>
        <v>0.95</v>
      </c>
      <c r="H562">
        <f>IFERROR(__xludf.DUMMYFUNCTION("""COMPUTED_VALUE"""),23.68)</f>
        <v>23.68</v>
      </c>
      <c r="I562">
        <f>IFERROR(__xludf.DUMMYFUNCTION("""COMPUTED_VALUE"""),468.95)</f>
        <v>468.95</v>
      </c>
      <c r="J562">
        <f>IFERROR(__xludf.DUMMYFUNCTION("""COMPUTED_VALUE"""),23.11)</f>
        <v>23.11</v>
      </c>
      <c r="K562">
        <f>IFERROR(__xludf.DUMMYFUNCTION("""COMPUTED_VALUE"""),0.11)</f>
        <v>0.11</v>
      </c>
      <c r="L562">
        <f>IFERROR(__xludf.DUMMYFUNCTION("""COMPUTED_VALUE"""),0.16)</f>
        <v>0.16</v>
      </c>
      <c r="M562">
        <f>IFERROR(__xludf.DUMMYFUNCTION("""COMPUTED_VALUE"""),3.84)</f>
        <v>3.84</v>
      </c>
      <c r="N562">
        <f>IFERROR(__xludf.DUMMYFUNCTION("""COMPUTED_VALUE"""),1.95)</f>
        <v>1.95</v>
      </c>
      <c r="O562">
        <f>IFERROR(__xludf.DUMMYFUNCTION("""COMPUTED_VALUE"""),0.32)</f>
        <v>0.32</v>
      </c>
    </row>
    <row r="563">
      <c r="A563" t="str">
        <f>IFERROR(__xludf.DUMMYFUNCTION("""COMPUTED_VALUE"""),"Tiegna")</f>
        <v>Tiegna</v>
      </c>
      <c r="B563" t="str">
        <f>IFERROR(__xludf.DUMMYFUNCTION("""COMPUTED_VALUE"""),"Huguette Tiegna")</f>
        <v>Huguette Tiegna</v>
      </c>
      <c r="C563">
        <f>IFERROR(__xludf.DUMMYFUNCTION("""COMPUTED_VALUE"""),3.0)</f>
        <v>3</v>
      </c>
      <c r="D563">
        <f>IFERROR(__xludf.DUMMYFUNCTION("""COMPUTED_VALUE"""),5.79)</f>
        <v>5.79</v>
      </c>
      <c r="E563">
        <f>IFERROR(__xludf.DUMMYFUNCTION("""COMPUTED_VALUE"""),6.32)</f>
        <v>6.32</v>
      </c>
      <c r="F563">
        <f>IFERROR(__xludf.DUMMYFUNCTION("""COMPUTED_VALUE"""),1.26)</f>
        <v>1.26</v>
      </c>
      <c r="G563">
        <f>IFERROR(__xludf.DUMMYFUNCTION("""COMPUTED_VALUE"""),0.11)</f>
        <v>0.11</v>
      </c>
      <c r="H563">
        <f>IFERROR(__xludf.DUMMYFUNCTION("""COMPUTED_VALUE"""),8.05)</f>
        <v>8.05</v>
      </c>
      <c r="I563">
        <f>IFERROR(__xludf.DUMMYFUNCTION("""COMPUTED_VALUE"""),84.37)</f>
        <v>84.37</v>
      </c>
      <c r="J563">
        <f>IFERROR(__xludf.DUMMYFUNCTION("""COMPUTED_VALUE"""),18.42)</f>
        <v>18.42</v>
      </c>
      <c r="K563">
        <f>IFERROR(__xludf.DUMMYFUNCTION("""COMPUTED_VALUE"""),0.11)</f>
        <v>0.11</v>
      </c>
      <c r="L563">
        <f>IFERROR(__xludf.DUMMYFUNCTION("""COMPUTED_VALUE"""),0.26)</f>
        <v>0.26</v>
      </c>
      <c r="M563">
        <f>IFERROR(__xludf.DUMMYFUNCTION("""COMPUTED_VALUE"""),2.47)</f>
        <v>2.47</v>
      </c>
      <c r="N563">
        <f>IFERROR(__xludf.DUMMYFUNCTION("""COMPUTED_VALUE"""),0.21)</f>
        <v>0.21</v>
      </c>
      <c r="O563">
        <f>IFERROR(__xludf.DUMMYFUNCTION("""COMPUTED_VALUE"""),0.16)</f>
        <v>0.16</v>
      </c>
    </row>
    <row r="564">
      <c r="A564" t="str">
        <f>IFERROR(__xludf.DUMMYFUNCTION("""COMPUTED_VALUE"""),"Tivoli")</f>
        <v>Tivoli</v>
      </c>
      <c r="B564" t="str">
        <f>IFERROR(__xludf.DUMMYFUNCTION("""COMPUTED_VALUE"""),"Lionel Tivoli")</f>
        <v>Lionel Tivoli</v>
      </c>
      <c r="C564">
        <f>IFERROR(__xludf.DUMMYFUNCTION("""COMPUTED_VALUE"""),3.63)</f>
        <v>3.63</v>
      </c>
      <c r="D564">
        <f>IFERROR(__xludf.DUMMYFUNCTION("""COMPUTED_VALUE"""),4.63)</f>
        <v>4.63</v>
      </c>
      <c r="E564">
        <f>IFERROR(__xludf.DUMMYFUNCTION("""COMPUTED_VALUE"""),2.37)</f>
        <v>2.37</v>
      </c>
      <c r="F564">
        <f>IFERROR(__xludf.DUMMYFUNCTION("""COMPUTED_VALUE"""),4.26)</f>
        <v>4.26</v>
      </c>
      <c r="G564">
        <f>IFERROR(__xludf.DUMMYFUNCTION("""COMPUTED_VALUE"""),1.0)</f>
        <v>1</v>
      </c>
      <c r="H564">
        <f>IFERROR(__xludf.DUMMYFUNCTION("""COMPUTED_VALUE"""),7.63)</f>
        <v>7.63</v>
      </c>
      <c r="I564">
        <f>IFERROR(__xludf.DUMMYFUNCTION("""COMPUTED_VALUE"""),443.68)</f>
        <v>443.68</v>
      </c>
      <c r="J564">
        <f>IFERROR(__xludf.DUMMYFUNCTION("""COMPUTED_VALUE"""),5.63)</f>
        <v>5.63</v>
      </c>
      <c r="K564">
        <f>IFERROR(__xludf.DUMMYFUNCTION("""COMPUTED_VALUE"""),0.0)</f>
        <v>0</v>
      </c>
      <c r="L564">
        <f>IFERROR(__xludf.DUMMYFUNCTION("""COMPUTED_VALUE"""),0.11)</f>
        <v>0.11</v>
      </c>
      <c r="M564">
        <f>IFERROR(__xludf.DUMMYFUNCTION("""COMPUTED_VALUE"""),4.0)</f>
        <v>4</v>
      </c>
      <c r="N564">
        <f>IFERROR(__xludf.DUMMYFUNCTION("""COMPUTED_VALUE"""),2.11)</f>
        <v>2.11</v>
      </c>
      <c r="O564">
        <f>IFERROR(__xludf.DUMMYFUNCTION("""COMPUTED_VALUE"""),0.26)</f>
        <v>0.26</v>
      </c>
    </row>
    <row r="565">
      <c r="A565" t="str">
        <f>IFERROR(__xludf.DUMMYFUNCTION("""COMPUTED_VALUE"""),"Travert")</f>
        <v>Travert</v>
      </c>
      <c r="B565" t="str">
        <f>IFERROR(__xludf.DUMMYFUNCTION("""COMPUTED_VALUE"""),"Stéphane Travert")</f>
        <v>Stéphane Travert</v>
      </c>
      <c r="C565">
        <f>IFERROR(__xludf.DUMMYFUNCTION("""COMPUTED_VALUE"""),3.63)</f>
        <v>3.63</v>
      </c>
      <c r="D565">
        <f>IFERROR(__xludf.DUMMYFUNCTION("""COMPUTED_VALUE"""),6.84)</f>
        <v>6.84</v>
      </c>
      <c r="E565">
        <f>IFERROR(__xludf.DUMMYFUNCTION("""COMPUTED_VALUE"""),11.16)</f>
        <v>11.16</v>
      </c>
      <c r="F565">
        <f>IFERROR(__xludf.DUMMYFUNCTION("""COMPUTED_VALUE"""),4.37)</f>
        <v>4.37</v>
      </c>
      <c r="G565">
        <f>IFERROR(__xludf.DUMMYFUNCTION("""COMPUTED_VALUE"""),6.21)</f>
        <v>6.21</v>
      </c>
      <c r="H565">
        <f>IFERROR(__xludf.DUMMYFUNCTION("""COMPUTED_VALUE"""),1.89)</f>
        <v>1.89</v>
      </c>
      <c r="I565">
        <f>IFERROR(__xludf.DUMMYFUNCTION("""COMPUTED_VALUE"""),89.79)</f>
        <v>89.79</v>
      </c>
      <c r="J565">
        <f>IFERROR(__xludf.DUMMYFUNCTION("""COMPUTED_VALUE"""),21.37)</f>
        <v>21.37</v>
      </c>
      <c r="K565">
        <f>IFERROR(__xludf.DUMMYFUNCTION("""COMPUTED_VALUE"""),0.16)</f>
        <v>0.16</v>
      </c>
      <c r="L565">
        <f>IFERROR(__xludf.DUMMYFUNCTION("""COMPUTED_VALUE"""),0.11)</f>
        <v>0.11</v>
      </c>
      <c r="M565">
        <f>IFERROR(__xludf.DUMMYFUNCTION("""COMPUTED_VALUE"""),3.11)</f>
        <v>3.11</v>
      </c>
      <c r="N565">
        <f>IFERROR(__xludf.DUMMYFUNCTION("""COMPUTED_VALUE"""),0.74)</f>
        <v>0.74</v>
      </c>
      <c r="O565">
        <f>IFERROR(__xludf.DUMMYFUNCTION("""COMPUTED_VALUE"""),0.21)</f>
        <v>0.21</v>
      </c>
    </row>
    <row r="566">
      <c r="A566" t="str">
        <f>IFERROR(__xludf.DUMMYFUNCTION("""COMPUTED_VALUE"""),"Trouvé")</f>
        <v>Trouvé</v>
      </c>
      <c r="B566" t="str">
        <f>IFERROR(__xludf.DUMMYFUNCTION("""COMPUTED_VALUE"""),"Aurélie Trouvé")</f>
        <v>Aurélie Trouvé</v>
      </c>
      <c r="C566">
        <f>IFERROR(__xludf.DUMMYFUNCTION("""COMPUTED_VALUE"""),4.0)</f>
        <v>4</v>
      </c>
      <c r="D566">
        <f>IFERROR(__xludf.DUMMYFUNCTION("""COMPUTED_VALUE"""),5.84)</f>
        <v>5.84</v>
      </c>
      <c r="E566">
        <f>IFERROR(__xludf.DUMMYFUNCTION("""COMPUTED_VALUE"""),15.79)</f>
        <v>15.79</v>
      </c>
      <c r="F566">
        <f>IFERROR(__xludf.DUMMYFUNCTION("""COMPUTED_VALUE"""),47.84)</f>
        <v>47.84</v>
      </c>
      <c r="G566">
        <f>IFERROR(__xludf.DUMMYFUNCTION("""COMPUTED_VALUE"""),20.95)</f>
        <v>20.95</v>
      </c>
      <c r="H566">
        <f>IFERROR(__xludf.DUMMYFUNCTION("""COMPUTED_VALUE"""),65.47)</f>
        <v>65.47</v>
      </c>
      <c r="I566">
        <f>IFERROR(__xludf.DUMMYFUNCTION("""COMPUTED_VALUE"""),898.16)</f>
        <v>898.16</v>
      </c>
      <c r="J566">
        <f>IFERROR(__xludf.DUMMYFUNCTION("""COMPUTED_VALUE"""),28.89)</f>
        <v>28.89</v>
      </c>
      <c r="K566">
        <f>IFERROR(__xludf.DUMMYFUNCTION("""COMPUTED_VALUE"""),0.21)</f>
        <v>0.21</v>
      </c>
      <c r="L566">
        <f>IFERROR(__xludf.DUMMYFUNCTION("""COMPUTED_VALUE"""),0.32)</f>
        <v>0.32</v>
      </c>
      <c r="M566">
        <f>IFERROR(__xludf.DUMMYFUNCTION("""COMPUTED_VALUE"""),7.58)</f>
        <v>7.58</v>
      </c>
      <c r="N566">
        <f>IFERROR(__xludf.DUMMYFUNCTION("""COMPUTED_VALUE"""),0.58)</f>
        <v>0.58</v>
      </c>
      <c r="O566">
        <f>IFERROR(__xludf.DUMMYFUNCTION("""COMPUTED_VALUE"""),0.21)</f>
        <v>0.21</v>
      </c>
    </row>
    <row r="567">
      <c r="A567" t="str">
        <f>IFERROR(__xludf.DUMMYFUNCTION("""COMPUTED_VALUE"""),"Turquois")</f>
        <v>Turquois</v>
      </c>
      <c r="B567" t="str">
        <f>IFERROR(__xludf.DUMMYFUNCTION("""COMPUTED_VALUE"""),"Nicolas Turquois")</f>
        <v>Nicolas Turquois</v>
      </c>
      <c r="C567">
        <f>IFERROR(__xludf.DUMMYFUNCTION("""COMPUTED_VALUE"""),4.05)</f>
        <v>4.05</v>
      </c>
      <c r="D567">
        <f>IFERROR(__xludf.DUMMYFUNCTION("""COMPUTED_VALUE"""),7.95)</f>
        <v>7.95</v>
      </c>
      <c r="E567">
        <f>IFERROR(__xludf.DUMMYFUNCTION("""COMPUTED_VALUE"""),13.84)</f>
        <v>13.84</v>
      </c>
      <c r="F567">
        <f>IFERROR(__xludf.DUMMYFUNCTION("""COMPUTED_VALUE"""),20.0)</f>
        <v>20</v>
      </c>
      <c r="G567">
        <f>IFERROR(__xludf.DUMMYFUNCTION("""COMPUTED_VALUE"""),4.47)</f>
        <v>4.47</v>
      </c>
      <c r="H567">
        <f>IFERROR(__xludf.DUMMYFUNCTION("""COMPUTED_VALUE"""),5.89)</f>
        <v>5.89</v>
      </c>
      <c r="I567">
        <f>IFERROR(__xludf.DUMMYFUNCTION("""COMPUTED_VALUE"""),67.68)</f>
        <v>67.68</v>
      </c>
      <c r="J567">
        <f>IFERROR(__xludf.DUMMYFUNCTION("""COMPUTED_VALUE"""),14.26)</f>
        <v>14.26</v>
      </c>
      <c r="K567">
        <f>IFERROR(__xludf.DUMMYFUNCTION("""COMPUTED_VALUE"""),0.11)</f>
        <v>0.11</v>
      </c>
      <c r="L567">
        <f>IFERROR(__xludf.DUMMYFUNCTION("""COMPUTED_VALUE"""),0.11)</f>
        <v>0.11</v>
      </c>
      <c r="M567">
        <f>IFERROR(__xludf.DUMMYFUNCTION("""COMPUTED_VALUE"""),0.79)</f>
        <v>0.79</v>
      </c>
      <c r="N567">
        <f>IFERROR(__xludf.DUMMYFUNCTION("""COMPUTED_VALUE"""),0.0)</f>
        <v>0</v>
      </c>
      <c r="O567">
        <f>IFERROR(__xludf.DUMMYFUNCTION("""COMPUTED_VALUE"""),0.26)</f>
        <v>0.26</v>
      </c>
    </row>
    <row r="568">
      <c r="A568" t="str">
        <f>IFERROR(__xludf.DUMMYFUNCTION("""COMPUTED_VALUE"""),"Untermaier")</f>
        <v>Untermaier</v>
      </c>
      <c r="B568" t="str">
        <f>IFERROR(__xludf.DUMMYFUNCTION("""COMPUTED_VALUE"""),"Cécile Untermaier")</f>
        <v>Cécile Untermaier</v>
      </c>
      <c r="C568">
        <f>IFERROR(__xludf.DUMMYFUNCTION("""COMPUTED_VALUE"""),3.63)</f>
        <v>3.63</v>
      </c>
      <c r="D568">
        <f>IFERROR(__xludf.DUMMYFUNCTION("""COMPUTED_VALUE"""),5.79)</f>
        <v>5.79</v>
      </c>
      <c r="E568">
        <f>IFERROR(__xludf.DUMMYFUNCTION("""COMPUTED_VALUE"""),14.95)</f>
        <v>14.95</v>
      </c>
      <c r="F568">
        <f>IFERROR(__xludf.DUMMYFUNCTION("""COMPUTED_VALUE"""),16.68)</f>
        <v>16.68</v>
      </c>
      <c r="G568">
        <f>IFERROR(__xludf.DUMMYFUNCTION("""COMPUTED_VALUE"""),7.0)</f>
        <v>7</v>
      </c>
      <c r="H568">
        <f>IFERROR(__xludf.DUMMYFUNCTION("""COMPUTED_VALUE"""),24.32)</f>
        <v>24.32</v>
      </c>
      <c r="I568">
        <f>IFERROR(__xludf.DUMMYFUNCTION("""COMPUTED_VALUE"""),453.32)</f>
        <v>453.32</v>
      </c>
      <c r="J568">
        <f>IFERROR(__xludf.DUMMYFUNCTION("""COMPUTED_VALUE"""),23.68)</f>
        <v>23.68</v>
      </c>
      <c r="K568">
        <f>IFERROR(__xludf.DUMMYFUNCTION("""COMPUTED_VALUE"""),0.37)</f>
        <v>0.37</v>
      </c>
      <c r="L568">
        <f>IFERROR(__xludf.DUMMYFUNCTION("""COMPUTED_VALUE"""),0.42)</f>
        <v>0.42</v>
      </c>
      <c r="M568">
        <f>IFERROR(__xludf.DUMMYFUNCTION("""COMPUTED_VALUE"""),4.21)</f>
        <v>4.21</v>
      </c>
      <c r="N568">
        <f>IFERROR(__xludf.DUMMYFUNCTION("""COMPUTED_VALUE"""),2.47)</f>
        <v>2.47</v>
      </c>
      <c r="O568">
        <f>IFERROR(__xludf.DUMMYFUNCTION("""COMPUTED_VALUE"""),0.32)</f>
        <v>0.32</v>
      </c>
    </row>
    <row r="569">
      <c r="A569" t="str">
        <f>IFERROR(__xludf.DUMMYFUNCTION("""COMPUTED_VALUE"""),"Valence")</f>
        <v>Valence</v>
      </c>
      <c r="B569" t="str">
        <f>IFERROR(__xludf.DUMMYFUNCTION("""COMPUTED_VALUE"""),"David Valence")</f>
        <v>David Valence</v>
      </c>
      <c r="C569">
        <f>IFERROR(__xludf.DUMMYFUNCTION("""COMPUTED_VALUE"""),4.0)</f>
        <v>4</v>
      </c>
      <c r="D569">
        <f>IFERROR(__xludf.DUMMYFUNCTION("""COMPUTED_VALUE"""),11.32)</f>
        <v>11.32</v>
      </c>
      <c r="E569">
        <f>IFERROR(__xludf.DUMMYFUNCTION("""COMPUTED_VALUE"""),23.42)</f>
        <v>23.42</v>
      </c>
      <c r="F569">
        <f>IFERROR(__xludf.DUMMYFUNCTION("""COMPUTED_VALUE"""),6.79)</f>
        <v>6.79</v>
      </c>
      <c r="G569">
        <f>IFERROR(__xludf.DUMMYFUNCTION("""COMPUTED_VALUE"""),6.47)</f>
        <v>6.47</v>
      </c>
      <c r="H569">
        <f>IFERROR(__xludf.DUMMYFUNCTION("""COMPUTED_VALUE"""),5.74)</f>
        <v>5.74</v>
      </c>
      <c r="I569">
        <f>IFERROR(__xludf.DUMMYFUNCTION("""COMPUTED_VALUE"""),66.32)</f>
        <v>66.32</v>
      </c>
      <c r="J569">
        <f>IFERROR(__xludf.DUMMYFUNCTION("""COMPUTED_VALUE"""),18.84)</f>
        <v>18.84</v>
      </c>
      <c r="K569">
        <f>IFERROR(__xludf.DUMMYFUNCTION("""COMPUTED_VALUE"""),0.42)</f>
        <v>0.42</v>
      </c>
      <c r="L569">
        <f>IFERROR(__xludf.DUMMYFUNCTION("""COMPUTED_VALUE"""),0.05)</f>
        <v>0.05</v>
      </c>
      <c r="M569">
        <f>IFERROR(__xludf.DUMMYFUNCTION("""COMPUTED_VALUE"""),2.32)</f>
        <v>2.32</v>
      </c>
      <c r="N569">
        <f>IFERROR(__xludf.DUMMYFUNCTION("""COMPUTED_VALUE"""),0.47)</f>
        <v>0.47</v>
      </c>
      <c r="O569">
        <f>IFERROR(__xludf.DUMMYFUNCTION("""COMPUTED_VALUE"""),0.26)</f>
        <v>0.26</v>
      </c>
    </row>
    <row r="570">
      <c r="A570" t="str">
        <f>IFERROR(__xludf.DUMMYFUNCTION("""COMPUTED_VALUE"""),"Valentin")</f>
        <v>Valentin</v>
      </c>
      <c r="B570" t="str">
        <f>IFERROR(__xludf.DUMMYFUNCTION("""COMPUTED_VALUE"""),"Isabelle Valentin")</f>
        <v>Isabelle Valentin</v>
      </c>
      <c r="C570">
        <f>IFERROR(__xludf.DUMMYFUNCTION("""COMPUTED_VALUE"""),3.0)</f>
        <v>3</v>
      </c>
      <c r="D570">
        <f>IFERROR(__xludf.DUMMYFUNCTION("""COMPUTED_VALUE"""),5.05)</f>
        <v>5.05</v>
      </c>
      <c r="E570">
        <f>IFERROR(__xludf.DUMMYFUNCTION("""COMPUTED_VALUE"""),5.84)</f>
        <v>5.84</v>
      </c>
      <c r="F570">
        <f>IFERROR(__xludf.DUMMYFUNCTION("""COMPUTED_VALUE"""),5.42)</f>
        <v>5.42</v>
      </c>
      <c r="G570">
        <f>IFERROR(__xludf.DUMMYFUNCTION("""COMPUTED_VALUE"""),2.79)</f>
        <v>2.79</v>
      </c>
      <c r="H570">
        <f>IFERROR(__xludf.DUMMYFUNCTION("""COMPUTED_VALUE"""),52.74)</f>
        <v>52.74</v>
      </c>
      <c r="I570">
        <f>IFERROR(__xludf.DUMMYFUNCTION("""COMPUTED_VALUE"""),415.32)</f>
        <v>415.32</v>
      </c>
      <c r="J570">
        <f>IFERROR(__xludf.DUMMYFUNCTION("""COMPUTED_VALUE"""),12.26)</f>
        <v>12.26</v>
      </c>
      <c r="K570">
        <f>IFERROR(__xludf.DUMMYFUNCTION("""COMPUTED_VALUE"""),0.0)</f>
        <v>0</v>
      </c>
      <c r="L570">
        <f>IFERROR(__xludf.DUMMYFUNCTION("""COMPUTED_VALUE"""),1.05)</f>
        <v>1.05</v>
      </c>
      <c r="M570">
        <f>IFERROR(__xludf.DUMMYFUNCTION("""COMPUTED_VALUE"""),9.05)</f>
        <v>9.05</v>
      </c>
      <c r="N570">
        <f>IFERROR(__xludf.DUMMYFUNCTION("""COMPUTED_VALUE"""),3.26)</f>
        <v>3.26</v>
      </c>
      <c r="O570">
        <f>IFERROR(__xludf.DUMMYFUNCTION("""COMPUTED_VALUE"""),0.16)</f>
        <v>0.16</v>
      </c>
    </row>
    <row r="571">
      <c r="A571" t="str">
        <f>IFERROR(__xludf.DUMMYFUNCTION("""COMPUTED_VALUE"""),"Vallaud")</f>
        <v>Vallaud</v>
      </c>
      <c r="B571" t="str">
        <f>IFERROR(__xludf.DUMMYFUNCTION("""COMPUTED_VALUE"""),"Boris Vallaud")</f>
        <v>Boris Vallaud</v>
      </c>
      <c r="C571">
        <f>IFERROR(__xludf.DUMMYFUNCTION("""COMPUTED_VALUE"""),4.0)</f>
        <v>4</v>
      </c>
      <c r="D571">
        <f>IFERROR(__xludf.DUMMYFUNCTION("""COMPUTED_VALUE"""),6.16)</f>
        <v>6.16</v>
      </c>
      <c r="E571">
        <f>IFERROR(__xludf.DUMMYFUNCTION("""COMPUTED_VALUE"""),3.05)</f>
        <v>3.05</v>
      </c>
      <c r="F571">
        <f>IFERROR(__xludf.DUMMYFUNCTION("""COMPUTED_VALUE"""),21.37)</f>
        <v>21.37</v>
      </c>
      <c r="G571">
        <f>IFERROR(__xludf.DUMMYFUNCTION("""COMPUTED_VALUE"""),11.95)</f>
        <v>11.95</v>
      </c>
      <c r="H571">
        <f>IFERROR(__xludf.DUMMYFUNCTION("""COMPUTED_VALUE"""),17.0)</f>
        <v>17</v>
      </c>
      <c r="I571">
        <f>IFERROR(__xludf.DUMMYFUNCTION("""COMPUTED_VALUE"""),442.26)</f>
        <v>442.26</v>
      </c>
      <c r="J571">
        <f>IFERROR(__xludf.DUMMYFUNCTION("""COMPUTED_VALUE"""),21.53)</f>
        <v>21.53</v>
      </c>
      <c r="K571">
        <f>IFERROR(__xludf.DUMMYFUNCTION("""COMPUTED_VALUE"""),0.0)</f>
        <v>0</v>
      </c>
      <c r="L571">
        <f>IFERROR(__xludf.DUMMYFUNCTION("""COMPUTED_VALUE"""),0.37)</f>
        <v>0.37</v>
      </c>
      <c r="M571">
        <f>IFERROR(__xludf.DUMMYFUNCTION("""COMPUTED_VALUE"""),4.0)</f>
        <v>4</v>
      </c>
      <c r="N571">
        <f>IFERROR(__xludf.DUMMYFUNCTION("""COMPUTED_VALUE"""),3.68)</f>
        <v>3.68</v>
      </c>
      <c r="O571">
        <f>IFERROR(__xludf.DUMMYFUNCTION("""COMPUTED_VALUE"""),0.47)</f>
        <v>0.47</v>
      </c>
    </row>
    <row r="572">
      <c r="A572" t="str">
        <f>IFERROR(__xludf.DUMMYFUNCTION("""COMPUTED_VALUE"""),"Valletoux")</f>
        <v>Valletoux</v>
      </c>
      <c r="B572" t="str">
        <f>IFERROR(__xludf.DUMMYFUNCTION("""COMPUTED_VALUE"""),"Frédéric Valletoux")</f>
        <v>Frédéric Valletoux</v>
      </c>
      <c r="C572">
        <f>IFERROR(__xludf.DUMMYFUNCTION("""COMPUTED_VALUE"""),3.81)</f>
        <v>3.81</v>
      </c>
      <c r="D572">
        <f>IFERROR(__xludf.DUMMYFUNCTION("""COMPUTED_VALUE"""),7.0)</f>
        <v>7</v>
      </c>
      <c r="E572">
        <f>IFERROR(__xludf.DUMMYFUNCTION("""COMPUTED_VALUE"""),15.25)</f>
        <v>15.25</v>
      </c>
      <c r="F572">
        <f>IFERROR(__xludf.DUMMYFUNCTION("""COMPUTED_VALUE"""),22.31)</f>
        <v>22.31</v>
      </c>
      <c r="G572">
        <f>IFERROR(__xludf.DUMMYFUNCTION("""COMPUTED_VALUE"""),6.75)</f>
        <v>6.75</v>
      </c>
      <c r="H572">
        <f>IFERROR(__xludf.DUMMYFUNCTION("""COMPUTED_VALUE"""),14.56)</f>
        <v>14.56</v>
      </c>
      <c r="I572">
        <f>IFERROR(__xludf.DUMMYFUNCTION("""COMPUTED_VALUE"""),67.13)</f>
        <v>67.13</v>
      </c>
      <c r="J572">
        <f>IFERROR(__xludf.DUMMYFUNCTION("""COMPUTED_VALUE"""),19.25)</f>
        <v>19.25</v>
      </c>
      <c r="K572">
        <f>IFERROR(__xludf.DUMMYFUNCTION("""COMPUTED_VALUE"""),0.19)</f>
        <v>0.19</v>
      </c>
      <c r="L572">
        <f>IFERROR(__xludf.DUMMYFUNCTION("""COMPUTED_VALUE"""),0.44)</f>
        <v>0.44</v>
      </c>
      <c r="M572">
        <f>IFERROR(__xludf.DUMMYFUNCTION("""COMPUTED_VALUE"""),1.94)</f>
        <v>1.94</v>
      </c>
      <c r="N572">
        <f>IFERROR(__xludf.DUMMYFUNCTION("""COMPUTED_VALUE"""),1.75)</f>
        <v>1.75</v>
      </c>
      <c r="O572">
        <f>IFERROR(__xludf.DUMMYFUNCTION("""COMPUTED_VALUE"""),0.38)</f>
        <v>0.38</v>
      </c>
    </row>
    <row r="573">
      <c r="A573" t="str">
        <f>IFERROR(__xludf.DUMMYFUNCTION("""COMPUTED_VALUE"""),"Vannier")</f>
        <v>Vannier</v>
      </c>
      <c r="B573" t="str">
        <f>IFERROR(__xludf.DUMMYFUNCTION("""COMPUTED_VALUE"""),"Paul Vannier")</f>
        <v>Paul Vannier</v>
      </c>
      <c r="C573">
        <f>IFERROR(__xludf.DUMMYFUNCTION("""COMPUTED_VALUE"""),3.84)</f>
        <v>3.84</v>
      </c>
      <c r="D573">
        <f>IFERROR(__xludf.DUMMYFUNCTION("""COMPUTED_VALUE"""),4.68)</f>
        <v>4.68</v>
      </c>
      <c r="E573">
        <f>IFERROR(__xludf.DUMMYFUNCTION("""COMPUTED_VALUE"""),13.26)</f>
        <v>13.26</v>
      </c>
      <c r="F573">
        <f>IFERROR(__xludf.DUMMYFUNCTION("""COMPUTED_VALUE"""),17.11)</f>
        <v>17.11</v>
      </c>
      <c r="G573">
        <f>IFERROR(__xludf.DUMMYFUNCTION("""COMPUTED_VALUE"""),14.79)</f>
        <v>14.79</v>
      </c>
      <c r="H573">
        <f>IFERROR(__xludf.DUMMYFUNCTION("""COMPUTED_VALUE"""),36.89)</f>
        <v>36.89</v>
      </c>
      <c r="I573">
        <f>IFERROR(__xludf.DUMMYFUNCTION("""COMPUTED_VALUE"""),888.16)</f>
        <v>888.16</v>
      </c>
      <c r="J573">
        <f>IFERROR(__xludf.DUMMYFUNCTION("""COMPUTED_VALUE"""),28.53)</f>
        <v>28.53</v>
      </c>
      <c r="K573">
        <f>IFERROR(__xludf.DUMMYFUNCTION("""COMPUTED_VALUE"""),0.05)</f>
        <v>0.05</v>
      </c>
      <c r="L573">
        <f>IFERROR(__xludf.DUMMYFUNCTION("""COMPUTED_VALUE"""),0.32)</f>
        <v>0.32</v>
      </c>
      <c r="M573">
        <f>IFERROR(__xludf.DUMMYFUNCTION("""COMPUTED_VALUE"""),7.95)</f>
        <v>7.95</v>
      </c>
      <c r="N573">
        <f>IFERROR(__xludf.DUMMYFUNCTION("""COMPUTED_VALUE"""),1.05)</f>
        <v>1.05</v>
      </c>
      <c r="O573">
        <f>IFERROR(__xludf.DUMMYFUNCTION("""COMPUTED_VALUE"""),0.21)</f>
        <v>0.21</v>
      </c>
    </row>
    <row r="574">
      <c r="A574" t="str">
        <f>IFERROR(__xludf.DUMMYFUNCTION("""COMPUTED_VALUE"""),"Vatin")</f>
        <v>Vatin</v>
      </c>
      <c r="B574" t="str">
        <f>IFERROR(__xludf.DUMMYFUNCTION("""COMPUTED_VALUE"""),"Pierre Vatin")</f>
        <v>Pierre Vatin</v>
      </c>
      <c r="C574">
        <f>IFERROR(__xludf.DUMMYFUNCTION("""COMPUTED_VALUE"""),3.42)</f>
        <v>3.42</v>
      </c>
      <c r="D574">
        <f>IFERROR(__xludf.DUMMYFUNCTION("""COMPUTED_VALUE"""),6.0)</f>
        <v>6</v>
      </c>
      <c r="E574">
        <f>IFERROR(__xludf.DUMMYFUNCTION("""COMPUTED_VALUE"""),4.84)</f>
        <v>4.84</v>
      </c>
      <c r="F574">
        <f>IFERROR(__xludf.DUMMYFUNCTION("""COMPUTED_VALUE"""),4.58)</f>
        <v>4.58</v>
      </c>
      <c r="G574">
        <f>IFERROR(__xludf.DUMMYFUNCTION("""COMPUTED_VALUE"""),2.37)</f>
        <v>2.37</v>
      </c>
      <c r="H574">
        <f>IFERROR(__xludf.DUMMYFUNCTION("""COMPUTED_VALUE"""),5.05)</f>
        <v>5.05</v>
      </c>
      <c r="I574">
        <f>IFERROR(__xludf.DUMMYFUNCTION("""COMPUTED_VALUE"""),202.26)</f>
        <v>202.26</v>
      </c>
      <c r="J574">
        <f>IFERROR(__xludf.DUMMYFUNCTION("""COMPUTED_VALUE"""),8.95)</f>
        <v>8.95</v>
      </c>
      <c r="K574">
        <f>IFERROR(__xludf.DUMMYFUNCTION("""COMPUTED_VALUE"""),0.0)</f>
        <v>0</v>
      </c>
      <c r="L574">
        <f>IFERROR(__xludf.DUMMYFUNCTION("""COMPUTED_VALUE"""),0.16)</f>
        <v>0.16</v>
      </c>
      <c r="M574">
        <f>IFERROR(__xludf.DUMMYFUNCTION("""COMPUTED_VALUE"""),6.21)</f>
        <v>6.21</v>
      </c>
      <c r="N574">
        <f>IFERROR(__xludf.DUMMYFUNCTION("""COMPUTED_VALUE"""),0.89)</f>
        <v>0.89</v>
      </c>
      <c r="O574">
        <f>IFERROR(__xludf.DUMMYFUNCTION("""COMPUTED_VALUE"""),0.11)</f>
        <v>0.11</v>
      </c>
    </row>
    <row r="575">
      <c r="A575" t="str">
        <f>IFERROR(__xludf.DUMMYFUNCTION("""COMPUTED_VALUE"""),"Vermorel-Marques")</f>
        <v>Vermorel-Marques</v>
      </c>
      <c r="B575" t="str">
        <f>IFERROR(__xludf.DUMMYFUNCTION("""COMPUTED_VALUE"""),"Antoine Vermorel-Marques")</f>
        <v>Antoine Vermorel-Marques</v>
      </c>
      <c r="C575">
        <f>IFERROR(__xludf.DUMMYFUNCTION("""COMPUTED_VALUE"""),3.58)</f>
        <v>3.58</v>
      </c>
      <c r="D575">
        <f>IFERROR(__xludf.DUMMYFUNCTION("""COMPUTED_VALUE"""),4.89)</f>
        <v>4.89</v>
      </c>
      <c r="E575">
        <f>IFERROR(__xludf.DUMMYFUNCTION("""COMPUTED_VALUE"""),5.42)</f>
        <v>5.42</v>
      </c>
      <c r="F575">
        <f>IFERROR(__xludf.DUMMYFUNCTION("""COMPUTED_VALUE"""),4.21)</f>
        <v>4.21</v>
      </c>
      <c r="G575">
        <f>IFERROR(__xludf.DUMMYFUNCTION("""COMPUTED_VALUE"""),0.95)</f>
        <v>0.95</v>
      </c>
      <c r="H575">
        <f>IFERROR(__xludf.DUMMYFUNCTION("""COMPUTED_VALUE"""),16.68)</f>
        <v>16.68</v>
      </c>
      <c r="I575">
        <f>IFERROR(__xludf.DUMMYFUNCTION("""COMPUTED_VALUE"""),149.42)</f>
        <v>149.42</v>
      </c>
      <c r="J575">
        <f>IFERROR(__xludf.DUMMYFUNCTION("""COMPUTED_VALUE"""),8.47)</f>
        <v>8.47</v>
      </c>
      <c r="K575">
        <f>IFERROR(__xludf.DUMMYFUNCTION("""COMPUTED_VALUE"""),0.05)</f>
        <v>0.05</v>
      </c>
      <c r="L575">
        <f>IFERROR(__xludf.DUMMYFUNCTION("""COMPUTED_VALUE"""),1.05)</f>
        <v>1.05</v>
      </c>
      <c r="M575">
        <f>IFERROR(__xludf.DUMMYFUNCTION("""COMPUTED_VALUE"""),4.89)</f>
        <v>4.89</v>
      </c>
      <c r="N575">
        <f>IFERROR(__xludf.DUMMYFUNCTION("""COMPUTED_VALUE"""),3.05)</f>
        <v>3.05</v>
      </c>
      <c r="O575">
        <f>IFERROR(__xludf.DUMMYFUNCTION("""COMPUTED_VALUE"""),0.16)</f>
        <v>0.16</v>
      </c>
    </row>
    <row r="576">
      <c r="A576" t="str">
        <f>IFERROR(__xludf.DUMMYFUNCTION("""COMPUTED_VALUE"""),"Vichnievsky")</f>
        <v>Vichnievsky</v>
      </c>
      <c r="B576" t="str">
        <f>IFERROR(__xludf.DUMMYFUNCTION("""COMPUTED_VALUE"""),"Laurence Vichnievsky")</f>
        <v>Laurence Vichnievsky</v>
      </c>
      <c r="C576">
        <f>IFERROR(__xludf.DUMMYFUNCTION("""COMPUTED_VALUE"""),3.32)</f>
        <v>3.32</v>
      </c>
      <c r="D576">
        <f>IFERROR(__xludf.DUMMYFUNCTION("""COMPUTED_VALUE"""),5.26)</f>
        <v>5.26</v>
      </c>
      <c r="E576">
        <f>IFERROR(__xludf.DUMMYFUNCTION("""COMPUTED_VALUE"""),4.11)</f>
        <v>4.11</v>
      </c>
      <c r="F576">
        <f>IFERROR(__xludf.DUMMYFUNCTION("""COMPUTED_VALUE"""),3.68)</f>
        <v>3.68</v>
      </c>
      <c r="G576">
        <f>IFERROR(__xludf.DUMMYFUNCTION("""COMPUTED_VALUE"""),0.79)</f>
        <v>0.79</v>
      </c>
      <c r="H576">
        <f>IFERROR(__xludf.DUMMYFUNCTION("""COMPUTED_VALUE"""),3.21)</f>
        <v>3.21</v>
      </c>
      <c r="I576">
        <f>IFERROR(__xludf.DUMMYFUNCTION("""COMPUTED_VALUE"""),57.53)</f>
        <v>57.53</v>
      </c>
      <c r="J576">
        <f>IFERROR(__xludf.DUMMYFUNCTION("""COMPUTED_VALUE"""),14.68)</f>
        <v>14.68</v>
      </c>
      <c r="K576">
        <f>IFERROR(__xludf.DUMMYFUNCTION("""COMPUTED_VALUE"""),0.16)</f>
        <v>0.16</v>
      </c>
      <c r="L576">
        <f>IFERROR(__xludf.DUMMYFUNCTION("""COMPUTED_VALUE"""),0.11)</f>
        <v>0.11</v>
      </c>
      <c r="M576">
        <f>IFERROR(__xludf.DUMMYFUNCTION("""COMPUTED_VALUE"""),0.84)</f>
        <v>0.84</v>
      </c>
      <c r="N576">
        <f>IFERROR(__xludf.DUMMYFUNCTION("""COMPUTED_VALUE"""),0.11)</f>
        <v>0.11</v>
      </c>
      <c r="O576">
        <f>IFERROR(__xludf.DUMMYFUNCTION("""COMPUTED_VALUE"""),0.16)</f>
        <v>0.16</v>
      </c>
    </row>
    <row r="577">
      <c r="A577" t="str">
        <f>IFERROR(__xludf.DUMMYFUNCTION("""COMPUTED_VALUE"""),"Vicot")</f>
        <v>Vicot</v>
      </c>
      <c r="B577" t="str">
        <f>IFERROR(__xludf.DUMMYFUNCTION("""COMPUTED_VALUE"""),"Roger Vicot")</f>
        <v>Roger Vicot</v>
      </c>
      <c r="C577">
        <f>IFERROR(__xludf.DUMMYFUNCTION("""COMPUTED_VALUE"""),3.53)</f>
        <v>3.53</v>
      </c>
      <c r="D577">
        <f>IFERROR(__xludf.DUMMYFUNCTION("""COMPUTED_VALUE"""),4.11)</f>
        <v>4.11</v>
      </c>
      <c r="E577">
        <f>IFERROR(__xludf.DUMMYFUNCTION("""COMPUTED_VALUE"""),5.68)</f>
        <v>5.68</v>
      </c>
      <c r="F577">
        <f>IFERROR(__xludf.DUMMYFUNCTION("""COMPUTED_VALUE"""),6.68)</f>
        <v>6.68</v>
      </c>
      <c r="G577">
        <f>IFERROR(__xludf.DUMMYFUNCTION("""COMPUTED_VALUE"""),1.11)</f>
        <v>1.11</v>
      </c>
      <c r="H577">
        <f>IFERROR(__xludf.DUMMYFUNCTION("""COMPUTED_VALUE"""),9.37)</f>
        <v>9.37</v>
      </c>
      <c r="I577">
        <f>IFERROR(__xludf.DUMMYFUNCTION("""COMPUTED_VALUE"""),448.95)</f>
        <v>448.95</v>
      </c>
      <c r="J577">
        <f>IFERROR(__xludf.DUMMYFUNCTION("""COMPUTED_VALUE"""),22.89)</f>
        <v>22.89</v>
      </c>
      <c r="K577">
        <f>IFERROR(__xludf.DUMMYFUNCTION("""COMPUTED_VALUE"""),0.05)</f>
        <v>0.05</v>
      </c>
      <c r="L577">
        <f>IFERROR(__xludf.DUMMYFUNCTION("""COMPUTED_VALUE"""),0.11)</f>
        <v>0.11</v>
      </c>
      <c r="M577">
        <f>IFERROR(__xludf.DUMMYFUNCTION("""COMPUTED_VALUE"""),3.74)</f>
        <v>3.74</v>
      </c>
      <c r="N577">
        <f>IFERROR(__xludf.DUMMYFUNCTION("""COMPUTED_VALUE"""),0.32)</f>
        <v>0.32</v>
      </c>
      <c r="O577">
        <f>IFERROR(__xludf.DUMMYFUNCTION("""COMPUTED_VALUE"""),0.26)</f>
        <v>0.26</v>
      </c>
    </row>
    <row r="578">
      <c r="A578" t="str">
        <f>IFERROR(__xludf.DUMMYFUNCTION("""COMPUTED_VALUE"""),"Vidal")</f>
        <v>Vidal</v>
      </c>
      <c r="B578" t="str">
        <f>IFERROR(__xludf.DUMMYFUNCTION("""COMPUTED_VALUE"""),"Annie Vidal")</f>
        <v>Annie Vidal</v>
      </c>
      <c r="C578">
        <f>IFERROR(__xludf.DUMMYFUNCTION("""COMPUTED_VALUE"""),3.68)</f>
        <v>3.68</v>
      </c>
      <c r="D578">
        <f>IFERROR(__xludf.DUMMYFUNCTION("""COMPUTED_VALUE"""),7.79)</f>
        <v>7.79</v>
      </c>
      <c r="E578">
        <f>IFERROR(__xludf.DUMMYFUNCTION("""COMPUTED_VALUE"""),15.26)</f>
        <v>15.26</v>
      </c>
      <c r="F578">
        <f>IFERROR(__xludf.DUMMYFUNCTION("""COMPUTED_VALUE"""),13.0)</f>
        <v>13</v>
      </c>
      <c r="G578">
        <f>IFERROR(__xludf.DUMMYFUNCTION("""COMPUTED_VALUE"""),3.68)</f>
        <v>3.68</v>
      </c>
      <c r="H578">
        <f>IFERROR(__xludf.DUMMYFUNCTION("""COMPUTED_VALUE"""),10.26)</f>
        <v>10.26</v>
      </c>
      <c r="I578">
        <f>IFERROR(__xludf.DUMMYFUNCTION("""COMPUTED_VALUE"""),73.32)</f>
        <v>73.32</v>
      </c>
      <c r="J578">
        <f>IFERROR(__xludf.DUMMYFUNCTION("""COMPUTED_VALUE"""),19.63)</f>
        <v>19.63</v>
      </c>
      <c r="K578">
        <f>IFERROR(__xludf.DUMMYFUNCTION("""COMPUTED_VALUE"""),0.11)</f>
        <v>0.11</v>
      </c>
      <c r="L578">
        <f>IFERROR(__xludf.DUMMYFUNCTION("""COMPUTED_VALUE"""),0.11)</f>
        <v>0.11</v>
      </c>
      <c r="M578">
        <f>IFERROR(__xludf.DUMMYFUNCTION("""COMPUTED_VALUE"""),2.74)</f>
        <v>2.74</v>
      </c>
      <c r="N578">
        <f>IFERROR(__xludf.DUMMYFUNCTION("""COMPUTED_VALUE"""),0.37)</f>
        <v>0.37</v>
      </c>
      <c r="O578">
        <f>IFERROR(__xludf.DUMMYFUNCTION("""COMPUTED_VALUE"""),0.16)</f>
        <v>0.16</v>
      </c>
    </row>
    <row r="579">
      <c r="A579" t="str">
        <f>IFERROR(__xludf.DUMMYFUNCTION("""COMPUTED_VALUE"""),"Vigier")</f>
        <v>Vigier</v>
      </c>
      <c r="B579" t="str">
        <f>IFERROR(__xludf.DUMMYFUNCTION("""COMPUTED_VALUE"""),"Jean-Pierre Vigier")</f>
        <v>Jean-Pierre Vigier</v>
      </c>
      <c r="C579">
        <f>IFERROR(__xludf.DUMMYFUNCTION("""COMPUTED_VALUE"""),3.95)</f>
        <v>3.95</v>
      </c>
      <c r="D579">
        <f>IFERROR(__xludf.DUMMYFUNCTION("""COMPUTED_VALUE"""),6.84)</f>
        <v>6.84</v>
      </c>
      <c r="E579">
        <f>IFERROR(__xludf.DUMMYFUNCTION("""COMPUTED_VALUE"""),7.63)</f>
        <v>7.63</v>
      </c>
      <c r="F579">
        <f>IFERROR(__xludf.DUMMYFUNCTION("""COMPUTED_VALUE"""),7.74)</f>
        <v>7.74</v>
      </c>
      <c r="G579">
        <f>IFERROR(__xludf.DUMMYFUNCTION("""COMPUTED_VALUE"""),13.21)</f>
        <v>13.21</v>
      </c>
      <c r="H579">
        <f>IFERROR(__xludf.DUMMYFUNCTION("""COMPUTED_VALUE"""),25.68)</f>
        <v>25.68</v>
      </c>
      <c r="I579">
        <f>IFERROR(__xludf.DUMMYFUNCTION("""COMPUTED_VALUE"""),366.95)</f>
        <v>366.95</v>
      </c>
      <c r="J579">
        <f>IFERROR(__xludf.DUMMYFUNCTION("""COMPUTED_VALUE"""),14.16)</f>
        <v>14.16</v>
      </c>
      <c r="K579">
        <f>IFERROR(__xludf.DUMMYFUNCTION("""COMPUTED_VALUE"""),0.05)</f>
        <v>0.05</v>
      </c>
      <c r="L579">
        <f>IFERROR(__xludf.DUMMYFUNCTION("""COMPUTED_VALUE"""),0.26)</f>
        <v>0.26</v>
      </c>
      <c r="M579">
        <f>IFERROR(__xludf.DUMMYFUNCTION("""COMPUTED_VALUE"""),6.68)</f>
        <v>6.68</v>
      </c>
      <c r="N579">
        <f>IFERROR(__xludf.DUMMYFUNCTION("""COMPUTED_VALUE"""),2.79)</f>
        <v>2.79</v>
      </c>
      <c r="O579">
        <f>IFERROR(__xludf.DUMMYFUNCTION("""COMPUTED_VALUE"""),0.37)</f>
        <v>0.37</v>
      </c>
    </row>
    <row r="580">
      <c r="A580" t="str">
        <f>IFERROR(__xludf.DUMMYFUNCTION("""COMPUTED_VALUE"""),"Vigier")</f>
        <v>Vigier</v>
      </c>
      <c r="B580" t="str">
        <f>IFERROR(__xludf.DUMMYFUNCTION("""COMPUTED_VALUE"""),"Philippe Vigier")</f>
        <v>Philippe Vigier</v>
      </c>
      <c r="C580">
        <f>IFERROR(__xludf.DUMMYFUNCTION("""COMPUTED_VALUE"""),4.07)</f>
        <v>4.07</v>
      </c>
      <c r="D580">
        <f>IFERROR(__xludf.DUMMYFUNCTION("""COMPUTED_VALUE"""),8.07)</f>
        <v>8.07</v>
      </c>
      <c r="E580">
        <f>IFERROR(__xludf.DUMMYFUNCTION("""COMPUTED_VALUE"""),18.86)</f>
        <v>18.86</v>
      </c>
      <c r="F580">
        <f>IFERROR(__xludf.DUMMYFUNCTION("""COMPUTED_VALUE"""),38.64)</f>
        <v>38.64</v>
      </c>
      <c r="G580">
        <f>IFERROR(__xludf.DUMMYFUNCTION("""COMPUTED_VALUE"""),46.14)</f>
        <v>46.14</v>
      </c>
      <c r="H580">
        <f>IFERROR(__xludf.DUMMYFUNCTION("""COMPUTED_VALUE"""),12.07)</f>
        <v>12.07</v>
      </c>
      <c r="I580">
        <f>IFERROR(__xludf.DUMMYFUNCTION("""COMPUTED_VALUE"""),66.93)</f>
        <v>66.93</v>
      </c>
      <c r="J580">
        <f>IFERROR(__xludf.DUMMYFUNCTION("""COMPUTED_VALUE"""),14.43)</f>
        <v>14.43</v>
      </c>
      <c r="K580">
        <f>IFERROR(__xludf.DUMMYFUNCTION("""COMPUTED_VALUE"""),0.0)</f>
        <v>0</v>
      </c>
      <c r="L580">
        <f>IFERROR(__xludf.DUMMYFUNCTION("""COMPUTED_VALUE"""),0.0)</f>
        <v>0</v>
      </c>
      <c r="M580">
        <f>IFERROR(__xludf.DUMMYFUNCTION("""COMPUTED_VALUE"""),1.14)</f>
        <v>1.14</v>
      </c>
      <c r="N580">
        <f>IFERROR(__xludf.DUMMYFUNCTION("""COMPUTED_VALUE"""),0.29)</f>
        <v>0.29</v>
      </c>
      <c r="O580">
        <f>IFERROR(__xludf.DUMMYFUNCTION("""COMPUTED_VALUE"""),0.21)</f>
        <v>0.21</v>
      </c>
    </row>
    <row r="581">
      <c r="A581" t="str">
        <f>IFERROR(__xludf.DUMMYFUNCTION("""COMPUTED_VALUE"""),"Vignal")</f>
        <v>Vignal</v>
      </c>
      <c r="B581" t="str">
        <f>IFERROR(__xludf.DUMMYFUNCTION("""COMPUTED_VALUE"""),"Patrick Vignal")</f>
        <v>Patrick Vignal</v>
      </c>
      <c r="C581">
        <f>IFERROR(__xludf.DUMMYFUNCTION("""COMPUTED_VALUE"""),2.32)</f>
        <v>2.32</v>
      </c>
      <c r="D581">
        <f>IFERROR(__xludf.DUMMYFUNCTION("""COMPUTED_VALUE"""),2.89)</f>
        <v>2.89</v>
      </c>
      <c r="E581">
        <f>IFERROR(__xludf.DUMMYFUNCTION("""COMPUTED_VALUE"""),2.11)</f>
        <v>2.11</v>
      </c>
      <c r="F581">
        <f>IFERROR(__xludf.DUMMYFUNCTION("""COMPUTED_VALUE"""),3.53)</f>
        <v>3.53</v>
      </c>
      <c r="G581">
        <f>IFERROR(__xludf.DUMMYFUNCTION("""COMPUTED_VALUE"""),2.53)</f>
        <v>2.53</v>
      </c>
      <c r="H581">
        <f>IFERROR(__xludf.DUMMYFUNCTION("""COMPUTED_VALUE"""),2.74)</f>
        <v>2.74</v>
      </c>
      <c r="I581">
        <f>IFERROR(__xludf.DUMMYFUNCTION("""COMPUTED_VALUE"""),52.11)</f>
        <v>52.11</v>
      </c>
      <c r="J581">
        <f>IFERROR(__xludf.DUMMYFUNCTION("""COMPUTED_VALUE"""),14.0)</f>
        <v>14</v>
      </c>
      <c r="K581">
        <f>IFERROR(__xludf.DUMMYFUNCTION("""COMPUTED_VALUE"""),0.05)</f>
        <v>0.05</v>
      </c>
      <c r="L581">
        <f>IFERROR(__xludf.DUMMYFUNCTION("""COMPUTED_VALUE"""),0.05)</f>
        <v>0.05</v>
      </c>
      <c r="M581">
        <f>IFERROR(__xludf.DUMMYFUNCTION("""COMPUTED_VALUE"""),2.16)</f>
        <v>2.16</v>
      </c>
      <c r="N581">
        <f>IFERROR(__xludf.DUMMYFUNCTION("""COMPUTED_VALUE"""),1.58)</f>
        <v>1.58</v>
      </c>
      <c r="O581">
        <f>IFERROR(__xludf.DUMMYFUNCTION("""COMPUTED_VALUE"""),0.05)</f>
        <v>0.05</v>
      </c>
    </row>
    <row r="582">
      <c r="A582" t="str">
        <f>IFERROR(__xludf.DUMMYFUNCTION("""COMPUTED_VALUE"""),"Vignon")</f>
        <v>Vignon</v>
      </c>
      <c r="B582" t="str">
        <f>IFERROR(__xludf.DUMMYFUNCTION("""COMPUTED_VALUE"""),"Corinne Vignon")</f>
        <v>Corinne Vignon</v>
      </c>
      <c r="C582">
        <f>IFERROR(__xludf.DUMMYFUNCTION("""COMPUTED_VALUE"""),3.79)</f>
        <v>3.79</v>
      </c>
      <c r="D582">
        <f>IFERROR(__xludf.DUMMYFUNCTION("""COMPUTED_VALUE"""),6.05)</f>
        <v>6.05</v>
      </c>
      <c r="E582">
        <f>IFERROR(__xludf.DUMMYFUNCTION("""COMPUTED_VALUE"""),2.42)</f>
        <v>2.42</v>
      </c>
      <c r="F582">
        <f>IFERROR(__xludf.DUMMYFUNCTION("""COMPUTED_VALUE"""),0.79)</f>
        <v>0.79</v>
      </c>
      <c r="G582">
        <f>IFERROR(__xludf.DUMMYFUNCTION("""COMPUTED_VALUE"""),0.26)</f>
        <v>0.26</v>
      </c>
      <c r="H582">
        <f>IFERROR(__xludf.DUMMYFUNCTION("""COMPUTED_VALUE"""),2.89)</f>
        <v>2.89</v>
      </c>
      <c r="I582">
        <f>IFERROR(__xludf.DUMMYFUNCTION("""COMPUTED_VALUE"""),55.68)</f>
        <v>55.68</v>
      </c>
      <c r="J582">
        <f>IFERROR(__xludf.DUMMYFUNCTION("""COMPUTED_VALUE"""),14.16)</f>
        <v>14.16</v>
      </c>
      <c r="K582">
        <f>IFERROR(__xludf.DUMMYFUNCTION("""COMPUTED_VALUE"""),0.16)</f>
        <v>0.16</v>
      </c>
      <c r="L582">
        <f>IFERROR(__xludf.DUMMYFUNCTION("""COMPUTED_VALUE"""),0.05)</f>
        <v>0.05</v>
      </c>
      <c r="M582">
        <f>IFERROR(__xludf.DUMMYFUNCTION("""COMPUTED_VALUE"""),2.74)</f>
        <v>2.74</v>
      </c>
      <c r="N582">
        <f>IFERROR(__xludf.DUMMYFUNCTION("""COMPUTED_VALUE"""),3.89)</f>
        <v>3.89</v>
      </c>
      <c r="O582">
        <f>IFERROR(__xludf.DUMMYFUNCTION("""COMPUTED_VALUE"""),0.11)</f>
        <v>0.11</v>
      </c>
    </row>
    <row r="583">
      <c r="A583" t="str">
        <f>IFERROR(__xludf.DUMMYFUNCTION("""COMPUTED_VALUE"""),"Villedieu")</f>
        <v>Villedieu</v>
      </c>
      <c r="B583" t="str">
        <f>IFERROR(__xludf.DUMMYFUNCTION("""COMPUTED_VALUE"""),"Antoine Villedieu")</f>
        <v>Antoine Villedieu</v>
      </c>
      <c r="C583">
        <f>IFERROR(__xludf.DUMMYFUNCTION("""COMPUTED_VALUE"""),3.47)</f>
        <v>3.47</v>
      </c>
      <c r="D583">
        <f>IFERROR(__xludf.DUMMYFUNCTION("""COMPUTED_VALUE"""),4.68)</f>
        <v>4.68</v>
      </c>
      <c r="E583">
        <f>IFERROR(__xludf.DUMMYFUNCTION("""COMPUTED_VALUE"""),6.0)</f>
        <v>6</v>
      </c>
      <c r="F583">
        <f>IFERROR(__xludf.DUMMYFUNCTION("""COMPUTED_VALUE"""),3.79)</f>
        <v>3.79</v>
      </c>
      <c r="G583">
        <f>IFERROR(__xludf.DUMMYFUNCTION("""COMPUTED_VALUE"""),1.53)</f>
        <v>1.53</v>
      </c>
      <c r="H583">
        <f>IFERROR(__xludf.DUMMYFUNCTION("""COMPUTED_VALUE"""),24.74)</f>
        <v>24.74</v>
      </c>
      <c r="I583">
        <f>IFERROR(__xludf.DUMMYFUNCTION("""COMPUTED_VALUE"""),492.05)</f>
        <v>492.05</v>
      </c>
      <c r="J583">
        <f>IFERROR(__xludf.DUMMYFUNCTION("""COMPUTED_VALUE"""),6.79)</f>
        <v>6.79</v>
      </c>
      <c r="K583">
        <f>IFERROR(__xludf.DUMMYFUNCTION("""COMPUTED_VALUE"""),0.05)</f>
        <v>0.05</v>
      </c>
      <c r="L583">
        <f>IFERROR(__xludf.DUMMYFUNCTION("""COMPUTED_VALUE"""),0.21)</f>
        <v>0.21</v>
      </c>
      <c r="M583">
        <f>IFERROR(__xludf.DUMMYFUNCTION("""COMPUTED_VALUE"""),6.21)</f>
        <v>6.21</v>
      </c>
      <c r="N583">
        <f>IFERROR(__xludf.DUMMYFUNCTION("""COMPUTED_VALUE"""),2.63)</f>
        <v>2.63</v>
      </c>
      <c r="O583">
        <f>IFERROR(__xludf.DUMMYFUNCTION("""COMPUTED_VALUE"""),0.11)</f>
        <v>0.11</v>
      </c>
    </row>
    <row r="584">
      <c r="A584" t="str">
        <f>IFERROR(__xludf.DUMMYFUNCTION("""COMPUTED_VALUE"""),"Villiers")</f>
        <v>Villiers</v>
      </c>
      <c r="B584" t="str">
        <f>IFERROR(__xludf.DUMMYFUNCTION("""COMPUTED_VALUE"""),"André Villiers")</f>
        <v>André Villiers</v>
      </c>
      <c r="C584">
        <f>IFERROR(__xludf.DUMMYFUNCTION("""COMPUTED_VALUE"""),2.74)</f>
        <v>2.74</v>
      </c>
      <c r="D584">
        <f>IFERROR(__xludf.DUMMYFUNCTION("""COMPUTED_VALUE"""),2.53)</f>
        <v>2.53</v>
      </c>
      <c r="E584">
        <f>IFERROR(__xludf.DUMMYFUNCTION("""COMPUTED_VALUE"""),1.16)</f>
        <v>1.16</v>
      </c>
      <c r="F584">
        <f>IFERROR(__xludf.DUMMYFUNCTION("""COMPUTED_VALUE"""),0.21)</f>
        <v>0.21</v>
      </c>
      <c r="G584">
        <f>IFERROR(__xludf.DUMMYFUNCTION("""COMPUTED_VALUE"""),0.0)</f>
        <v>0</v>
      </c>
      <c r="H584">
        <f>IFERROR(__xludf.DUMMYFUNCTION("""COMPUTED_VALUE"""),0.11)</f>
        <v>0.11</v>
      </c>
      <c r="I584">
        <f>IFERROR(__xludf.DUMMYFUNCTION("""COMPUTED_VALUE"""),49.32)</f>
        <v>49.32</v>
      </c>
      <c r="J584">
        <f>IFERROR(__xludf.DUMMYFUNCTION("""COMPUTED_VALUE"""),13.58)</f>
        <v>13.58</v>
      </c>
      <c r="K584">
        <f>IFERROR(__xludf.DUMMYFUNCTION("""COMPUTED_VALUE"""),0.0)</f>
        <v>0</v>
      </c>
      <c r="L584">
        <f>IFERROR(__xludf.DUMMYFUNCTION("""COMPUTED_VALUE"""),0.16)</f>
        <v>0.16</v>
      </c>
      <c r="M584">
        <f>IFERROR(__xludf.DUMMYFUNCTION("""COMPUTED_VALUE"""),1.47)</f>
        <v>1.47</v>
      </c>
      <c r="N584">
        <f>IFERROR(__xludf.DUMMYFUNCTION("""COMPUTED_VALUE"""),0.0)</f>
        <v>0</v>
      </c>
      <c r="O584">
        <f>IFERROR(__xludf.DUMMYFUNCTION("""COMPUTED_VALUE"""),0.05)</f>
        <v>0.05</v>
      </c>
    </row>
    <row r="585">
      <c r="A585" t="str">
        <f>IFERROR(__xludf.DUMMYFUNCTION("""COMPUTED_VALUE"""),"Vincendet")</f>
        <v>Vincendet</v>
      </c>
      <c r="B585" t="str">
        <f>IFERROR(__xludf.DUMMYFUNCTION("""COMPUTED_VALUE"""),"Alexandre Vincendet")</f>
        <v>Alexandre Vincendet</v>
      </c>
      <c r="C585">
        <f>IFERROR(__xludf.DUMMYFUNCTION("""COMPUTED_VALUE"""),3.68)</f>
        <v>3.68</v>
      </c>
      <c r="D585">
        <f>IFERROR(__xludf.DUMMYFUNCTION("""COMPUTED_VALUE"""),5.05)</f>
        <v>5.05</v>
      </c>
      <c r="E585">
        <f>IFERROR(__xludf.DUMMYFUNCTION("""COMPUTED_VALUE"""),1.42)</f>
        <v>1.42</v>
      </c>
      <c r="F585">
        <f>IFERROR(__xludf.DUMMYFUNCTION("""COMPUTED_VALUE"""),2.79)</f>
        <v>2.79</v>
      </c>
      <c r="G585">
        <f>IFERROR(__xludf.DUMMYFUNCTION("""COMPUTED_VALUE"""),0.95)</f>
        <v>0.95</v>
      </c>
      <c r="H585">
        <f>IFERROR(__xludf.DUMMYFUNCTION("""COMPUTED_VALUE"""),6.37)</f>
        <v>6.37</v>
      </c>
      <c r="I585">
        <f>IFERROR(__xludf.DUMMYFUNCTION("""COMPUTED_VALUE"""),134.32)</f>
        <v>134.32</v>
      </c>
      <c r="J585">
        <f>IFERROR(__xludf.DUMMYFUNCTION("""COMPUTED_VALUE"""),6.53)</f>
        <v>6.53</v>
      </c>
      <c r="K585">
        <f>IFERROR(__xludf.DUMMYFUNCTION("""COMPUTED_VALUE"""),0.05)</f>
        <v>0.05</v>
      </c>
      <c r="L585">
        <f>IFERROR(__xludf.DUMMYFUNCTION("""COMPUTED_VALUE"""),0.53)</f>
        <v>0.53</v>
      </c>
      <c r="M585">
        <f>IFERROR(__xludf.DUMMYFUNCTION("""COMPUTED_VALUE"""),5.21)</f>
        <v>5.21</v>
      </c>
      <c r="N585">
        <f>IFERROR(__xludf.DUMMYFUNCTION("""COMPUTED_VALUE"""),1.79)</f>
        <v>1.79</v>
      </c>
      <c r="O585">
        <f>IFERROR(__xludf.DUMMYFUNCTION("""COMPUTED_VALUE"""),0.42)</f>
        <v>0.42</v>
      </c>
    </row>
    <row r="586">
      <c r="A586" t="str">
        <f>IFERROR(__xludf.DUMMYFUNCTION("""COMPUTED_VALUE"""),"Violland")</f>
        <v>Violland</v>
      </c>
      <c r="B586" t="str">
        <f>IFERROR(__xludf.DUMMYFUNCTION("""COMPUTED_VALUE"""),"Anne-Cécile Violland")</f>
        <v>Anne-Cécile Violland</v>
      </c>
      <c r="C586">
        <f>IFERROR(__xludf.DUMMYFUNCTION("""COMPUTED_VALUE"""),3.68)</f>
        <v>3.68</v>
      </c>
      <c r="D586">
        <f>IFERROR(__xludf.DUMMYFUNCTION("""COMPUTED_VALUE"""),8.16)</f>
        <v>8.16</v>
      </c>
      <c r="E586">
        <f>IFERROR(__xludf.DUMMYFUNCTION("""COMPUTED_VALUE"""),12.58)</f>
        <v>12.58</v>
      </c>
      <c r="F586">
        <f>IFERROR(__xludf.DUMMYFUNCTION("""COMPUTED_VALUE"""),8.37)</f>
        <v>8.37</v>
      </c>
      <c r="G586">
        <f>IFERROR(__xludf.DUMMYFUNCTION("""COMPUTED_VALUE"""),2.58)</f>
        <v>2.58</v>
      </c>
      <c r="H586">
        <f>IFERROR(__xludf.DUMMYFUNCTION("""COMPUTED_VALUE"""),6.26)</f>
        <v>6.26</v>
      </c>
      <c r="I586">
        <f>IFERROR(__xludf.DUMMYFUNCTION("""COMPUTED_VALUE"""),84.26)</f>
        <v>84.26</v>
      </c>
      <c r="J586">
        <f>IFERROR(__xludf.DUMMYFUNCTION("""COMPUTED_VALUE"""),16.63)</f>
        <v>16.63</v>
      </c>
      <c r="K586">
        <f>IFERROR(__xludf.DUMMYFUNCTION("""COMPUTED_VALUE"""),0.16)</f>
        <v>0.16</v>
      </c>
      <c r="L586">
        <f>IFERROR(__xludf.DUMMYFUNCTION("""COMPUTED_VALUE"""),0.05)</f>
        <v>0.05</v>
      </c>
      <c r="M586">
        <f>IFERROR(__xludf.DUMMYFUNCTION("""COMPUTED_VALUE"""),2.26)</f>
        <v>2.26</v>
      </c>
      <c r="N586">
        <f>IFERROR(__xludf.DUMMYFUNCTION("""COMPUTED_VALUE"""),0.16)</f>
        <v>0.16</v>
      </c>
      <c r="O586">
        <f>IFERROR(__xludf.DUMMYFUNCTION("""COMPUTED_VALUE"""),0.32)</f>
        <v>0.32</v>
      </c>
    </row>
    <row r="587">
      <c r="A587" t="str">
        <f>IFERROR(__xludf.DUMMYFUNCTION("""COMPUTED_VALUE"""),"Viry")</f>
        <v>Viry</v>
      </c>
      <c r="B587" t="str">
        <f>IFERROR(__xludf.DUMMYFUNCTION("""COMPUTED_VALUE"""),"Stéphane Viry")</f>
        <v>Stéphane Viry</v>
      </c>
      <c r="C587">
        <f>IFERROR(__xludf.DUMMYFUNCTION("""COMPUTED_VALUE"""),3.84)</f>
        <v>3.84</v>
      </c>
      <c r="D587">
        <f>IFERROR(__xludf.DUMMYFUNCTION("""COMPUTED_VALUE"""),5.47)</f>
        <v>5.47</v>
      </c>
      <c r="E587">
        <f>IFERROR(__xludf.DUMMYFUNCTION("""COMPUTED_VALUE"""),6.11)</f>
        <v>6.11</v>
      </c>
      <c r="F587">
        <f>IFERROR(__xludf.DUMMYFUNCTION("""COMPUTED_VALUE"""),8.63)</f>
        <v>8.63</v>
      </c>
      <c r="G587">
        <f>IFERROR(__xludf.DUMMYFUNCTION("""COMPUTED_VALUE"""),2.53)</f>
        <v>2.53</v>
      </c>
      <c r="H587">
        <f>IFERROR(__xludf.DUMMYFUNCTION("""COMPUTED_VALUE"""),40.79)</f>
        <v>40.79</v>
      </c>
      <c r="I587">
        <f>IFERROR(__xludf.DUMMYFUNCTION("""COMPUTED_VALUE"""),484.32)</f>
        <v>484.32</v>
      </c>
      <c r="J587">
        <f>IFERROR(__xludf.DUMMYFUNCTION("""COMPUTED_VALUE"""),16.79)</f>
        <v>16.79</v>
      </c>
      <c r="K587">
        <f>IFERROR(__xludf.DUMMYFUNCTION("""COMPUTED_VALUE"""),0.16)</f>
        <v>0.16</v>
      </c>
      <c r="L587">
        <f>IFERROR(__xludf.DUMMYFUNCTION("""COMPUTED_VALUE"""),1.74)</f>
        <v>1.74</v>
      </c>
      <c r="M587">
        <f>IFERROR(__xludf.DUMMYFUNCTION("""COMPUTED_VALUE"""),12.53)</f>
        <v>12.53</v>
      </c>
      <c r="N587">
        <f>IFERROR(__xludf.DUMMYFUNCTION("""COMPUTED_VALUE"""),4.16)</f>
        <v>4.16</v>
      </c>
      <c r="O587">
        <f>IFERROR(__xludf.DUMMYFUNCTION("""COMPUTED_VALUE"""),0.32)</f>
        <v>0.32</v>
      </c>
    </row>
    <row r="588">
      <c r="A588" t="str">
        <f>IFERROR(__xludf.DUMMYFUNCTION("""COMPUTED_VALUE"""),"Vojetta")</f>
        <v>Vojetta</v>
      </c>
      <c r="B588" t="str">
        <f>IFERROR(__xludf.DUMMYFUNCTION("""COMPUTED_VALUE"""),"Stéphane Vojetta")</f>
        <v>Stéphane Vojetta</v>
      </c>
      <c r="C588">
        <f>IFERROR(__xludf.DUMMYFUNCTION("""COMPUTED_VALUE"""),3.84)</f>
        <v>3.84</v>
      </c>
      <c r="D588">
        <f>IFERROR(__xludf.DUMMYFUNCTION("""COMPUTED_VALUE"""),6.16)</f>
        <v>6.16</v>
      </c>
      <c r="E588">
        <f>IFERROR(__xludf.DUMMYFUNCTION("""COMPUTED_VALUE"""),6.16)</f>
        <v>6.16</v>
      </c>
      <c r="F588">
        <f>IFERROR(__xludf.DUMMYFUNCTION("""COMPUTED_VALUE"""),7.42)</f>
        <v>7.42</v>
      </c>
      <c r="G588">
        <f>IFERROR(__xludf.DUMMYFUNCTION("""COMPUTED_VALUE"""),2.21)</f>
        <v>2.21</v>
      </c>
      <c r="H588">
        <f>IFERROR(__xludf.DUMMYFUNCTION("""COMPUTED_VALUE"""),3.63)</f>
        <v>3.63</v>
      </c>
      <c r="I588">
        <f>IFERROR(__xludf.DUMMYFUNCTION("""COMPUTED_VALUE"""),103.21)</f>
        <v>103.21</v>
      </c>
      <c r="J588">
        <f>IFERROR(__xludf.DUMMYFUNCTION("""COMPUTED_VALUE"""),25.21)</f>
        <v>25.21</v>
      </c>
      <c r="K588">
        <f>IFERROR(__xludf.DUMMYFUNCTION("""COMPUTED_VALUE"""),0.26)</f>
        <v>0.26</v>
      </c>
      <c r="L588">
        <f>IFERROR(__xludf.DUMMYFUNCTION("""COMPUTED_VALUE"""),0.0)</f>
        <v>0</v>
      </c>
      <c r="M588">
        <f>IFERROR(__xludf.DUMMYFUNCTION("""COMPUTED_VALUE"""),2.37)</f>
        <v>2.37</v>
      </c>
      <c r="N588">
        <f>IFERROR(__xludf.DUMMYFUNCTION("""COMPUTED_VALUE"""),0.79)</f>
        <v>0.79</v>
      </c>
      <c r="O588">
        <f>IFERROR(__xludf.DUMMYFUNCTION("""COMPUTED_VALUE"""),0.26)</f>
        <v>0.26</v>
      </c>
    </row>
    <row r="589">
      <c r="A589" t="str">
        <f>IFERROR(__xludf.DUMMYFUNCTION("""COMPUTED_VALUE"""),"Vuibert")</f>
        <v>Vuibert</v>
      </c>
      <c r="B589" t="str">
        <f>IFERROR(__xludf.DUMMYFUNCTION("""COMPUTED_VALUE"""),"Lionel Vuibert")</f>
        <v>Lionel Vuibert</v>
      </c>
      <c r="C589">
        <f>IFERROR(__xludf.DUMMYFUNCTION("""COMPUTED_VALUE"""),3.79)</f>
        <v>3.79</v>
      </c>
      <c r="D589">
        <f>IFERROR(__xludf.DUMMYFUNCTION("""COMPUTED_VALUE"""),7.42)</f>
        <v>7.42</v>
      </c>
      <c r="E589">
        <f>IFERROR(__xludf.DUMMYFUNCTION("""COMPUTED_VALUE"""),2.63)</f>
        <v>2.63</v>
      </c>
      <c r="F589">
        <f>IFERROR(__xludf.DUMMYFUNCTION("""COMPUTED_VALUE"""),1.53)</f>
        <v>1.53</v>
      </c>
      <c r="G589">
        <f>IFERROR(__xludf.DUMMYFUNCTION("""COMPUTED_VALUE"""),0.16)</f>
        <v>0.16</v>
      </c>
      <c r="H589">
        <f>IFERROR(__xludf.DUMMYFUNCTION("""COMPUTED_VALUE"""),9.0)</f>
        <v>9</v>
      </c>
      <c r="I589">
        <f>IFERROR(__xludf.DUMMYFUNCTION("""COMPUTED_VALUE"""),107.05)</f>
        <v>107.05</v>
      </c>
      <c r="J589">
        <f>IFERROR(__xludf.DUMMYFUNCTION("""COMPUTED_VALUE"""),16.53)</f>
        <v>16.53</v>
      </c>
      <c r="K589">
        <f>IFERROR(__xludf.DUMMYFUNCTION("""COMPUTED_VALUE"""),0.0)</f>
        <v>0</v>
      </c>
      <c r="L589">
        <f>IFERROR(__xludf.DUMMYFUNCTION("""COMPUTED_VALUE"""),0.21)</f>
        <v>0.21</v>
      </c>
      <c r="M589">
        <f>IFERROR(__xludf.DUMMYFUNCTION("""COMPUTED_VALUE"""),3.42)</f>
        <v>3.42</v>
      </c>
      <c r="N589">
        <f>IFERROR(__xludf.DUMMYFUNCTION("""COMPUTED_VALUE"""),2.74)</f>
        <v>2.74</v>
      </c>
      <c r="O589">
        <f>IFERROR(__xludf.DUMMYFUNCTION("""COMPUTED_VALUE"""),0.26)</f>
        <v>0.26</v>
      </c>
    </row>
    <row r="590">
      <c r="A590" t="str">
        <f>IFERROR(__xludf.DUMMYFUNCTION("""COMPUTED_VALUE"""),"Vuilletet")</f>
        <v>Vuilletet</v>
      </c>
      <c r="B590" t="str">
        <f>IFERROR(__xludf.DUMMYFUNCTION("""COMPUTED_VALUE"""),"Guillaume Vuilletet")</f>
        <v>Guillaume Vuilletet</v>
      </c>
      <c r="C590">
        <f>IFERROR(__xludf.DUMMYFUNCTION("""COMPUTED_VALUE"""),3.74)</f>
        <v>3.74</v>
      </c>
      <c r="D590">
        <f>IFERROR(__xludf.DUMMYFUNCTION("""COMPUTED_VALUE"""),7.74)</f>
        <v>7.74</v>
      </c>
      <c r="E590">
        <f>IFERROR(__xludf.DUMMYFUNCTION("""COMPUTED_VALUE"""),45.58)</f>
        <v>45.58</v>
      </c>
      <c r="F590">
        <f>IFERROR(__xludf.DUMMYFUNCTION("""COMPUTED_VALUE"""),8.16)</f>
        <v>8.16</v>
      </c>
      <c r="G590">
        <f>IFERROR(__xludf.DUMMYFUNCTION("""COMPUTED_VALUE"""),1.58)</f>
        <v>1.58</v>
      </c>
      <c r="H590">
        <f>IFERROR(__xludf.DUMMYFUNCTION("""COMPUTED_VALUE"""),14.79)</f>
        <v>14.79</v>
      </c>
      <c r="I590">
        <f>IFERROR(__xludf.DUMMYFUNCTION("""COMPUTED_VALUE"""),80.58)</f>
        <v>80.58</v>
      </c>
      <c r="J590">
        <f>IFERROR(__xludf.DUMMYFUNCTION("""COMPUTED_VALUE"""),27.79)</f>
        <v>27.79</v>
      </c>
      <c r="K590">
        <f>IFERROR(__xludf.DUMMYFUNCTION("""COMPUTED_VALUE"""),0.37)</f>
        <v>0.37</v>
      </c>
      <c r="L590">
        <f>IFERROR(__xludf.DUMMYFUNCTION("""COMPUTED_VALUE"""),0.26)</f>
        <v>0.26</v>
      </c>
      <c r="M590">
        <f>IFERROR(__xludf.DUMMYFUNCTION("""COMPUTED_VALUE"""),2.42)</f>
        <v>2.42</v>
      </c>
      <c r="N590">
        <f>IFERROR(__xludf.DUMMYFUNCTION("""COMPUTED_VALUE"""),1.32)</f>
        <v>1.32</v>
      </c>
      <c r="O590">
        <f>IFERROR(__xludf.DUMMYFUNCTION("""COMPUTED_VALUE"""),0.16)</f>
        <v>0.16</v>
      </c>
    </row>
    <row r="591">
      <c r="A591" t="str">
        <f>IFERROR(__xludf.DUMMYFUNCTION("""COMPUTED_VALUE"""),"Walter")</f>
        <v>Walter</v>
      </c>
      <c r="B591" t="str">
        <f>IFERROR(__xludf.DUMMYFUNCTION("""COMPUTED_VALUE"""),"Léo Walter")</f>
        <v>Léo Walter</v>
      </c>
      <c r="C591">
        <f>IFERROR(__xludf.DUMMYFUNCTION("""COMPUTED_VALUE"""),3.84)</f>
        <v>3.84</v>
      </c>
      <c r="D591">
        <f>IFERROR(__xludf.DUMMYFUNCTION("""COMPUTED_VALUE"""),7.95)</f>
        <v>7.95</v>
      </c>
      <c r="E591">
        <f>IFERROR(__xludf.DUMMYFUNCTION("""COMPUTED_VALUE"""),10.11)</f>
        <v>10.11</v>
      </c>
      <c r="F591">
        <f>IFERROR(__xludf.DUMMYFUNCTION("""COMPUTED_VALUE"""),9.79)</f>
        <v>9.79</v>
      </c>
      <c r="G591">
        <f>IFERROR(__xludf.DUMMYFUNCTION("""COMPUTED_VALUE"""),9.47)</f>
        <v>9.47</v>
      </c>
      <c r="H591">
        <f>IFERROR(__xludf.DUMMYFUNCTION("""COMPUTED_VALUE"""),16.84)</f>
        <v>16.84</v>
      </c>
      <c r="I591">
        <f>IFERROR(__xludf.DUMMYFUNCTION("""COMPUTED_VALUE"""),889.74)</f>
        <v>889.74</v>
      </c>
      <c r="J591">
        <f>IFERROR(__xludf.DUMMYFUNCTION("""COMPUTED_VALUE"""),28.68)</f>
        <v>28.68</v>
      </c>
      <c r="K591">
        <f>IFERROR(__xludf.DUMMYFUNCTION("""COMPUTED_VALUE"""),0.0)</f>
        <v>0</v>
      </c>
      <c r="L591">
        <f>IFERROR(__xludf.DUMMYFUNCTION("""COMPUTED_VALUE"""),0.16)</f>
        <v>0.16</v>
      </c>
      <c r="M591">
        <f>IFERROR(__xludf.DUMMYFUNCTION("""COMPUTED_VALUE"""),8.58)</f>
        <v>8.58</v>
      </c>
      <c r="N591">
        <f>IFERROR(__xludf.DUMMYFUNCTION("""COMPUTED_VALUE"""),1.42)</f>
        <v>1.42</v>
      </c>
      <c r="O591">
        <f>IFERROR(__xludf.DUMMYFUNCTION("""COMPUTED_VALUE"""),0.26)</f>
        <v>0.26</v>
      </c>
    </row>
    <row r="592">
      <c r="A592" t="str">
        <f>IFERROR(__xludf.DUMMYFUNCTION("""COMPUTED_VALUE"""),"Warsmann")</f>
        <v>Warsmann</v>
      </c>
      <c r="B592" t="str">
        <f>IFERROR(__xludf.DUMMYFUNCTION("""COMPUTED_VALUE"""),"Jean-Luc Warsmann")</f>
        <v>Jean-Luc Warsmann</v>
      </c>
      <c r="C592">
        <f>IFERROR(__xludf.DUMMYFUNCTION("""COMPUTED_VALUE"""),3.21)</f>
        <v>3.21</v>
      </c>
      <c r="D592">
        <f>IFERROR(__xludf.DUMMYFUNCTION("""COMPUTED_VALUE"""),6.68)</f>
        <v>6.68</v>
      </c>
      <c r="E592">
        <f>IFERROR(__xludf.DUMMYFUNCTION("""COMPUTED_VALUE"""),1.42)</f>
        <v>1.42</v>
      </c>
      <c r="F592">
        <f>IFERROR(__xludf.DUMMYFUNCTION("""COMPUTED_VALUE"""),2.84)</f>
        <v>2.84</v>
      </c>
      <c r="G592">
        <f>IFERROR(__xludf.DUMMYFUNCTION("""COMPUTED_VALUE"""),1.0)</f>
        <v>1</v>
      </c>
      <c r="H592">
        <f>IFERROR(__xludf.DUMMYFUNCTION("""COMPUTED_VALUE"""),2.21)</f>
        <v>2.21</v>
      </c>
      <c r="I592">
        <f>IFERROR(__xludf.DUMMYFUNCTION("""COMPUTED_VALUE"""),208.68)</f>
        <v>208.68</v>
      </c>
      <c r="J592">
        <f>IFERROR(__xludf.DUMMYFUNCTION("""COMPUTED_VALUE"""),14.68)</f>
        <v>14.68</v>
      </c>
      <c r="K592">
        <f>IFERROR(__xludf.DUMMYFUNCTION("""COMPUTED_VALUE"""),0.05)</f>
        <v>0.05</v>
      </c>
      <c r="L592">
        <f>IFERROR(__xludf.DUMMYFUNCTION("""COMPUTED_VALUE"""),0.74)</f>
        <v>0.74</v>
      </c>
      <c r="M592">
        <f>IFERROR(__xludf.DUMMYFUNCTION("""COMPUTED_VALUE"""),1.68)</f>
        <v>1.68</v>
      </c>
      <c r="N592">
        <f>IFERROR(__xludf.DUMMYFUNCTION("""COMPUTED_VALUE"""),3.84)</f>
        <v>3.84</v>
      </c>
      <c r="O592">
        <f>IFERROR(__xludf.DUMMYFUNCTION("""COMPUTED_VALUE"""),0.11)</f>
        <v>0.11</v>
      </c>
    </row>
    <row r="593">
      <c r="A593" t="str">
        <f>IFERROR(__xludf.DUMMYFUNCTION("""COMPUTED_VALUE"""),"Weissberg")</f>
        <v>Weissberg</v>
      </c>
      <c r="B593" t="str">
        <f>IFERROR(__xludf.DUMMYFUNCTION("""COMPUTED_VALUE"""),"Christopher Weissberg")</f>
        <v>Christopher Weissberg</v>
      </c>
      <c r="C593">
        <f>IFERROR(__xludf.DUMMYFUNCTION("""COMPUTED_VALUE"""),3.44)</f>
        <v>3.44</v>
      </c>
      <c r="D593">
        <f>IFERROR(__xludf.DUMMYFUNCTION("""COMPUTED_VALUE"""),5.56)</f>
        <v>5.56</v>
      </c>
      <c r="E593">
        <f>IFERROR(__xludf.DUMMYFUNCTION("""COMPUTED_VALUE"""),3.06)</f>
        <v>3.06</v>
      </c>
      <c r="F593">
        <f>IFERROR(__xludf.DUMMYFUNCTION("""COMPUTED_VALUE"""),1.17)</f>
        <v>1.17</v>
      </c>
      <c r="G593">
        <f>IFERROR(__xludf.DUMMYFUNCTION("""COMPUTED_VALUE"""),1.22)</f>
        <v>1.22</v>
      </c>
      <c r="H593">
        <f>IFERROR(__xludf.DUMMYFUNCTION("""COMPUTED_VALUE"""),1.83)</f>
        <v>1.83</v>
      </c>
      <c r="I593">
        <f>IFERROR(__xludf.DUMMYFUNCTION("""COMPUTED_VALUE"""),53.56)</f>
        <v>53.56</v>
      </c>
      <c r="J593">
        <f>IFERROR(__xludf.DUMMYFUNCTION("""COMPUTED_VALUE"""),14.67)</f>
        <v>14.67</v>
      </c>
      <c r="K593">
        <f>IFERROR(__xludf.DUMMYFUNCTION("""COMPUTED_VALUE"""),0.22)</f>
        <v>0.22</v>
      </c>
      <c r="L593">
        <f>IFERROR(__xludf.DUMMYFUNCTION("""COMPUTED_VALUE"""),0.0)</f>
        <v>0</v>
      </c>
      <c r="M593">
        <f>IFERROR(__xludf.DUMMYFUNCTION("""COMPUTED_VALUE"""),2.11)</f>
        <v>2.11</v>
      </c>
      <c r="N593">
        <f>IFERROR(__xludf.DUMMYFUNCTION("""COMPUTED_VALUE"""),0.22)</f>
        <v>0.22</v>
      </c>
      <c r="O593">
        <f>IFERROR(__xludf.DUMMYFUNCTION("""COMPUTED_VALUE"""),0.11)</f>
        <v>0.11</v>
      </c>
    </row>
    <row r="594">
      <c r="A594" t="str">
        <f>IFERROR(__xludf.DUMMYFUNCTION("""COMPUTED_VALUE"""),"William")</f>
        <v>William</v>
      </c>
      <c r="B594" t="str">
        <f>IFERROR(__xludf.DUMMYFUNCTION("""COMPUTED_VALUE"""),"Jiovanny William")</f>
        <v>Jiovanny William</v>
      </c>
      <c r="C594">
        <f>IFERROR(__xludf.DUMMYFUNCTION("""COMPUTED_VALUE"""),2.0)</f>
        <v>2</v>
      </c>
      <c r="D594">
        <f>IFERROR(__xludf.DUMMYFUNCTION("""COMPUTED_VALUE"""),1.53)</f>
        <v>1.53</v>
      </c>
      <c r="E594">
        <f>IFERROR(__xludf.DUMMYFUNCTION("""COMPUTED_VALUE"""),2.21)</f>
        <v>2.21</v>
      </c>
      <c r="F594">
        <f>IFERROR(__xludf.DUMMYFUNCTION("""COMPUTED_VALUE"""),2.16)</f>
        <v>2.16</v>
      </c>
      <c r="G594">
        <f>IFERROR(__xludf.DUMMYFUNCTION("""COMPUTED_VALUE"""),0.79)</f>
        <v>0.79</v>
      </c>
      <c r="H594">
        <f>IFERROR(__xludf.DUMMYFUNCTION("""COMPUTED_VALUE"""),10.16)</f>
        <v>10.16</v>
      </c>
      <c r="I594">
        <f>IFERROR(__xludf.DUMMYFUNCTION("""COMPUTED_VALUE"""),208.68)</f>
        <v>208.68</v>
      </c>
      <c r="J594">
        <f>IFERROR(__xludf.DUMMYFUNCTION("""COMPUTED_VALUE"""),12.53)</f>
        <v>12.53</v>
      </c>
      <c r="K594">
        <f>IFERROR(__xludf.DUMMYFUNCTION("""COMPUTED_VALUE"""),0.16)</f>
        <v>0.16</v>
      </c>
      <c r="L594">
        <f>IFERROR(__xludf.DUMMYFUNCTION("""COMPUTED_VALUE"""),0.16)</f>
        <v>0.16</v>
      </c>
      <c r="M594">
        <f>IFERROR(__xludf.DUMMYFUNCTION("""COMPUTED_VALUE"""),3.0)</f>
        <v>3</v>
      </c>
      <c r="N594">
        <f>IFERROR(__xludf.DUMMYFUNCTION("""COMPUTED_VALUE"""),0.95)</f>
        <v>0.95</v>
      </c>
      <c r="O594">
        <f>IFERROR(__xludf.DUMMYFUNCTION("""COMPUTED_VALUE"""),0.26)</f>
        <v>0.26</v>
      </c>
    </row>
    <row r="595">
      <c r="A595" t="str">
        <f>IFERROR(__xludf.DUMMYFUNCTION("""COMPUTED_VALUE"""),"Woerth")</f>
        <v>Woerth</v>
      </c>
      <c r="B595" t="str">
        <f>IFERROR(__xludf.DUMMYFUNCTION("""COMPUTED_VALUE"""),"Éric Woerth")</f>
        <v>Éric Woerth</v>
      </c>
      <c r="C595">
        <f>IFERROR(__xludf.DUMMYFUNCTION("""COMPUTED_VALUE"""),3.47)</f>
        <v>3.47</v>
      </c>
      <c r="D595">
        <f>IFERROR(__xludf.DUMMYFUNCTION("""COMPUTED_VALUE"""),5.79)</f>
        <v>5.79</v>
      </c>
      <c r="E595">
        <f>IFERROR(__xludf.DUMMYFUNCTION("""COMPUTED_VALUE"""),0.37)</f>
        <v>0.37</v>
      </c>
      <c r="F595">
        <f>IFERROR(__xludf.DUMMYFUNCTION("""COMPUTED_VALUE"""),6.42)</f>
        <v>6.42</v>
      </c>
      <c r="G595">
        <f>IFERROR(__xludf.DUMMYFUNCTION("""COMPUTED_VALUE"""),4.68)</f>
        <v>4.68</v>
      </c>
      <c r="H595">
        <f>IFERROR(__xludf.DUMMYFUNCTION("""COMPUTED_VALUE"""),1.74)</f>
        <v>1.74</v>
      </c>
      <c r="I595">
        <f>IFERROR(__xludf.DUMMYFUNCTION("""COMPUTED_VALUE"""),43.47)</f>
        <v>43.47</v>
      </c>
      <c r="J595">
        <f>IFERROR(__xludf.DUMMYFUNCTION("""COMPUTED_VALUE"""),12.53)</f>
        <v>12.53</v>
      </c>
      <c r="K595">
        <f>IFERROR(__xludf.DUMMYFUNCTION("""COMPUTED_VALUE"""),0.0)</f>
        <v>0</v>
      </c>
      <c r="L595">
        <f>IFERROR(__xludf.DUMMYFUNCTION("""COMPUTED_VALUE"""),0.0)</f>
        <v>0</v>
      </c>
      <c r="M595">
        <f>IFERROR(__xludf.DUMMYFUNCTION("""COMPUTED_VALUE"""),2.0)</f>
        <v>2</v>
      </c>
      <c r="N595">
        <f>IFERROR(__xludf.DUMMYFUNCTION("""COMPUTED_VALUE"""),1.21)</f>
        <v>1.21</v>
      </c>
      <c r="O595">
        <f>IFERROR(__xludf.DUMMYFUNCTION("""COMPUTED_VALUE"""),0.11)</f>
        <v>0.11</v>
      </c>
    </row>
    <row r="596">
      <c r="A596" t="str">
        <f>IFERROR(__xludf.DUMMYFUNCTION("""COMPUTED_VALUE"""),"Wulfranc")</f>
        <v>Wulfranc</v>
      </c>
      <c r="B596" t="str">
        <f>IFERROR(__xludf.DUMMYFUNCTION("""COMPUTED_VALUE"""),"Hubert Wulfranc")</f>
        <v>Hubert Wulfranc</v>
      </c>
      <c r="C596">
        <f>IFERROR(__xludf.DUMMYFUNCTION("""COMPUTED_VALUE"""),3.71)</f>
        <v>3.71</v>
      </c>
      <c r="D596">
        <f>IFERROR(__xludf.DUMMYFUNCTION("""COMPUTED_VALUE"""),7.36)</f>
        <v>7.36</v>
      </c>
      <c r="E596">
        <f>IFERROR(__xludf.DUMMYFUNCTION("""COMPUTED_VALUE"""),13.36)</f>
        <v>13.36</v>
      </c>
      <c r="F596">
        <f>IFERROR(__xludf.DUMMYFUNCTION("""COMPUTED_VALUE"""),15.29)</f>
        <v>15.29</v>
      </c>
      <c r="G596">
        <f>IFERROR(__xludf.DUMMYFUNCTION("""COMPUTED_VALUE"""),7.5)</f>
        <v>7.5</v>
      </c>
      <c r="H596">
        <f>IFERROR(__xludf.DUMMYFUNCTION("""COMPUTED_VALUE"""),11.36)</f>
        <v>11.36</v>
      </c>
      <c r="I596">
        <f>IFERROR(__xludf.DUMMYFUNCTION("""COMPUTED_VALUE"""),243.36)</f>
        <v>243.36</v>
      </c>
      <c r="J596">
        <f>IFERROR(__xludf.DUMMYFUNCTION("""COMPUTED_VALUE"""),13.71)</f>
        <v>13.71</v>
      </c>
      <c r="K596">
        <f>IFERROR(__xludf.DUMMYFUNCTION("""COMPUTED_VALUE"""),0.14)</f>
        <v>0.14</v>
      </c>
      <c r="L596">
        <f>IFERROR(__xludf.DUMMYFUNCTION("""COMPUTED_VALUE"""),0.5)</f>
        <v>0.5</v>
      </c>
      <c r="M596">
        <f>IFERROR(__xludf.DUMMYFUNCTION("""COMPUTED_VALUE"""),3.86)</f>
        <v>3.86</v>
      </c>
      <c r="N596">
        <f>IFERROR(__xludf.DUMMYFUNCTION("""COMPUTED_VALUE"""),2.29)</f>
        <v>2.29</v>
      </c>
      <c r="O596">
        <f>IFERROR(__xludf.DUMMYFUNCTION("""COMPUTED_VALUE"""),0.5)</f>
        <v>0.5</v>
      </c>
    </row>
    <row r="597">
      <c r="A597" t="str">
        <f>IFERROR(__xludf.DUMMYFUNCTION("""COMPUTED_VALUE"""),"Yadan")</f>
        <v>Yadan</v>
      </c>
      <c r="B597" t="str">
        <f>IFERROR(__xludf.DUMMYFUNCTION("""COMPUTED_VALUE"""),"Caroline Yadan")</f>
        <v>Caroline Yadan</v>
      </c>
      <c r="C597">
        <f>IFERROR(__xludf.DUMMYFUNCTION("""COMPUTED_VALUE"""),4.11)</f>
        <v>4.11</v>
      </c>
      <c r="D597">
        <f>IFERROR(__xludf.DUMMYFUNCTION("""COMPUTED_VALUE"""),7.67)</f>
        <v>7.67</v>
      </c>
      <c r="E597">
        <f>IFERROR(__xludf.DUMMYFUNCTION("""COMPUTED_VALUE"""),5.67)</f>
        <v>5.67</v>
      </c>
      <c r="F597">
        <f>IFERROR(__xludf.DUMMYFUNCTION("""COMPUTED_VALUE"""),11.39)</f>
        <v>11.39</v>
      </c>
      <c r="G597">
        <f>IFERROR(__xludf.DUMMYFUNCTION("""COMPUTED_VALUE"""),8.22)</f>
        <v>8.22</v>
      </c>
      <c r="H597">
        <f>IFERROR(__xludf.DUMMYFUNCTION("""COMPUTED_VALUE"""),8.28)</f>
        <v>8.28</v>
      </c>
      <c r="I597">
        <f>IFERROR(__xludf.DUMMYFUNCTION("""COMPUTED_VALUE"""),72.78)</f>
        <v>72.78</v>
      </c>
      <c r="J597">
        <f>IFERROR(__xludf.DUMMYFUNCTION("""COMPUTED_VALUE"""),19.39)</f>
        <v>19.39</v>
      </c>
      <c r="K597">
        <f>IFERROR(__xludf.DUMMYFUNCTION("""COMPUTED_VALUE"""),0.06)</f>
        <v>0.06</v>
      </c>
      <c r="L597">
        <f>IFERROR(__xludf.DUMMYFUNCTION("""COMPUTED_VALUE"""),0.06)</f>
        <v>0.06</v>
      </c>
      <c r="M597">
        <f>IFERROR(__xludf.DUMMYFUNCTION("""COMPUTED_VALUE"""),2.56)</f>
        <v>2.56</v>
      </c>
      <c r="N597">
        <f>IFERROR(__xludf.DUMMYFUNCTION("""COMPUTED_VALUE"""),0.5)</f>
        <v>0.5</v>
      </c>
      <c r="O597">
        <f>IFERROR(__xludf.DUMMYFUNCTION("""COMPUTED_VALUE"""),0.39)</f>
        <v>0.39</v>
      </c>
    </row>
    <row r="598">
      <c r="A598" t="str">
        <f>IFERROR(__xludf.DUMMYFUNCTION("""COMPUTED_VALUE"""),"Youssouffa")</f>
        <v>Youssouffa</v>
      </c>
      <c r="B598" t="str">
        <f>IFERROR(__xludf.DUMMYFUNCTION("""COMPUTED_VALUE"""),"Estelle Youssouffa")</f>
        <v>Estelle Youssouffa</v>
      </c>
      <c r="C598">
        <f>IFERROR(__xludf.DUMMYFUNCTION("""COMPUTED_VALUE"""),3.11)</f>
        <v>3.11</v>
      </c>
      <c r="D598">
        <f>IFERROR(__xludf.DUMMYFUNCTION("""COMPUTED_VALUE"""),4.26)</f>
        <v>4.26</v>
      </c>
      <c r="E598">
        <f>IFERROR(__xludf.DUMMYFUNCTION("""COMPUTED_VALUE"""),7.47)</f>
        <v>7.47</v>
      </c>
      <c r="F598">
        <f>IFERROR(__xludf.DUMMYFUNCTION("""COMPUTED_VALUE"""),7.84)</f>
        <v>7.84</v>
      </c>
      <c r="G598">
        <f>IFERROR(__xludf.DUMMYFUNCTION("""COMPUTED_VALUE"""),2.63)</f>
        <v>2.63</v>
      </c>
      <c r="H598">
        <f>IFERROR(__xludf.DUMMYFUNCTION("""COMPUTED_VALUE"""),19.16)</f>
        <v>19.16</v>
      </c>
      <c r="I598">
        <f>IFERROR(__xludf.DUMMYFUNCTION("""COMPUTED_VALUE"""),227.63)</f>
        <v>227.63</v>
      </c>
      <c r="J598">
        <f>IFERROR(__xludf.DUMMYFUNCTION("""COMPUTED_VALUE"""),14.89)</f>
        <v>14.89</v>
      </c>
      <c r="K598">
        <f>IFERROR(__xludf.DUMMYFUNCTION("""COMPUTED_VALUE"""),0.26)</f>
        <v>0.26</v>
      </c>
      <c r="L598">
        <f>IFERROR(__xludf.DUMMYFUNCTION("""COMPUTED_VALUE"""),0.0)</f>
        <v>0</v>
      </c>
      <c r="M598">
        <f>IFERROR(__xludf.DUMMYFUNCTION("""COMPUTED_VALUE"""),1.89)</f>
        <v>1.89</v>
      </c>
      <c r="N598">
        <f>IFERROR(__xludf.DUMMYFUNCTION("""COMPUTED_VALUE"""),0.32)</f>
        <v>0.32</v>
      </c>
      <c r="O598">
        <f>IFERROR(__xludf.DUMMYFUNCTION("""COMPUTED_VALUE"""),0.53)</f>
        <v>0.53</v>
      </c>
    </row>
    <row r="599">
      <c r="A599" t="str">
        <f>IFERROR(__xludf.DUMMYFUNCTION("""COMPUTED_VALUE"""),"Zgainski")</f>
        <v>Zgainski</v>
      </c>
      <c r="B599" t="str">
        <f>IFERROR(__xludf.DUMMYFUNCTION("""COMPUTED_VALUE"""),"Frédéric Zgainski")</f>
        <v>Frédéric Zgainski</v>
      </c>
      <c r="C599">
        <f>IFERROR(__xludf.DUMMYFUNCTION("""COMPUTED_VALUE"""),4.14)</f>
        <v>4.14</v>
      </c>
      <c r="D599">
        <f>IFERROR(__xludf.DUMMYFUNCTION("""COMPUTED_VALUE"""),10.29)</f>
        <v>10.29</v>
      </c>
      <c r="E599">
        <f>IFERROR(__xludf.DUMMYFUNCTION("""COMPUTED_VALUE"""),12.86)</f>
        <v>12.86</v>
      </c>
      <c r="F599">
        <f>IFERROR(__xludf.DUMMYFUNCTION("""COMPUTED_VALUE"""),4.21)</f>
        <v>4.21</v>
      </c>
      <c r="G599">
        <f>IFERROR(__xludf.DUMMYFUNCTION("""COMPUTED_VALUE"""),0.29)</f>
        <v>0.29</v>
      </c>
      <c r="H599">
        <f>IFERROR(__xludf.DUMMYFUNCTION("""COMPUTED_VALUE"""),4.43)</f>
        <v>4.43</v>
      </c>
      <c r="I599">
        <f>IFERROR(__xludf.DUMMYFUNCTION("""COMPUTED_VALUE"""),71.14)</f>
        <v>71.14</v>
      </c>
      <c r="J599">
        <f>IFERROR(__xludf.DUMMYFUNCTION("""COMPUTED_VALUE"""),15.57)</f>
        <v>15.57</v>
      </c>
      <c r="K599">
        <f>IFERROR(__xludf.DUMMYFUNCTION("""COMPUTED_VALUE"""),0.29)</f>
        <v>0.29</v>
      </c>
      <c r="L599">
        <f>IFERROR(__xludf.DUMMYFUNCTION("""COMPUTED_VALUE"""),0.21)</f>
        <v>0.21</v>
      </c>
      <c r="M599">
        <f>IFERROR(__xludf.DUMMYFUNCTION("""COMPUTED_VALUE"""),1.21)</f>
        <v>1.21</v>
      </c>
      <c r="N599">
        <f>IFERROR(__xludf.DUMMYFUNCTION("""COMPUTED_VALUE"""),0.93)</f>
        <v>0.93</v>
      </c>
      <c r="O599">
        <f>IFERROR(__xludf.DUMMYFUNCTION("""COMPUTED_VALUE"""),0.43)</f>
        <v>0.43</v>
      </c>
    </row>
    <row r="600">
      <c r="A600" t="str">
        <f>IFERROR(__xludf.DUMMYFUNCTION("""COMPUTED_VALUE"""),"Zulesi")</f>
        <v>Zulesi</v>
      </c>
      <c r="B600" t="str">
        <f>IFERROR(__xludf.DUMMYFUNCTION("""COMPUTED_VALUE"""),"Jean-Marc Zulesi")</f>
        <v>Jean-Marc Zulesi</v>
      </c>
      <c r="C600">
        <f>IFERROR(__xludf.DUMMYFUNCTION("""COMPUTED_VALUE"""),4.11)</f>
        <v>4.11</v>
      </c>
      <c r="D600">
        <f>IFERROR(__xludf.DUMMYFUNCTION("""COMPUTED_VALUE"""),12.74)</f>
        <v>12.74</v>
      </c>
      <c r="E600">
        <f>IFERROR(__xludf.DUMMYFUNCTION("""COMPUTED_VALUE"""),34.68)</f>
        <v>34.68</v>
      </c>
      <c r="F600">
        <f>IFERROR(__xludf.DUMMYFUNCTION("""COMPUTED_VALUE"""),6.16)</f>
        <v>6.16</v>
      </c>
      <c r="G600">
        <f>IFERROR(__xludf.DUMMYFUNCTION("""COMPUTED_VALUE"""),10.21)</f>
        <v>10.21</v>
      </c>
      <c r="H600">
        <f>IFERROR(__xludf.DUMMYFUNCTION("""COMPUTED_VALUE"""),8.79)</f>
        <v>8.79</v>
      </c>
      <c r="I600">
        <f>IFERROR(__xludf.DUMMYFUNCTION("""COMPUTED_VALUE"""),83.0)</f>
        <v>83</v>
      </c>
      <c r="J600">
        <f>IFERROR(__xludf.DUMMYFUNCTION("""COMPUTED_VALUE"""),22.95)</f>
        <v>22.95</v>
      </c>
      <c r="K600">
        <f>IFERROR(__xludf.DUMMYFUNCTION("""COMPUTED_VALUE"""),0.21)</f>
        <v>0.21</v>
      </c>
      <c r="L600">
        <f>IFERROR(__xludf.DUMMYFUNCTION("""COMPUTED_VALUE"""),0.21)</f>
        <v>0.21</v>
      </c>
      <c r="M600">
        <f>IFERROR(__xludf.DUMMYFUNCTION("""COMPUTED_VALUE"""),3.68)</f>
        <v>3.68</v>
      </c>
      <c r="N600">
        <f>IFERROR(__xludf.DUMMYFUNCTION("""COMPUTED_VALUE"""),2.68)</f>
        <v>2.68</v>
      </c>
      <c r="O600">
        <f>IFERROR(__xludf.DUMMYFUNCTION("""COMPUTED_VALUE"""),0.16)</f>
        <v>0.16</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t="str">
        <f>IFERROR(__xludf.DUMMYFUNCTION("importhtml(""http://www.politologue.com/classement/politiciens/"",""table"", 1)"),"Pos.")</f>
        <v>Pos.</v>
      </c>
      <c r="B1" t="str">
        <f>IFERROR(__xludf.DUMMYFUNCTION("""COMPUTED_VALUE"""),"Nom")</f>
        <v>Nom</v>
      </c>
      <c r="C1" t="str">
        <f>IFERROR(__xludf.DUMMYFUNCTION("""COMPUTED_VALUE"""),"Followers")</f>
        <v>Followers</v>
      </c>
      <c r="D1" t="str">
        <f>IFERROR(__xludf.DUMMYFUNCTION("""COMPUTED_VALUE"""),"J-1")</f>
        <v>J-1</v>
      </c>
      <c r="E1" t="str">
        <f>IFERROR(__xludf.DUMMYFUNCTION("""COMPUTED_VALUE"""),"J-2")</f>
        <v>J-2</v>
      </c>
      <c r="F1" t="str">
        <f>IFERROR(__xludf.DUMMYFUNCTION("""COMPUTED_VALUE"""),"J-3")</f>
        <v>J-3</v>
      </c>
      <c r="G1" t="str">
        <f>IFERROR(__xludf.DUMMYFUNCTION("""COMPUTED_VALUE"""),"J-4")</f>
        <v>J-4</v>
      </c>
      <c r="H1" t="str">
        <f>IFERROR(__xludf.DUMMYFUNCTION("""COMPUTED_VALUE"""),"J-5")</f>
        <v>J-5</v>
      </c>
      <c r="I1" t="str">
        <f>IFERROR(__xludf.DUMMYFUNCTION("""COMPUTED_VALUE"""),"J-6")</f>
        <v>J-6</v>
      </c>
      <c r="J1" t="str">
        <f>IFERROR(__xludf.DUMMYFUNCTION("""COMPUTED_VALUE"""),"J-7")</f>
        <v>J-7</v>
      </c>
      <c r="K1" t="str">
        <f>IFERROR(__xludf.DUMMYFUNCTION("""COMPUTED_VALUE"""),"J-14")</f>
        <v>J-14</v>
      </c>
      <c r="L1" t="str">
        <f>IFERROR(__xludf.DUMMYFUNCTION("""COMPUTED_VALUE"""),"J-21")</f>
        <v>J-21</v>
      </c>
      <c r="M1" t="str">
        <f>IFERROR(__xludf.DUMMYFUNCTION("""COMPUTED_VALUE"""),"J-28")</f>
        <v>J-28</v>
      </c>
      <c r="O1" t="str">
        <f>IFERROR(__xludf.DUMMYFUNCTION("importhtml(""http://www.politologue.com/classement/politiciens/"",""table"", 1)"),"Pos.")</f>
        <v>Pos.</v>
      </c>
      <c r="P1" t="str">
        <f>IFERROR(__xludf.DUMMYFUNCTION("""COMPUTED_VALUE"""),"Nom")</f>
        <v>Nom</v>
      </c>
      <c r="Q1" t="str">
        <f>IFERROR(__xludf.DUMMYFUNCTION("""COMPUTED_VALUE"""),"Followers")</f>
        <v>Followers</v>
      </c>
      <c r="R1" t="str">
        <f>IFERROR(__xludf.DUMMYFUNCTION("""COMPUTED_VALUE"""),"J-1")</f>
        <v>J-1</v>
      </c>
      <c r="S1" t="str">
        <f>IFERROR(__xludf.DUMMYFUNCTION("""COMPUTED_VALUE"""),"J-2")</f>
        <v>J-2</v>
      </c>
      <c r="T1" t="str">
        <f>IFERROR(__xludf.DUMMYFUNCTION("""COMPUTED_VALUE"""),"J-3")</f>
        <v>J-3</v>
      </c>
      <c r="U1" t="str">
        <f>IFERROR(__xludf.DUMMYFUNCTION("""COMPUTED_VALUE"""),"J-4")</f>
        <v>J-4</v>
      </c>
      <c r="V1" t="str">
        <f>IFERROR(__xludf.DUMMYFUNCTION("""COMPUTED_VALUE"""),"J-5")</f>
        <v>J-5</v>
      </c>
      <c r="W1" t="str">
        <f>IFERROR(__xludf.DUMMYFUNCTION("""COMPUTED_VALUE"""),"J-6")</f>
        <v>J-6</v>
      </c>
      <c r="X1" t="str">
        <f>IFERROR(__xludf.DUMMYFUNCTION("""COMPUTED_VALUE"""),"J-7")</f>
        <v>J-7</v>
      </c>
      <c r="Y1" t="str">
        <f>IFERROR(__xludf.DUMMYFUNCTION("""COMPUTED_VALUE"""),"J-14")</f>
        <v>J-14</v>
      </c>
      <c r="Z1" t="str">
        <f>IFERROR(__xludf.DUMMYFUNCTION("""COMPUTED_VALUE"""),"J-21")</f>
        <v>J-21</v>
      </c>
      <c r="AA1" t="str">
        <f>IFERROR(__xludf.DUMMYFUNCTION("""COMPUTED_VALUE"""),"J-28")</f>
        <v>J-28</v>
      </c>
    </row>
    <row r="2">
      <c r="A2" t="str">
        <f>IFERROR(__xludf.DUMMYFUNCTION("""COMPUTED_VALUE"""),"#1")</f>
        <v>#1</v>
      </c>
      <c r="B2" t="str">
        <f>IFERROR(__xludf.DUMMYFUNCTION("""COMPUTED_VALUE"""),"Emmanuel Macron")</f>
        <v>Emmanuel Macron</v>
      </c>
      <c r="C2">
        <f>IFERROR(__xludf.DUMMYFUNCTION("""COMPUTED_VALUE"""),9177577.0)</f>
        <v>9177577</v>
      </c>
      <c r="D2" t="str">
        <f>IFERROR(__xludf.DUMMYFUNCTION("""COMPUTED_VALUE"""),"-")</f>
        <v>-</v>
      </c>
      <c r="E2" t="str">
        <f>IFERROR(__xludf.DUMMYFUNCTION("""COMPUTED_VALUE"""),"-")</f>
        <v>-</v>
      </c>
      <c r="F2" t="str">
        <f>IFERROR(__xludf.DUMMYFUNCTION("""COMPUTED_VALUE"""),"-")</f>
        <v>-</v>
      </c>
      <c r="G2" t="str">
        <f>IFERROR(__xludf.DUMMYFUNCTION("""COMPUTED_VALUE"""),"-")</f>
        <v>-</v>
      </c>
      <c r="H2" t="str">
        <f>IFERROR(__xludf.DUMMYFUNCTION("""COMPUTED_VALUE"""),"-")</f>
        <v>-</v>
      </c>
      <c r="I2" t="str">
        <f>IFERROR(__xludf.DUMMYFUNCTION("""COMPUTED_VALUE"""),"-")</f>
        <v>-</v>
      </c>
      <c r="J2" t="str">
        <f>IFERROR(__xludf.DUMMYFUNCTION("""COMPUTED_VALUE"""),"-")</f>
        <v>-</v>
      </c>
      <c r="K2" t="str">
        <f>IFERROR(__xludf.DUMMYFUNCTION("""COMPUTED_VALUE"""),"-")</f>
        <v>-</v>
      </c>
      <c r="L2" t="str">
        <f>IFERROR(__xludf.DUMMYFUNCTION("""COMPUTED_VALUE"""),"-")</f>
        <v>-</v>
      </c>
      <c r="M2" t="str">
        <f>IFERROR(__xludf.DUMMYFUNCTION("""COMPUTED_VALUE"""),"-")</f>
        <v>-</v>
      </c>
      <c r="O2" t="str">
        <f>IFERROR(__xludf.DUMMYFUNCTION("""COMPUTED_VALUE"""),"#1")</f>
        <v>#1</v>
      </c>
      <c r="P2" t="str">
        <f>IFERROR(__xludf.DUMMYFUNCTION("""COMPUTED_VALUE"""),"Emmanuel Macron")</f>
        <v>Emmanuel Macron</v>
      </c>
      <c r="Q2">
        <f>IFERROR(__xludf.DUMMYFUNCTION("""COMPUTED_VALUE"""),9177577.0)</f>
        <v>9177577</v>
      </c>
      <c r="R2" t="str">
        <f>IFERROR(__xludf.DUMMYFUNCTION("""COMPUTED_VALUE"""),"-")</f>
        <v>-</v>
      </c>
      <c r="S2" t="str">
        <f>IFERROR(__xludf.DUMMYFUNCTION("""COMPUTED_VALUE"""),"-")</f>
        <v>-</v>
      </c>
      <c r="T2" t="str">
        <f>IFERROR(__xludf.DUMMYFUNCTION("""COMPUTED_VALUE"""),"-")</f>
        <v>-</v>
      </c>
      <c r="U2" t="str">
        <f>IFERROR(__xludf.DUMMYFUNCTION("""COMPUTED_VALUE"""),"-")</f>
        <v>-</v>
      </c>
      <c r="V2" t="str">
        <f>IFERROR(__xludf.DUMMYFUNCTION("""COMPUTED_VALUE"""),"-")</f>
        <v>-</v>
      </c>
      <c r="W2" t="str">
        <f>IFERROR(__xludf.DUMMYFUNCTION("""COMPUTED_VALUE"""),"-")</f>
        <v>-</v>
      </c>
      <c r="X2" t="str">
        <f>IFERROR(__xludf.DUMMYFUNCTION("""COMPUTED_VALUE"""),"-")</f>
        <v>-</v>
      </c>
      <c r="Y2" t="str">
        <f>IFERROR(__xludf.DUMMYFUNCTION("""COMPUTED_VALUE"""),"-")</f>
        <v>-</v>
      </c>
      <c r="Z2" t="str">
        <f>IFERROR(__xludf.DUMMYFUNCTION("""COMPUTED_VALUE"""),"-")</f>
        <v>-</v>
      </c>
      <c r="AA2" t="str">
        <f>IFERROR(__xludf.DUMMYFUNCTION("""COMPUTED_VALUE"""),"-")</f>
        <v>-</v>
      </c>
    </row>
    <row r="3">
      <c r="A3" t="str">
        <f>IFERROR(__xludf.DUMMYFUNCTION("""COMPUTED_VALUE"""),"#2")</f>
        <v>#2</v>
      </c>
      <c r="B3" t="str">
        <f>IFERROR(__xludf.DUMMYFUNCTION("""COMPUTED_VALUE"""),"Marine Le Pen")</f>
        <v>Marine Le Pen</v>
      </c>
      <c r="C3">
        <f>IFERROR(__xludf.DUMMYFUNCTION("""COMPUTED_VALUE"""),2902649.0)</f>
        <v>2902649</v>
      </c>
      <c r="D3" t="str">
        <f>IFERROR(__xludf.DUMMYFUNCTION("""COMPUTED_VALUE"""),"-")</f>
        <v>-</v>
      </c>
      <c r="E3" t="str">
        <f>IFERROR(__xludf.DUMMYFUNCTION("""COMPUTED_VALUE"""),"-")</f>
        <v>-</v>
      </c>
      <c r="F3" t="str">
        <f>IFERROR(__xludf.DUMMYFUNCTION("""COMPUTED_VALUE"""),"-")</f>
        <v>-</v>
      </c>
      <c r="G3" t="str">
        <f>IFERROR(__xludf.DUMMYFUNCTION("""COMPUTED_VALUE"""),"-")</f>
        <v>-</v>
      </c>
      <c r="H3" t="str">
        <f>IFERROR(__xludf.DUMMYFUNCTION("""COMPUTED_VALUE"""),"-")</f>
        <v>-</v>
      </c>
      <c r="I3" t="str">
        <f>IFERROR(__xludf.DUMMYFUNCTION("""COMPUTED_VALUE"""),"-")</f>
        <v>-</v>
      </c>
      <c r="J3" t="str">
        <f>IFERROR(__xludf.DUMMYFUNCTION("""COMPUTED_VALUE"""),"-")</f>
        <v>-</v>
      </c>
      <c r="K3" t="str">
        <f>IFERROR(__xludf.DUMMYFUNCTION("""COMPUTED_VALUE"""),"-")</f>
        <v>-</v>
      </c>
      <c r="L3" t="str">
        <f>IFERROR(__xludf.DUMMYFUNCTION("""COMPUTED_VALUE"""),"-")</f>
        <v>-</v>
      </c>
      <c r="M3" t="str">
        <f>IFERROR(__xludf.DUMMYFUNCTION("""COMPUTED_VALUE"""),"-")</f>
        <v>-</v>
      </c>
      <c r="O3" t="str">
        <f>IFERROR(__xludf.DUMMYFUNCTION("""COMPUTED_VALUE"""),"#2")</f>
        <v>#2</v>
      </c>
      <c r="P3" t="str">
        <f>IFERROR(__xludf.DUMMYFUNCTION("""COMPUTED_VALUE"""),"Marine Le Pen")</f>
        <v>Marine Le Pen</v>
      </c>
      <c r="Q3">
        <f>IFERROR(__xludf.DUMMYFUNCTION("""COMPUTED_VALUE"""),2902649.0)</f>
        <v>2902649</v>
      </c>
      <c r="R3" t="str">
        <f>IFERROR(__xludf.DUMMYFUNCTION("""COMPUTED_VALUE"""),"-")</f>
        <v>-</v>
      </c>
      <c r="S3" t="str">
        <f>IFERROR(__xludf.DUMMYFUNCTION("""COMPUTED_VALUE"""),"-")</f>
        <v>-</v>
      </c>
      <c r="T3" t="str">
        <f>IFERROR(__xludf.DUMMYFUNCTION("""COMPUTED_VALUE"""),"-")</f>
        <v>-</v>
      </c>
      <c r="U3" t="str">
        <f>IFERROR(__xludf.DUMMYFUNCTION("""COMPUTED_VALUE"""),"-")</f>
        <v>-</v>
      </c>
      <c r="V3" t="str">
        <f>IFERROR(__xludf.DUMMYFUNCTION("""COMPUTED_VALUE"""),"-")</f>
        <v>-</v>
      </c>
      <c r="W3" t="str">
        <f>IFERROR(__xludf.DUMMYFUNCTION("""COMPUTED_VALUE"""),"-")</f>
        <v>-</v>
      </c>
      <c r="X3" t="str">
        <f>IFERROR(__xludf.DUMMYFUNCTION("""COMPUTED_VALUE"""),"-")</f>
        <v>-</v>
      </c>
      <c r="Y3" t="str">
        <f>IFERROR(__xludf.DUMMYFUNCTION("""COMPUTED_VALUE"""),"-")</f>
        <v>-</v>
      </c>
      <c r="Z3" t="str">
        <f>IFERROR(__xludf.DUMMYFUNCTION("""COMPUTED_VALUE"""),"-")</f>
        <v>-</v>
      </c>
      <c r="AA3" t="str">
        <f>IFERROR(__xludf.DUMMYFUNCTION("""COMPUTED_VALUE"""),"-")</f>
        <v>-</v>
      </c>
    </row>
    <row r="4">
      <c r="A4" t="str">
        <f>IFERROR(__xludf.DUMMYFUNCTION("""COMPUTED_VALUE"""),"#3")</f>
        <v>#3</v>
      </c>
      <c r="B4" t="str">
        <f>IFERROR(__xludf.DUMMYFUNCTION("""COMPUTED_VALUE"""),"Jean-Luc Mélenchon")</f>
        <v>Jean-Luc Mélenchon</v>
      </c>
      <c r="C4">
        <f>IFERROR(__xludf.DUMMYFUNCTION("""COMPUTED_VALUE"""),2664044.0)</f>
        <v>2664044</v>
      </c>
      <c r="D4" t="str">
        <f>IFERROR(__xludf.DUMMYFUNCTION("""COMPUTED_VALUE"""),"-")</f>
        <v>-</v>
      </c>
      <c r="E4" t="str">
        <f>IFERROR(__xludf.DUMMYFUNCTION("""COMPUTED_VALUE"""),"-")</f>
        <v>-</v>
      </c>
      <c r="F4" t="str">
        <f>IFERROR(__xludf.DUMMYFUNCTION("""COMPUTED_VALUE"""),"-")</f>
        <v>-</v>
      </c>
      <c r="G4" t="str">
        <f>IFERROR(__xludf.DUMMYFUNCTION("""COMPUTED_VALUE"""),"-")</f>
        <v>-</v>
      </c>
      <c r="H4" t="str">
        <f>IFERROR(__xludf.DUMMYFUNCTION("""COMPUTED_VALUE"""),"-")</f>
        <v>-</v>
      </c>
      <c r="I4" t="str">
        <f>IFERROR(__xludf.DUMMYFUNCTION("""COMPUTED_VALUE"""),"-")</f>
        <v>-</v>
      </c>
      <c r="J4" t="str">
        <f>IFERROR(__xludf.DUMMYFUNCTION("""COMPUTED_VALUE"""),"-")</f>
        <v>-</v>
      </c>
      <c r="K4" t="str">
        <f>IFERROR(__xludf.DUMMYFUNCTION("""COMPUTED_VALUE"""),"-")</f>
        <v>-</v>
      </c>
      <c r="L4" t="str">
        <f>IFERROR(__xludf.DUMMYFUNCTION("""COMPUTED_VALUE"""),"-")</f>
        <v>-</v>
      </c>
      <c r="M4" t="str">
        <f>IFERROR(__xludf.DUMMYFUNCTION("""COMPUTED_VALUE"""),"-")</f>
        <v>-</v>
      </c>
      <c r="O4" t="str">
        <f>IFERROR(__xludf.DUMMYFUNCTION("""COMPUTED_VALUE"""),"#3")</f>
        <v>#3</v>
      </c>
      <c r="P4" t="str">
        <f>IFERROR(__xludf.DUMMYFUNCTION("""COMPUTED_VALUE"""),"Jean-Luc Mélenchon")</f>
        <v>Jean-Luc Mélenchon</v>
      </c>
      <c r="Q4">
        <f>IFERROR(__xludf.DUMMYFUNCTION("""COMPUTED_VALUE"""),2664044.0)</f>
        <v>2664044</v>
      </c>
      <c r="R4" t="str">
        <f>IFERROR(__xludf.DUMMYFUNCTION("""COMPUTED_VALUE"""),"-")</f>
        <v>-</v>
      </c>
      <c r="S4" t="str">
        <f>IFERROR(__xludf.DUMMYFUNCTION("""COMPUTED_VALUE"""),"-")</f>
        <v>-</v>
      </c>
      <c r="T4" t="str">
        <f>IFERROR(__xludf.DUMMYFUNCTION("""COMPUTED_VALUE"""),"-")</f>
        <v>-</v>
      </c>
      <c r="U4" t="str">
        <f>IFERROR(__xludf.DUMMYFUNCTION("""COMPUTED_VALUE"""),"-")</f>
        <v>-</v>
      </c>
      <c r="V4" t="str">
        <f>IFERROR(__xludf.DUMMYFUNCTION("""COMPUTED_VALUE"""),"-")</f>
        <v>-</v>
      </c>
      <c r="W4" t="str">
        <f>IFERROR(__xludf.DUMMYFUNCTION("""COMPUTED_VALUE"""),"-")</f>
        <v>-</v>
      </c>
      <c r="X4" t="str">
        <f>IFERROR(__xludf.DUMMYFUNCTION("""COMPUTED_VALUE"""),"-")</f>
        <v>-</v>
      </c>
      <c r="Y4" t="str">
        <f>IFERROR(__xludf.DUMMYFUNCTION("""COMPUTED_VALUE"""),"-")</f>
        <v>-</v>
      </c>
      <c r="Z4" t="str">
        <f>IFERROR(__xludf.DUMMYFUNCTION("""COMPUTED_VALUE"""),"-")</f>
        <v>-</v>
      </c>
      <c r="AA4" t="str">
        <f>IFERROR(__xludf.DUMMYFUNCTION("""COMPUTED_VALUE"""),"-")</f>
        <v>-</v>
      </c>
    </row>
    <row r="5">
      <c r="A5" t="str">
        <f>IFERROR(__xludf.DUMMYFUNCTION("""COMPUTED_VALUE"""),"#4")</f>
        <v>#4</v>
      </c>
      <c r="B5" t="str">
        <f>IFERROR(__xludf.DUMMYFUNCTION("""COMPUTED_VALUE"""),"Nicolas Sarkozy")</f>
        <v>Nicolas Sarkozy</v>
      </c>
      <c r="C5">
        <f>IFERROR(__xludf.DUMMYFUNCTION("""COMPUTED_VALUE"""),2376698.0)</f>
        <v>2376698</v>
      </c>
      <c r="D5" t="str">
        <f>IFERROR(__xludf.DUMMYFUNCTION("""COMPUTED_VALUE"""),"-")</f>
        <v>-</v>
      </c>
      <c r="E5" t="str">
        <f>IFERROR(__xludf.DUMMYFUNCTION("""COMPUTED_VALUE"""),"-")</f>
        <v>-</v>
      </c>
      <c r="F5" t="str">
        <f>IFERROR(__xludf.DUMMYFUNCTION("""COMPUTED_VALUE"""),"-")</f>
        <v>-</v>
      </c>
      <c r="G5" t="str">
        <f>IFERROR(__xludf.DUMMYFUNCTION("""COMPUTED_VALUE"""),"-")</f>
        <v>-</v>
      </c>
      <c r="H5" t="str">
        <f>IFERROR(__xludf.DUMMYFUNCTION("""COMPUTED_VALUE"""),"-")</f>
        <v>-</v>
      </c>
      <c r="I5" t="str">
        <f>IFERROR(__xludf.DUMMYFUNCTION("""COMPUTED_VALUE"""),"-")</f>
        <v>-</v>
      </c>
      <c r="J5" t="str">
        <f>IFERROR(__xludf.DUMMYFUNCTION("""COMPUTED_VALUE"""),"-")</f>
        <v>-</v>
      </c>
      <c r="K5" t="str">
        <f>IFERROR(__xludf.DUMMYFUNCTION("""COMPUTED_VALUE"""),"-")</f>
        <v>-</v>
      </c>
      <c r="L5" t="str">
        <f>IFERROR(__xludf.DUMMYFUNCTION("""COMPUTED_VALUE"""),"-")</f>
        <v>-</v>
      </c>
      <c r="M5" t="str">
        <f>IFERROR(__xludf.DUMMYFUNCTION("""COMPUTED_VALUE"""),"-")</f>
        <v>-</v>
      </c>
      <c r="O5" t="str">
        <f>IFERROR(__xludf.DUMMYFUNCTION("""COMPUTED_VALUE"""),"#4")</f>
        <v>#4</v>
      </c>
      <c r="P5" t="str">
        <f>IFERROR(__xludf.DUMMYFUNCTION("""COMPUTED_VALUE"""),"Nicolas Sarkozy")</f>
        <v>Nicolas Sarkozy</v>
      </c>
      <c r="Q5">
        <f>IFERROR(__xludf.DUMMYFUNCTION("""COMPUTED_VALUE"""),2376698.0)</f>
        <v>2376698</v>
      </c>
      <c r="R5" t="str">
        <f>IFERROR(__xludf.DUMMYFUNCTION("""COMPUTED_VALUE"""),"-")</f>
        <v>-</v>
      </c>
      <c r="S5" t="str">
        <f>IFERROR(__xludf.DUMMYFUNCTION("""COMPUTED_VALUE"""),"-")</f>
        <v>-</v>
      </c>
      <c r="T5" t="str">
        <f>IFERROR(__xludf.DUMMYFUNCTION("""COMPUTED_VALUE"""),"-")</f>
        <v>-</v>
      </c>
      <c r="U5" t="str">
        <f>IFERROR(__xludf.DUMMYFUNCTION("""COMPUTED_VALUE"""),"-")</f>
        <v>-</v>
      </c>
      <c r="V5" t="str">
        <f>IFERROR(__xludf.DUMMYFUNCTION("""COMPUTED_VALUE"""),"-")</f>
        <v>-</v>
      </c>
      <c r="W5" t="str">
        <f>IFERROR(__xludf.DUMMYFUNCTION("""COMPUTED_VALUE"""),"-")</f>
        <v>-</v>
      </c>
      <c r="X5" t="str">
        <f>IFERROR(__xludf.DUMMYFUNCTION("""COMPUTED_VALUE"""),"-")</f>
        <v>-</v>
      </c>
      <c r="Y5" t="str">
        <f>IFERROR(__xludf.DUMMYFUNCTION("""COMPUTED_VALUE"""),"-")</f>
        <v>-</v>
      </c>
      <c r="Z5" t="str">
        <f>IFERROR(__xludf.DUMMYFUNCTION("""COMPUTED_VALUE"""),"-")</f>
        <v>-</v>
      </c>
      <c r="AA5" t="str">
        <f>IFERROR(__xludf.DUMMYFUNCTION("""COMPUTED_VALUE"""),"-")</f>
        <v>-</v>
      </c>
    </row>
    <row r="6">
      <c r="A6" t="str">
        <f>IFERROR(__xludf.DUMMYFUNCTION("""COMPUTED_VALUE"""),"#5")</f>
        <v>#5</v>
      </c>
      <c r="B6" t="str">
        <f>IFERROR(__xludf.DUMMYFUNCTION("""COMPUTED_VALUE"""),"François Hollande")</f>
        <v>François Hollande</v>
      </c>
      <c r="C6">
        <f>IFERROR(__xludf.DUMMYFUNCTION("""COMPUTED_VALUE"""),2331179.0)</f>
        <v>2331179</v>
      </c>
      <c r="D6" t="str">
        <f>IFERROR(__xludf.DUMMYFUNCTION("""COMPUTED_VALUE"""),"-")</f>
        <v>-</v>
      </c>
      <c r="E6" t="str">
        <f>IFERROR(__xludf.DUMMYFUNCTION("""COMPUTED_VALUE"""),"-")</f>
        <v>-</v>
      </c>
      <c r="F6" t="str">
        <f>IFERROR(__xludf.DUMMYFUNCTION("""COMPUTED_VALUE"""),"-")</f>
        <v>-</v>
      </c>
      <c r="G6" t="str">
        <f>IFERROR(__xludf.DUMMYFUNCTION("""COMPUTED_VALUE"""),"-")</f>
        <v>-</v>
      </c>
      <c r="H6" t="str">
        <f>IFERROR(__xludf.DUMMYFUNCTION("""COMPUTED_VALUE"""),"-")</f>
        <v>-</v>
      </c>
      <c r="I6" t="str">
        <f>IFERROR(__xludf.DUMMYFUNCTION("""COMPUTED_VALUE"""),"-")</f>
        <v>-</v>
      </c>
      <c r="J6" t="str">
        <f>IFERROR(__xludf.DUMMYFUNCTION("""COMPUTED_VALUE"""),"-")</f>
        <v>-</v>
      </c>
      <c r="K6" t="str">
        <f>IFERROR(__xludf.DUMMYFUNCTION("""COMPUTED_VALUE"""),"-")</f>
        <v>-</v>
      </c>
      <c r="L6" t="str">
        <f>IFERROR(__xludf.DUMMYFUNCTION("""COMPUTED_VALUE"""),"-")</f>
        <v>-</v>
      </c>
      <c r="M6" t="str">
        <f>IFERROR(__xludf.DUMMYFUNCTION("""COMPUTED_VALUE"""),"-")</f>
        <v>-</v>
      </c>
      <c r="O6" t="str">
        <f>IFERROR(__xludf.DUMMYFUNCTION("""COMPUTED_VALUE"""),"#5")</f>
        <v>#5</v>
      </c>
      <c r="P6" t="str">
        <f>IFERROR(__xludf.DUMMYFUNCTION("""COMPUTED_VALUE"""),"François Hollande")</f>
        <v>François Hollande</v>
      </c>
      <c r="Q6">
        <f>IFERROR(__xludf.DUMMYFUNCTION("""COMPUTED_VALUE"""),2331179.0)</f>
        <v>2331179</v>
      </c>
      <c r="R6" t="str">
        <f>IFERROR(__xludf.DUMMYFUNCTION("""COMPUTED_VALUE"""),"-")</f>
        <v>-</v>
      </c>
      <c r="S6" t="str">
        <f>IFERROR(__xludf.DUMMYFUNCTION("""COMPUTED_VALUE"""),"-")</f>
        <v>-</v>
      </c>
      <c r="T6" t="str">
        <f>IFERROR(__xludf.DUMMYFUNCTION("""COMPUTED_VALUE"""),"-")</f>
        <v>-</v>
      </c>
      <c r="U6" t="str">
        <f>IFERROR(__xludf.DUMMYFUNCTION("""COMPUTED_VALUE"""),"-")</f>
        <v>-</v>
      </c>
      <c r="V6" t="str">
        <f>IFERROR(__xludf.DUMMYFUNCTION("""COMPUTED_VALUE"""),"-")</f>
        <v>-</v>
      </c>
      <c r="W6" t="str">
        <f>IFERROR(__xludf.DUMMYFUNCTION("""COMPUTED_VALUE"""),"-")</f>
        <v>-</v>
      </c>
      <c r="X6" t="str">
        <f>IFERROR(__xludf.DUMMYFUNCTION("""COMPUTED_VALUE"""),"-")</f>
        <v>-</v>
      </c>
      <c r="Y6" t="str">
        <f>IFERROR(__xludf.DUMMYFUNCTION("""COMPUTED_VALUE"""),"-")</f>
        <v>-</v>
      </c>
      <c r="Z6" t="str">
        <f>IFERROR(__xludf.DUMMYFUNCTION("""COMPUTED_VALUE"""),"-")</f>
        <v>-</v>
      </c>
      <c r="AA6" t="str">
        <f>IFERROR(__xludf.DUMMYFUNCTION("""COMPUTED_VALUE"""),"-")</f>
        <v>-</v>
      </c>
    </row>
    <row r="7">
      <c r="A7" t="str">
        <f>IFERROR(__xludf.DUMMYFUNCTION("""COMPUTED_VALUE"""),"#6")</f>
        <v>#6</v>
      </c>
      <c r="B7" t="str">
        <f>IFERROR(__xludf.DUMMYFUNCTION("""COMPUTED_VALUE"""),"Anne Hidalgo")</f>
        <v>Anne Hidalgo</v>
      </c>
      <c r="C7">
        <f>IFERROR(__xludf.DUMMYFUNCTION("""COMPUTED_VALUE"""),1555895.0)</f>
        <v>1555895</v>
      </c>
      <c r="D7" t="str">
        <f>IFERROR(__xludf.DUMMYFUNCTION("""COMPUTED_VALUE"""),"-")</f>
        <v>-</v>
      </c>
      <c r="E7" t="str">
        <f>IFERROR(__xludf.DUMMYFUNCTION("""COMPUTED_VALUE"""),"-")</f>
        <v>-</v>
      </c>
      <c r="F7" t="str">
        <f>IFERROR(__xludf.DUMMYFUNCTION("""COMPUTED_VALUE"""),"-")</f>
        <v>-</v>
      </c>
      <c r="G7" t="str">
        <f>IFERROR(__xludf.DUMMYFUNCTION("""COMPUTED_VALUE"""),"-")</f>
        <v>-</v>
      </c>
      <c r="H7" t="str">
        <f>IFERROR(__xludf.DUMMYFUNCTION("""COMPUTED_VALUE"""),"-")</f>
        <v>-</v>
      </c>
      <c r="I7" t="str">
        <f>IFERROR(__xludf.DUMMYFUNCTION("""COMPUTED_VALUE"""),"-")</f>
        <v>-</v>
      </c>
      <c r="J7" t="str">
        <f>IFERROR(__xludf.DUMMYFUNCTION("""COMPUTED_VALUE"""),"-")</f>
        <v>-</v>
      </c>
      <c r="K7" t="str">
        <f>IFERROR(__xludf.DUMMYFUNCTION("""COMPUTED_VALUE"""),"-")</f>
        <v>-</v>
      </c>
      <c r="L7" t="str">
        <f>IFERROR(__xludf.DUMMYFUNCTION("""COMPUTED_VALUE"""),"-")</f>
        <v>-</v>
      </c>
      <c r="M7" t="str">
        <f>IFERROR(__xludf.DUMMYFUNCTION("""COMPUTED_VALUE"""),"-")</f>
        <v>-</v>
      </c>
      <c r="O7" t="str">
        <f>IFERROR(__xludf.DUMMYFUNCTION("""COMPUTED_VALUE"""),"#6")</f>
        <v>#6</v>
      </c>
      <c r="P7" t="str">
        <f>IFERROR(__xludf.DUMMYFUNCTION("""COMPUTED_VALUE"""),"Anne Hidalgo")</f>
        <v>Anne Hidalgo</v>
      </c>
      <c r="Q7">
        <f>IFERROR(__xludf.DUMMYFUNCTION("""COMPUTED_VALUE"""),1555895.0)</f>
        <v>1555895</v>
      </c>
      <c r="R7" t="str">
        <f>IFERROR(__xludf.DUMMYFUNCTION("""COMPUTED_VALUE"""),"-")</f>
        <v>-</v>
      </c>
      <c r="S7" t="str">
        <f>IFERROR(__xludf.DUMMYFUNCTION("""COMPUTED_VALUE"""),"-")</f>
        <v>-</v>
      </c>
      <c r="T7" t="str">
        <f>IFERROR(__xludf.DUMMYFUNCTION("""COMPUTED_VALUE"""),"-")</f>
        <v>-</v>
      </c>
      <c r="U7" t="str">
        <f>IFERROR(__xludf.DUMMYFUNCTION("""COMPUTED_VALUE"""),"-")</f>
        <v>-</v>
      </c>
      <c r="V7" t="str">
        <f>IFERROR(__xludf.DUMMYFUNCTION("""COMPUTED_VALUE"""),"-")</f>
        <v>-</v>
      </c>
      <c r="W7" t="str">
        <f>IFERROR(__xludf.DUMMYFUNCTION("""COMPUTED_VALUE"""),"-")</f>
        <v>-</v>
      </c>
      <c r="X7" t="str">
        <f>IFERROR(__xludf.DUMMYFUNCTION("""COMPUTED_VALUE"""),"-")</f>
        <v>-</v>
      </c>
      <c r="Y7" t="str">
        <f>IFERROR(__xludf.DUMMYFUNCTION("""COMPUTED_VALUE"""),"-")</f>
        <v>-</v>
      </c>
      <c r="Z7" t="str">
        <f>IFERROR(__xludf.DUMMYFUNCTION("""COMPUTED_VALUE"""),"-")</f>
        <v>-</v>
      </c>
      <c r="AA7" t="str">
        <f>IFERROR(__xludf.DUMMYFUNCTION("""COMPUTED_VALUE"""),"-")</f>
        <v>-</v>
      </c>
    </row>
    <row r="8">
      <c r="A8" t="str">
        <f>IFERROR(__xludf.DUMMYFUNCTION("""COMPUTED_VALUE"""),"#7")</f>
        <v>#7</v>
      </c>
      <c r="B8" t="str">
        <f>IFERROR(__xludf.DUMMYFUNCTION("""COMPUTED_VALUE"""),"Manuel Valls")</f>
        <v>Manuel Valls</v>
      </c>
      <c r="C8">
        <f>IFERROR(__xludf.DUMMYFUNCTION("""COMPUTED_VALUE"""),1051951.0)</f>
        <v>1051951</v>
      </c>
      <c r="D8" t="str">
        <f>IFERROR(__xludf.DUMMYFUNCTION("""COMPUTED_VALUE"""),"-")</f>
        <v>-</v>
      </c>
      <c r="E8" t="str">
        <f>IFERROR(__xludf.DUMMYFUNCTION("""COMPUTED_VALUE"""),"-")</f>
        <v>-</v>
      </c>
      <c r="F8" t="str">
        <f>IFERROR(__xludf.DUMMYFUNCTION("""COMPUTED_VALUE"""),"-")</f>
        <v>-</v>
      </c>
      <c r="G8" t="str">
        <f>IFERROR(__xludf.DUMMYFUNCTION("""COMPUTED_VALUE"""),"-")</f>
        <v>-</v>
      </c>
      <c r="H8" t="str">
        <f>IFERROR(__xludf.DUMMYFUNCTION("""COMPUTED_VALUE"""),"-")</f>
        <v>-</v>
      </c>
      <c r="I8" t="str">
        <f>IFERROR(__xludf.DUMMYFUNCTION("""COMPUTED_VALUE"""),"-")</f>
        <v>-</v>
      </c>
      <c r="J8" t="str">
        <f>IFERROR(__xludf.DUMMYFUNCTION("""COMPUTED_VALUE"""),"-")</f>
        <v>-</v>
      </c>
      <c r="K8" t="str">
        <f>IFERROR(__xludf.DUMMYFUNCTION("""COMPUTED_VALUE"""),"-")</f>
        <v>-</v>
      </c>
      <c r="L8" t="str">
        <f>IFERROR(__xludf.DUMMYFUNCTION("""COMPUTED_VALUE"""),"-")</f>
        <v>-</v>
      </c>
      <c r="M8" t="str">
        <f>IFERROR(__xludf.DUMMYFUNCTION("""COMPUTED_VALUE"""),"-")</f>
        <v>-</v>
      </c>
      <c r="O8" t="str">
        <f>IFERROR(__xludf.DUMMYFUNCTION("""COMPUTED_VALUE"""),"#7")</f>
        <v>#7</v>
      </c>
      <c r="P8" t="str">
        <f>IFERROR(__xludf.DUMMYFUNCTION("""COMPUTED_VALUE"""),"Manuel Valls")</f>
        <v>Manuel Valls</v>
      </c>
      <c r="Q8">
        <f>IFERROR(__xludf.DUMMYFUNCTION("""COMPUTED_VALUE"""),1051951.0)</f>
        <v>1051951</v>
      </c>
      <c r="R8" t="str">
        <f>IFERROR(__xludf.DUMMYFUNCTION("""COMPUTED_VALUE"""),"-")</f>
        <v>-</v>
      </c>
      <c r="S8" t="str">
        <f>IFERROR(__xludf.DUMMYFUNCTION("""COMPUTED_VALUE"""),"-")</f>
        <v>-</v>
      </c>
      <c r="T8" t="str">
        <f>IFERROR(__xludf.DUMMYFUNCTION("""COMPUTED_VALUE"""),"-")</f>
        <v>-</v>
      </c>
      <c r="U8" t="str">
        <f>IFERROR(__xludf.DUMMYFUNCTION("""COMPUTED_VALUE"""),"-")</f>
        <v>-</v>
      </c>
      <c r="V8" t="str">
        <f>IFERROR(__xludf.DUMMYFUNCTION("""COMPUTED_VALUE"""),"-")</f>
        <v>-</v>
      </c>
      <c r="W8" t="str">
        <f>IFERROR(__xludf.DUMMYFUNCTION("""COMPUTED_VALUE"""),"-")</f>
        <v>-</v>
      </c>
      <c r="X8" t="str">
        <f>IFERROR(__xludf.DUMMYFUNCTION("""COMPUTED_VALUE"""),"-")</f>
        <v>-</v>
      </c>
      <c r="Y8" t="str">
        <f>IFERROR(__xludf.DUMMYFUNCTION("""COMPUTED_VALUE"""),"-")</f>
        <v>-</v>
      </c>
      <c r="Z8" t="str">
        <f>IFERROR(__xludf.DUMMYFUNCTION("""COMPUTED_VALUE"""),"-")</f>
        <v>-</v>
      </c>
      <c r="AA8" t="str">
        <f>IFERROR(__xludf.DUMMYFUNCTION("""COMPUTED_VALUE"""),"-")</f>
        <v>-</v>
      </c>
    </row>
    <row r="9">
      <c r="A9" t="str">
        <f>IFERROR(__xludf.DUMMYFUNCTION("""COMPUTED_VALUE"""),"#8")</f>
        <v>#8</v>
      </c>
      <c r="B9" t="str">
        <f>IFERROR(__xludf.DUMMYFUNCTION("""COMPUTED_VALUE"""),"Alain Juppé")</f>
        <v>Alain Juppé</v>
      </c>
      <c r="C9">
        <f>IFERROR(__xludf.DUMMYFUNCTION("""COMPUTED_VALUE"""),980046.0)</f>
        <v>980046</v>
      </c>
      <c r="D9" t="str">
        <f>IFERROR(__xludf.DUMMYFUNCTION("""COMPUTED_VALUE"""),"-")</f>
        <v>-</v>
      </c>
      <c r="E9" t="str">
        <f>IFERROR(__xludf.DUMMYFUNCTION("""COMPUTED_VALUE"""),"-")</f>
        <v>-</v>
      </c>
      <c r="F9" t="str">
        <f>IFERROR(__xludf.DUMMYFUNCTION("""COMPUTED_VALUE"""),"-")</f>
        <v>-</v>
      </c>
      <c r="G9" t="str">
        <f>IFERROR(__xludf.DUMMYFUNCTION("""COMPUTED_VALUE"""),"-")</f>
        <v>-</v>
      </c>
      <c r="H9" t="str">
        <f>IFERROR(__xludf.DUMMYFUNCTION("""COMPUTED_VALUE"""),"-")</f>
        <v>-</v>
      </c>
      <c r="I9" t="str">
        <f>IFERROR(__xludf.DUMMYFUNCTION("""COMPUTED_VALUE"""),"-")</f>
        <v>-</v>
      </c>
      <c r="J9" t="str">
        <f>IFERROR(__xludf.DUMMYFUNCTION("""COMPUTED_VALUE"""),"-")</f>
        <v>-</v>
      </c>
      <c r="K9" t="str">
        <f>IFERROR(__xludf.DUMMYFUNCTION("""COMPUTED_VALUE"""),"-")</f>
        <v>-</v>
      </c>
      <c r="L9" t="str">
        <f>IFERROR(__xludf.DUMMYFUNCTION("""COMPUTED_VALUE"""),"-")</f>
        <v>-</v>
      </c>
      <c r="M9" t="str">
        <f>IFERROR(__xludf.DUMMYFUNCTION("""COMPUTED_VALUE"""),"-")</f>
        <v>-</v>
      </c>
      <c r="O9" t="str">
        <f>IFERROR(__xludf.DUMMYFUNCTION("""COMPUTED_VALUE"""),"#8")</f>
        <v>#8</v>
      </c>
      <c r="P9" t="str">
        <f>IFERROR(__xludf.DUMMYFUNCTION("""COMPUTED_VALUE"""),"Alain Juppé")</f>
        <v>Alain Juppé</v>
      </c>
      <c r="Q9">
        <f>IFERROR(__xludf.DUMMYFUNCTION("""COMPUTED_VALUE"""),980046.0)</f>
        <v>980046</v>
      </c>
      <c r="R9" t="str">
        <f>IFERROR(__xludf.DUMMYFUNCTION("""COMPUTED_VALUE"""),"-")</f>
        <v>-</v>
      </c>
      <c r="S9" t="str">
        <f>IFERROR(__xludf.DUMMYFUNCTION("""COMPUTED_VALUE"""),"-")</f>
        <v>-</v>
      </c>
      <c r="T9" t="str">
        <f>IFERROR(__xludf.DUMMYFUNCTION("""COMPUTED_VALUE"""),"-")</f>
        <v>-</v>
      </c>
      <c r="U9" t="str">
        <f>IFERROR(__xludf.DUMMYFUNCTION("""COMPUTED_VALUE"""),"-")</f>
        <v>-</v>
      </c>
      <c r="V9" t="str">
        <f>IFERROR(__xludf.DUMMYFUNCTION("""COMPUTED_VALUE"""),"-")</f>
        <v>-</v>
      </c>
      <c r="W9" t="str">
        <f>IFERROR(__xludf.DUMMYFUNCTION("""COMPUTED_VALUE"""),"-")</f>
        <v>-</v>
      </c>
      <c r="X9" t="str">
        <f>IFERROR(__xludf.DUMMYFUNCTION("""COMPUTED_VALUE"""),"-")</f>
        <v>-</v>
      </c>
      <c r="Y9" t="str">
        <f>IFERROR(__xludf.DUMMYFUNCTION("""COMPUTED_VALUE"""),"-")</f>
        <v>-</v>
      </c>
      <c r="Z9" t="str">
        <f>IFERROR(__xludf.DUMMYFUNCTION("""COMPUTED_VALUE"""),"-")</f>
        <v>-</v>
      </c>
      <c r="AA9" t="str">
        <f>IFERROR(__xludf.DUMMYFUNCTION("""COMPUTED_VALUE"""),"-")</f>
        <v>-</v>
      </c>
    </row>
    <row r="10">
      <c r="A10" t="str">
        <f>IFERROR(__xludf.DUMMYFUNCTION("""COMPUTED_VALUE"""),"#9")</f>
        <v>#9</v>
      </c>
      <c r="B10" t="str">
        <f>IFERROR(__xludf.DUMMYFUNCTION("""COMPUTED_VALUE"""),"Najat Vallaud-Belkacem")</f>
        <v>Najat Vallaud-Belkacem</v>
      </c>
      <c r="C10">
        <f>IFERROR(__xludf.DUMMYFUNCTION("""COMPUTED_VALUE"""),966689.0)</f>
        <v>966689</v>
      </c>
      <c r="D10" t="str">
        <f>IFERROR(__xludf.DUMMYFUNCTION("""COMPUTED_VALUE"""),"-")</f>
        <v>-</v>
      </c>
      <c r="E10" t="str">
        <f>IFERROR(__xludf.DUMMYFUNCTION("""COMPUTED_VALUE"""),"-")</f>
        <v>-</v>
      </c>
      <c r="F10" t="str">
        <f>IFERROR(__xludf.DUMMYFUNCTION("""COMPUTED_VALUE"""),"-")</f>
        <v>-</v>
      </c>
      <c r="G10" t="str">
        <f>IFERROR(__xludf.DUMMYFUNCTION("""COMPUTED_VALUE"""),"-")</f>
        <v>-</v>
      </c>
      <c r="H10" t="str">
        <f>IFERROR(__xludf.DUMMYFUNCTION("""COMPUTED_VALUE"""),"-")</f>
        <v>-</v>
      </c>
      <c r="I10" t="str">
        <f>IFERROR(__xludf.DUMMYFUNCTION("""COMPUTED_VALUE"""),"-")</f>
        <v>-</v>
      </c>
      <c r="J10" t="str">
        <f>IFERROR(__xludf.DUMMYFUNCTION("""COMPUTED_VALUE"""),"-")</f>
        <v>-</v>
      </c>
      <c r="K10" t="str">
        <f>IFERROR(__xludf.DUMMYFUNCTION("""COMPUTED_VALUE"""),"-")</f>
        <v>-</v>
      </c>
      <c r="L10" t="str">
        <f>IFERROR(__xludf.DUMMYFUNCTION("""COMPUTED_VALUE"""),"-")</f>
        <v>-</v>
      </c>
      <c r="M10" t="str">
        <f>IFERROR(__xludf.DUMMYFUNCTION("""COMPUTED_VALUE"""),"-")</f>
        <v>-</v>
      </c>
      <c r="O10" t="str">
        <f>IFERROR(__xludf.DUMMYFUNCTION("""COMPUTED_VALUE"""),"#9")</f>
        <v>#9</v>
      </c>
      <c r="P10" t="str">
        <f>IFERROR(__xludf.DUMMYFUNCTION("""COMPUTED_VALUE"""),"Najat Vallaud-Belkacem")</f>
        <v>Najat Vallaud-Belkacem</v>
      </c>
      <c r="Q10">
        <f>IFERROR(__xludf.DUMMYFUNCTION("""COMPUTED_VALUE"""),966689.0)</f>
        <v>966689</v>
      </c>
      <c r="R10" t="str">
        <f>IFERROR(__xludf.DUMMYFUNCTION("""COMPUTED_VALUE"""),"-")</f>
        <v>-</v>
      </c>
      <c r="S10" t="str">
        <f>IFERROR(__xludf.DUMMYFUNCTION("""COMPUTED_VALUE"""),"-")</f>
        <v>-</v>
      </c>
      <c r="T10" t="str">
        <f>IFERROR(__xludf.DUMMYFUNCTION("""COMPUTED_VALUE"""),"-")</f>
        <v>-</v>
      </c>
      <c r="U10" t="str">
        <f>IFERROR(__xludf.DUMMYFUNCTION("""COMPUTED_VALUE"""),"-")</f>
        <v>-</v>
      </c>
      <c r="V10" t="str">
        <f>IFERROR(__xludf.DUMMYFUNCTION("""COMPUTED_VALUE"""),"-")</f>
        <v>-</v>
      </c>
      <c r="W10" t="str">
        <f>IFERROR(__xludf.DUMMYFUNCTION("""COMPUTED_VALUE"""),"-")</f>
        <v>-</v>
      </c>
      <c r="X10" t="str">
        <f>IFERROR(__xludf.DUMMYFUNCTION("""COMPUTED_VALUE"""),"-")</f>
        <v>-</v>
      </c>
      <c r="Y10" t="str">
        <f>IFERROR(__xludf.DUMMYFUNCTION("""COMPUTED_VALUE"""),"-")</f>
        <v>-</v>
      </c>
      <c r="Z10" t="str">
        <f>IFERROR(__xludf.DUMMYFUNCTION("""COMPUTED_VALUE"""),"-")</f>
        <v>-</v>
      </c>
      <c r="AA10" t="str">
        <f>IFERROR(__xludf.DUMMYFUNCTION("""COMPUTED_VALUE"""),"-")</f>
        <v>-</v>
      </c>
    </row>
    <row r="11">
      <c r="A11" t="str">
        <f>IFERROR(__xludf.DUMMYFUNCTION("""COMPUTED_VALUE"""),"#10")</f>
        <v>#10</v>
      </c>
      <c r="B11" t="str">
        <f>IFERROR(__xludf.DUMMYFUNCTION("""COMPUTED_VALUE"""),"Édouard Philippe")</f>
        <v>Édouard Philippe</v>
      </c>
      <c r="C11">
        <f>IFERROR(__xludf.DUMMYFUNCTION("""COMPUTED_VALUE"""),939654.0)</f>
        <v>939654</v>
      </c>
      <c r="D11" t="str">
        <f>IFERROR(__xludf.DUMMYFUNCTION("""COMPUTED_VALUE"""),"-")</f>
        <v>-</v>
      </c>
      <c r="E11" t="str">
        <f>IFERROR(__xludf.DUMMYFUNCTION("""COMPUTED_VALUE"""),"-")</f>
        <v>-</v>
      </c>
      <c r="F11" t="str">
        <f>IFERROR(__xludf.DUMMYFUNCTION("""COMPUTED_VALUE"""),"-")</f>
        <v>-</v>
      </c>
      <c r="G11" t="str">
        <f>IFERROR(__xludf.DUMMYFUNCTION("""COMPUTED_VALUE"""),"-")</f>
        <v>-</v>
      </c>
      <c r="H11" t="str">
        <f>IFERROR(__xludf.DUMMYFUNCTION("""COMPUTED_VALUE"""),"-")</f>
        <v>-</v>
      </c>
      <c r="I11" t="str">
        <f>IFERROR(__xludf.DUMMYFUNCTION("""COMPUTED_VALUE"""),"-")</f>
        <v>-</v>
      </c>
      <c r="J11" t="str">
        <f>IFERROR(__xludf.DUMMYFUNCTION("""COMPUTED_VALUE"""),"-")</f>
        <v>-</v>
      </c>
      <c r="K11" t="str">
        <f>IFERROR(__xludf.DUMMYFUNCTION("""COMPUTED_VALUE"""),"-")</f>
        <v>-</v>
      </c>
      <c r="L11" t="str">
        <f>IFERROR(__xludf.DUMMYFUNCTION("""COMPUTED_VALUE"""),"-")</f>
        <v>-</v>
      </c>
      <c r="M11" t="str">
        <f>IFERROR(__xludf.DUMMYFUNCTION("""COMPUTED_VALUE"""),"-")</f>
        <v>-</v>
      </c>
      <c r="O11" t="str">
        <f>IFERROR(__xludf.DUMMYFUNCTION("""COMPUTED_VALUE"""),"#10")</f>
        <v>#10</v>
      </c>
      <c r="P11" t="str">
        <f>IFERROR(__xludf.DUMMYFUNCTION("""COMPUTED_VALUE"""),"Édouard Philippe")</f>
        <v>Édouard Philippe</v>
      </c>
      <c r="Q11">
        <f>IFERROR(__xludf.DUMMYFUNCTION("""COMPUTED_VALUE"""),939654.0)</f>
        <v>939654</v>
      </c>
      <c r="R11" t="str">
        <f>IFERROR(__xludf.DUMMYFUNCTION("""COMPUTED_VALUE"""),"-")</f>
        <v>-</v>
      </c>
      <c r="S11" t="str">
        <f>IFERROR(__xludf.DUMMYFUNCTION("""COMPUTED_VALUE"""),"-")</f>
        <v>-</v>
      </c>
      <c r="T11" t="str">
        <f>IFERROR(__xludf.DUMMYFUNCTION("""COMPUTED_VALUE"""),"-")</f>
        <v>-</v>
      </c>
      <c r="U11" t="str">
        <f>IFERROR(__xludf.DUMMYFUNCTION("""COMPUTED_VALUE"""),"-")</f>
        <v>-</v>
      </c>
      <c r="V11" t="str">
        <f>IFERROR(__xludf.DUMMYFUNCTION("""COMPUTED_VALUE"""),"-")</f>
        <v>-</v>
      </c>
      <c r="W11" t="str">
        <f>IFERROR(__xludf.DUMMYFUNCTION("""COMPUTED_VALUE"""),"-")</f>
        <v>-</v>
      </c>
      <c r="X11" t="str">
        <f>IFERROR(__xludf.DUMMYFUNCTION("""COMPUTED_VALUE"""),"-")</f>
        <v>-</v>
      </c>
      <c r="Y11" t="str">
        <f>IFERROR(__xludf.DUMMYFUNCTION("""COMPUTED_VALUE"""),"-")</f>
        <v>-</v>
      </c>
      <c r="Z11" t="str">
        <f>IFERROR(__xludf.DUMMYFUNCTION("""COMPUTED_VALUE"""),"-")</f>
        <v>-</v>
      </c>
      <c r="AA11" t="str">
        <f>IFERROR(__xludf.DUMMYFUNCTION("""COMPUTED_VALUE"""),"-")</f>
        <v>-</v>
      </c>
    </row>
    <row r="12">
      <c r="A12" t="str">
        <f>IFERROR(__xludf.DUMMYFUNCTION("""COMPUTED_VALUE"""),"#11")</f>
        <v>#11</v>
      </c>
      <c r="B12" t="str">
        <f>IFERROR(__xludf.DUMMYFUNCTION("""COMPUTED_VALUE"""),"Benoît Hamon")</f>
        <v>Benoît Hamon</v>
      </c>
      <c r="C12">
        <f>IFERROR(__xludf.DUMMYFUNCTION("""COMPUTED_VALUE"""),833895.0)</f>
        <v>833895</v>
      </c>
      <c r="D12" t="str">
        <f>IFERROR(__xludf.DUMMYFUNCTION("""COMPUTED_VALUE"""),"-")</f>
        <v>-</v>
      </c>
      <c r="E12" t="str">
        <f>IFERROR(__xludf.DUMMYFUNCTION("""COMPUTED_VALUE"""),"-")</f>
        <v>-</v>
      </c>
      <c r="F12" t="str">
        <f>IFERROR(__xludf.DUMMYFUNCTION("""COMPUTED_VALUE"""),"-")</f>
        <v>-</v>
      </c>
      <c r="G12" t="str">
        <f>IFERROR(__xludf.DUMMYFUNCTION("""COMPUTED_VALUE"""),"-")</f>
        <v>-</v>
      </c>
      <c r="H12" t="str">
        <f>IFERROR(__xludf.DUMMYFUNCTION("""COMPUTED_VALUE"""),"-")</f>
        <v>-</v>
      </c>
      <c r="I12" t="str">
        <f>IFERROR(__xludf.DUMMYFUNCTION("""COMPUTED_VALUE"""),"-")</f>
        <v>-</v>
      </c>
      <c r="J12" t="str">
        <f>IFERROR(__xludf.DUMMYFUNCTION("""COMPUTED_VALUE"""),"-")</f>
        <v>-</v>
      </c>
      <c r="K12" t="str">
        <f>IFERROR(__xludf.DUMMYFUNCTION("""COMPUTED_VALUE"""),"-")</f>
        <v>-</v>
      </c>
      <c r="L12" t="str">
        <f>IFERROR(__xludf.DUMMYFUNCTION("""COMPUTED_VALUE"""),"-")</f>
        <v>-</v>
      </c>
      <c r="M12" t="str">
        <f>IFERROR(__xludf.DUMMYFUNCTION("""COMPUTED_VALUE"""),"-")</f>
        <v>-</v>
      </c>
      <c r="O12" t="str">
        <f>IFERROR(__xludf.DUMMYFUNCTION("""COMPUTED_VALUE"""),"#11")</f>
        <v>#11</v>
      </c>
      <c r="P12" t="str">
        <f>IFERROR(__xludf.DUMMYFUNCTION("""COMPUTED_VALUE"""),"Benoît Hamon")</f>
        <v>Benoît Hamon</v>
      </c>
      <c r="Q12">
        <f>IFERROR(__xludf.DUMMYFUNCTION("""COMPUTED_VALUE"""),833895.0)</f>
        <v>833895</v>
      </c>
      <c r="R12" t="str">
        <f>IFERROR(__xludf.DUMMYFUNCTION("""COMPUTED_VALUE"""),"-")</f>
        <v>-</v>
      </c>
      <c r="S12" t="str">
        <f>IFERROR(__xludf.DUMMYFUNCTION("""COMPUTED_VALUE"""),"-")</f>
        <v>-</v>
      </c>
      <c r="T12" t="str">
        <f>IFERROR(__xludf.DUMMYFUNCTION("""COMPUTED_VALUE"""),"-")</f>
        <v>-</v>
      </c>
      <c r="U12" t="str">
        <f>IFERROR(__xludf.DUMMYFUNCTION("""COMPUTED_VALUE"""),"-")</f>
        <v>-</v>
      </c>
      <c r="V12" t="str">
        <f>IFERROR(__xludf.DUMMYFUNCTION("""COMPUTED_VALUE"""),"-")</f>
        <v>-</v>
      </c>
      <c r="W12" t="str">
        <f>IFERROR(__xludf.DUMMYFUNCTION("""COMPUTED_VALUE"""),"-")</f>
        <v>-</v>
      </c>
      <c r="X12" t="str">
        <f>IFERROR(__xludf.DUMMYFUNCTION("""COMPUTED_VALUE"""),"-")</f>
        <v>-</v>
      </c>
      <c r="Y12" t="str">
        <f>IFERROR(__xludf.DUMMYFUNCTION("""COMPUTED_VALUE"""),"-")</f>
        <v>-</v>
      </c>
      <c r="Z12" t="str">
        <f>IFERROR(__xludf.DUMMYFUNCTION("""COMPUTED_VALUE"""),"-")</f>
        <v>-</v>
      </c>
      <c r="AA12" t="str">
        <f>IFERROR(__xludf.DUMMYFUNCTION("""COMPUTED_VALUE"""),"-")</f>
        <v>-</v>
      </c>
    </row>
    <row r="13">
      <c r="A13" t="str">
        <f>IFERROR(__xludf.DUMMYFUNCTION("""COMPUTED_VALUE"""),"#12")</f>
        <v>#12</v>
      </c>
      <c r="B13" t="str">
        <f>IFERROR(__xludf.DUMMYFUNCTION("""COMPUTED_VALUE"""),"Christiane Taubira")</f>
        <v>Christiane Taubira</v>
      </c>
      <c r="C13">
        <f>IFERROR(__xludf.DUMMYFUNCTION("""COMPUTED_VALUE"""),826994.0)</f>
        <v>826994</v>
      </c>
      <c r="D13" t="str">
        <f>IFERROR(__xludf.DUMMYFUNCTION("""COMPUTED_VALUE"""),"-")</f>
        <v>-</v>
      </c>
      <c r="E13" t="str">
        <f>IFERROR(__xludf.DUMMYFUNCTION("""COMPUTED_VALUE"""),"-")</f>
        <v>-</v>
      </c>
      <c r="F13" t="str">
        <f>IFERROR(__xludf.DUMMYFUNCTION("""COMPUTED_VALUE"""),"-")</f>
        <v>-</v>
      </c>
      <c r="G13" t="str">
        <f>IFERROR(__xludf.DUMMYFUNCTION("""COMPUTED_VALUE"""),"-")</f>
        <v>-</v>
      </c>
      <c r="H13" t="str">
        <f>IFERROR(__xludf.DUMMYFUNCTION("""COMPUTED_VALUE"""),"-")</f>
        <v>-</v>
      </c>
      <c r="I13" t="str">
        <f>IFERROR(__xludf.DUMMYFUNCTION("""COMPUTED_VALUE"""),"-")</f>
        <v>-</v>
      </c>
      <c r="J13" t="str">
        <f>IFERROR(__xludf.DUMMYFUNCTION("""COMPUTED_VALUE"""),"-")</f>
        <v>-</v>
      </c>
      <c r="K13" t="str">
        <f>IFERROR(__xludf.DUMMYFUNCTION("""COMPUTED_VALUE"""),"-")</f>
        <v>-</v>
      </c>
      <c r="L13" t="str">
        <f>IFERROR(__xludf.DUMMYFUNCTION("""COMPUTED_VALUE"""),"-")</f>
        <v>-</v>
      </c>
      <c r="M13" t="str">
        <f>IFERROR(__xludf.DUMMYFUNCTION("""COMPUTED_VALUE"""),"-")</f>
        <v>-</v>
      </c>
      <c r="O13" t="str">
        <f>IFERROR(__xludf.DUMMYFUNCTION("""COMPUTED_VALUE"""),"#12")</f>
        <v>#12</v>
      </c>
      <c r="P13" t="str">
        <f>IFERROR(__xludf.DUMMYFUNCTION("""COMPUTED_VALUE"""),"Christiane Taubira")</f>
        <v>Christiane Taubira</v>
      </c>
      <c r="Q13">
        <f>IFERROR(__xludf.DUMMYFUNCTION("""COMPUTED_VALUE"""),826994.0)</f>
        <v>826994</v>
      </c>
      <c r="R13" t="str">
        <f>IFERROR(__xludf.DUMMYFUNCTION("""COMPUTED_VALUE"""),"-")</f>
        <v>-</v>
      </c>
      <c r="S13" t="str">
        <f>IFERROR(__xludf.DUMMYFUNCTION("""COMPUTED_VALUE"""),"-")</f>
        <v>-</v>
      </c>
      <c r="T13" t="str">
        <f>IFERROR(__xludf.DUMMYFUNCTION("""COMPUTED_VALUE"""),"-")</f>
        <v>-</v>
      </c>
      <c r="U13" t="str">
        <f>IFERROR(__xludf.DUMMYFUNCTION("""COMPUTED_VALUE"""),"-")</f>
        <v>-</v>
      </c>
      <c r="V13" t="str">
        <f>IFERROR(__xludf.DUMMYFUNCTION("""COMPUTED_VALUE"""),"-")</f>
        <v>-</v>
      </c>
      <c r="W13" t="str">
        <f>IFERROR(__xludf.DUMMYFUNCTION("""COMPUTED_VALUE"""),"-")</f>
        <v>-</v>
      </c>
      <c r="X13" t="str">
        <f>IFERROR(__xludf.DUMMYFUNCTION("""COMPUTED_VALUE"""),"-")</f>
        <v>-</v>
      </c>
      <c r="Y13" t="str">
        <f>IFERROR(__xludf.DUMMYFUNCTION("""COMPUTED_VALUE"""),"-")</f>
        <v>-</v>
      </c>
      <c r="Z13" t="str">
        <f>IFERROR(__xludf.DUMMYFUNCTION("""COMPUTED_VALUE"""),"-")</f>
        <v>-</v>
      </c>
      <c r="AA13" t="str">
        <f>IFERROR(__xludf.DUMMYFUNCTION("""COMPUTED_VALUE"""),"-")</f>
        <v>-</v>
      </c>
    </row>
    <row r="14">
      <c r="A14" t="str">
        <f>IFERROR(__xludf.DUMMYFUNCTION("""COMPUTED_VALUE"""),"#13")</f>
        <v>#13</v>
      </c>
      <c r="B14" t="str">
        <f>IFERROR(__xludf.DUMMYFUNCTION("""COMPUTED_VALUE"""),"Ségolène Royal")</f>
        <v>Ségolène Royal</v>
      </c>
      <c r="C14">
        <f>IFERROR(__xludf.DUMMYFUNCTION("""COMPUTED_VALUE"""),779790.0)</f>
        <v>779790</v>
      </c>
      <c r="D14" t="str">
        <f>IFERROR(__xludf.DUMMYFUNCTION("""COMPUTED_VALUE"""),"-")</f>
        <v>-</v>
      </c>
      <c r="E14" t="str">
        <f>IFERROR(__xludf.DUMMYFUNCTION("""COMPUTED_VALUE"""),"-")</f>
        <v>-</v>
      </c>
      <c r="F14" t="str">
        <f>IFERROR(__xludf.DUMMYFUNCTION("""COMPUTED_VALUE"""),"-")</f>
        <v>-</v>
      </c>
      <c r="G14" t="str">
        <f>IFERROR(__xludf.DUMMYFUNCTION("""COMPUTED_VALUE"""),"-")</f>
        <v>-</v>
      </c>
      <c r="H14" t="str">
        <f>IFERROR(__xludf.DUMMYFUNCTION("""COMPUTED_VALUE"""),"-")</f>
        <v>-</v>
      </c>
      <c r="I14" t="str">
        <f>IFERROR(__xludf.DUMMYFUNCTION("""COMPUTED_VALUE"""),"-")</f>
        <v>-</v>
      </c>
      <c r="J14" t="str">
        <f>IFERROR(__xludf.DUMMYFUNCTION("""COMPUTED_VALUE"""),"-")</f>
        <v>-</v>
      </c>
      <c r="K14" t="str">
        <f>IFERROR(__xludf.DUMMYFUNCTION("""COMPUTED_VALUE"""),"-")</f>
        <v>-</v>
      </c>
      <c r="L14" t="str">
        <f>IFERROR(__xludf.DUMMYFUNCTION("""COMPUTED_VALUE"""),"-")</f>
        <v>-</v>
      </c>
      <c r="M14" t="str">
        <f>IFERROR(__xludf.DUMMYFUNCTION("""COMPUTED_VALUE"""),"-")</f>
        <v>-</v>
      </c>
      <c r="O14" t="str">
        <f>IFERROR(__xludf.DUMMYFUNCTION("""COMPUTED_VALUE"""),"#13")</f>
        <v>#13</v>
      </c>
      <c r="P14" t="str">
        <f>IFERROR(__xludf.DUMMYFUNCTION("""COMPUTED_VALUE"""),"Ségolène Royal")</f>
        <v>Ségolène Royal</v>
      </c>
      <c r="Q14">
        <f>IFERROR(__xludf.DUMMYFUNCTION("""COMPUTED_VALUE"""),779790.0)</f>
        <v>779790</v>
      </c>
      <c r="R14" t="str">
        <f>IFERROR(__xludf.DUMMYFUNCTION("""COMPUTED_VALUE"""),"-")</f>
        <v>-</v>
      </c>
      <c r="S14" t="str">
        <f>IFERROR(__xludf.DUMMYFUNCTION("""COMPUTED_VALUE"""),"-")</f>
        <v>-</v>
      </c>
      <c r="T14" t="str">
        <f>IFERROR(__xludf.DUMMYFUNCTION("""COMPUTED_VALUE"""),"-")</f>
        <v>-</v>
      </c>
      <c r="U14" t="str">
        <f>IFERROR(__xludf.DUMMYFUNCTION("""COMPUTED_VALUE"""),"-")</f>
        <v>-</v>
      </c>
      <c r="V14" t="str">
        <f>IFERROR(__xludf.DUMMYFUNCTION("""COMPUTED_VALUE"""),"-")</f>
        <v>-</v>
      </c>
      <c r="W14" t="str">
        <f>IFERROR(__xludf.DUMMYFUNCTION("""COMPUTED_VALUE"""),"-")</f>
        <v>-</v>
      </c>
      <c r="X14" t="str">
        <f>IFERROR(__xludf.DUMMYFUNCTION("""COMPUTED_VALUE"""),"-")</f>
        <v>-</v>
      </c>
      <c r="Y14" t="str">
        <f>IFERROR(__xludf.DUMMYFUNCTION("""COMPUTED_VALUE"""),"-")</f>
        <v>-</v>
      </c>
      <c r="Z14" t="str">
        <f>IFERROR(__xludf.DUMMYFUNCTION("""COMPUTED_VALUE"""),"-")</f>
        <v>-</v>
      </c>
      <c r="AA14" t="str">
        <f>IFERROR(__xludf.DUMMYFUNCTION("""COMPUTED_VALUE"""),"-")</f>
        <v>-</v>
      </c>
    </row>
    <row r="15">
      <c r="A15" t="str">
        <f>IFERROR(__xludf.DUMMYFUNCTION("""COMPUTED_VALUE"""),"#14")</f>
        <v>#14</v>
      </c>
      <c r="B15" t="str">
        <f>IFERROR(__xludf.DUMMYFUNCTION("""COMPUTED_VALUE"""),"Christine Lagarde")</f>
        <v>Christine Lagarde</v>
      </c>
      <c r="C15">
        <f>IFERROR(__xludf.DUMMYFUNCTION("""COMPUTED_VALUE"""),757815.0)</f>
        <v>757815</v>
      </c>
      <c r="D15" t="str">
        <f>IFERROR(__xludf.DUMMYFUNCTION("""COMPUTED_VALUE"""),"-")</f>
        <v>-</v>
      </c>
      <c r="E15" t="str">
        <f>IFERROR(__xludf.DUMMYFUNCTION("""COMPUTED_VALUE"""),"-")</f>
        <v>-</v>
      </c>
      <c r="F15" t="str">
        <f>IFERROR(__xludf.DUMMYFUNCTION("""COMPUTED_VALUE"""),"-")</f>
        <v>-</v>
      </c>
      <c r="G15" t="str">
        <f>IFERROR(__xludf.DUMMYFUNCTION("""COMPUTED_VALUE"""),"-")</f>
        <v>-</v>
      </c>
      <c r="H15" t="str">
        <f>IFERROR(__xludf.DUMMYFUNCTION("""COMPUTED_VALUE"""),"-")</f>
        <v>-</v>
      </c>
      <c r="I15" t="str">
        <f>IFERROR(__xludf.DUMMYFUNCTION("""COMPUTED_VALUE"""),"-")</f>
        <v>-</v>
      </c>
      <c r="J15" t="str">
        <f>IFERROR(__xludf.DUMMYFUNCTION("""COMPUTED_VALUE"""),"-")</f>
        <v>-</v>
      </c>
      <c r="K15" t="str">
        <f>IFERROR(__xludf.DUMMYFUNCTION("""COMPUTED_VALUE"""),"-")</f>
        <v>-</v>
      </c>
      <c r="L15" t="str">
        <f>IFERROR(__xludf.DUMMYFUNCTION("""COMPUTED_VALUE"""),"-")</f>
        <v>-</v>
      </c>
      <c r="M15" t="str">
        <f>IFERROR(__xludf.DUMMYFUNCTION("""COMPUTED_VALUE"""),"-")</f>
        <v>-</v>
      </c>
      <c r="O15" t="str">
        <f>IFERROR(__xludf.DUMMYFUNCTION("""COMPUTED_VALUE"""),"#14")</f>
        <v>#14</v>
      </c>
      <c r="P15" t="str">
        <f>IFERROR(__xludf.DUMMYFUNCTION("""COMPUTED_VALUE"""),"Christine Lagarde")</f>
        <v>Christine Lagarde</v>
      </c>
      <c r="Q15">
        <f>IFERROR(__xludf.DUMMYFUNCTION("""COMPUTED_VALUE"""),757815.0)</f>
        <v>757815</v>
      </c>
      <c r="R15" t="str">
        <f>IFERROR(__xludf.DUMMYFUNCTION("""COMPUTED_VALUE"""),"-")</f>
        <v>-</v>
      </c>
      <c r="S15" t="str">
        <f>IFERROR(__xludf.DUMMYFUNCTION("""COMPUTED_VALUE"""),"-")</f>
        <v>-</v>
      </c>
      <c r="T15" t="str">
        <f>IFERROR(__xludf.DUMMYFUNCTION("""COMPUTED_VALUE"""),"-")</f>
        <v>-</v>
      </c>
      <c r="U15" t="str">
        <f>IFERROR(__xludf.DUMMYFUNCTION("""COMPUTED_VALUE"""),"-")</f>
        <v>-</v>
      </c>
      <c r="V15" t="str">
        <f>IFERROR(__xludf.DUMMYFUNCTION("""COMPUTED_VALUE"""),"-")</f>
        <v>-</v>
      </c>
      <c r="W15" t="str">
        <f>IFERROR(__xludf.DUMMYFUNCTION("""COMPUTED_VALUE"""),"-")</f>
        <v>-</v>
      </c>
      <c r="X15" t="str">
        <f>IFERROR(__xludf.DUMMYFUNCTION("""COMPUTED_VALUE"""),"-")</f>
        <v>-</v>
      </c>
      <c r="Y15" t="str">
        <f>IFERROR(__xludf.DUMMYFUNCTION("""COMPUTED_VALUE"""),"-")</f>
        <v>-</v>
      </c>
      <c r="Z15" t="str">
        <f>IFERROR(__xludf.DUMMYFUNCTION("""COMPUTED_VALUE"""),"-")</f>
        <v>-</v>
      </c>
      <c r="AA15" t="str">
        <f>IFERROR(__xludf.DUMMYFUNCTION("""COMPUTED_VALUE"""),"-")</f>
        <v>-</v>
      </c>
    </row>
    <row r="16">
      <c r="A16" t="str">
        <f>IFERROR(__xludf.DUMMYFUNCTION("""COMPUTED_VALUE"""),"#15")</f>
        <v>#15</v>
      </c>
      <c r="B16" t="str">
        <f>IFERROR(__xludf.DUMMYFUNCTION("""COMPUTED_VALUE"""),"Nathalie Kosciusko Morizet")</f>
        <v>Nathalie Kosciusko Morizet</v>
      </c>
      <c r="C16">
        <f>IFERROR(__xludf.DUMMYFUNCTION("""COMPUTED_VALUE"""),730143.0)</f>
        <v>730143</v>
      </c>
      <c r="D16" t="str">
        <f>IFERROR(__xludf.DUMMYFUNCTION("""COMPUTED_VALUE"""),"-")</f>
        <v>-</v>
      </c>
      <c r="E16" t="str">
        <f>IFERROR(__xludf.DUMMYFUNCTION("""COMPUTED_VALUE"""),"-")</f>
        <v>-</v>
      </c>
      <c r="F16" t="str">
        <f>IFERROR(__xludf.DUMMYFUNCTION("""COMPUTED_VALUE"""),"-")</f>
        <v>-</v>
      </c>
      <c r="G16" t="str">
        <f>IFERROR(__xludf.DUMMYFUNCTION("""COMPUTED_VALUE"""),"-")</f>
        <v>-</v>
      </c>
      <c r="H16" t="str">
        <f>IFERROR(__xludf.DUMMYFUNCTION("""COMPUTED_VALUE"""),"-")</f>
        <v>-</v>
      </c>
      <c r="I16" t="str">
        <f>IFERROR(__xludf.DUMMYFUNCTION("""COMPUTED_VALUE"""),"-")</f>
        <v>-</v>
      </c>
      <c r="J16" t="str">
        <f>IFERROR(__xludf.DUMMYFUNCTION("""COMPUTED_VALUE"""),"-")</f>
        <v>-</v>
      </c>
      <c r="K16" t="str">
        <f>IFERROR(__xludf.DUMMYFUNCTION("""COMPUTED_VALUE"""),"-")</f>
        <v>-</v>
      </c>
      <c r="L16" t="str">
        <f>IFERROR(__xludf.DUMMYFUNCTION("""COMPUTED_VALUE"""),"-")</f>
        <v>-</v>
      </c>
      <c r="M16" t="str">
        <f>IFERROR(__xludf.DUMMYFUNCTION("""COMPUTED_VALUE"""),"-")</f>
        <v>-</v>
      </c>
      <c r="O16" t="str">
        <f>IFERROR(__xludf.DUMMYFUNCTION("""COMPUTED_VALUE"""),"#15")</f>
        <v>#15</v>
      </c>
      <c r="P16" t="str">
        <f>IFERROR(__xludf.DUMMYFUNCTION("""COMPUTED_VALUE"""),"Nathalie Kosciusko Morizet")</f>
        <v>Nathalie Kosciusko Morizet</v>
      </c>
      <c r="Q16">
        <f>IFERROR(__xludf.DUMMYFUNCTION("""COMPUTED_VALUE"""),730143.0)</f>
        <v>730143</v>
      </c>
      <c r="R16" t="str">
        <f>IFERROR(__xludf.DUMMYFUNCTION("""COMPUTED_VALUE"""),"-")</f>
        <v>-</v>
      </c>
      <c r="S16" t="str">
        <f>IFERROR(__xludf.DUMMYFUNCTION("""COMPUTED_VALUE"""),"-")</f>
        <v>-</v>
      </c>
      <c r="T16" t="str">
        <f>IFERROR(__xludf.DUMMYFUNCTION("""COMPUTED_VALUE"""),"-")</f>
        <v>-</v>
      </c>
      <c r="U16" t="str">
        <f>IFERROR(__xludf.DUMMYFUNCTION("""COMPUTED_VALUE"""),"-")</f>
        <v>-</v>
      </c>
      <c r="V16" t="str">
        <f>IFERROR(__xludf.DUMMYFUNCTION("""COMPUTED_VALUE"""),"-")</f>
        <v>-</v>
      </c>
      <c r="W16" t="str">
        <f>IFERROR(__xludf.DUMMYFUNCTION("""COMPUTED_VALUE"""),"-")</f>
        <v>-</v>
      </c>
      <c r="X16" t="str">
        <f>IFERROR(__xludf.DUMMYFUNCTION("""COMPUTED_VALUE"""),"-")</f>
        <v>-</v>
      </c>
      <c r="Y16" t="str">
        <f>IFERROR(__xludf.DUMMYFUNCTION("""COMPUTED_VALUE"""),"-")</f>
        <v>-</v>
      </c>
      <c r="Z16" t="str">
        <f>IFERROR(__xludf.DUMMYFUNCTION("""COMPUTED_VALUE"""),"-")</f>
        <v>-</v>
      </c>
      <c r="AA16" t="str">
        <f>IFERROR(__xludf.DUMMYFUNCTION("""COMPUTED_VALUE"""),"-")</f>
        <v>-</v>
      </c>
    </row>
    <row r="17">
      <c r="A17" t="str">
        <f>IFERROR(__xludf.DUMMYFUNCTION("""COMPUTED_VALUE"""),"#16")</f>
        <v>#16</v>
      </c>
      <c r="B17" t="str">
        <f>IFERROR(__xludf.DUMMYFUNCTION("""COMPUTED_VALUE"""),"François Bayrou")</f>
        <v>François Bayrou</v>
      </c>
      <c r="C17">
        <f>IFERROR(__xludf.DUMMYFUNCTION("""COMPUTED_VALUE"""),683433.0)</f>
        <v>683433</v>
      </c>
      <c r="D17" t="str">
        <f>IFERROR(__xludf.DUMMYFUNCTION("""COMPUTED_VALUE"""),"-")</f>
        <v>-</v>
      </c>
      <c r="E17" t="str">
        <f>IFERROR(__xludf.DUMMYFUNCTION("""COMPUTED_VALUE"""),"-")</f>
        <v>-</v>
      </c>
      <c r="F17" t="str">
        <f>IFERROR(__xludf.DUMMYFUNCTION("""COMPUTED_VALUE"""),"-")</f>
        <v>-</v>
      </c>
      <c r="G17" t="str">
        <f>IFERROR(__xludf.DUMMYFUNCTION("""COMPUTED_VALUE"""),"-")</f>
        <v>-</v>
      </c>
      <c r="H17" t="str">
        <f>IFERROR(__xludf.DUMMYFUNCTION("""COMPUTED_VALUE"""),"-")</f>
        <v>-</v>
      </c>
      <c r="I17" t="str">
        <f>IFERROR(__xludf.DUMMYFUNCTION("""COMPUTED_VALUE"""),"-")</f>
        <v>-</v>
      </c>
      <c r="J17" t="str">
        <f>IFERROR(__xludf.DUMMYFUNCTION("""COMPUTED_VALUE"""),"-")</f>
        <v>-</v>
      </c>
      <c r="K17" t="str">
        <f>IFERROR(__xludf.DUMMYFUNCTION("""COMPUTED_VALUE"""),"-")</f>
        <v>-</v>
      </c>
      <c r="L17" t="str">
        <f>IFERROR(__xludf.DUMMYFUNCTION("""COMPUTED_VALUE"""),"-")</f>
        <v>-</v>
      </c>
      <c r="M17" t="str">
        <f>IFERROR(__xludf.DUMMYFUNCTION("""COMPUTED_VALUE"""),"-")</f>
        <v>-</v>
      </c>
      <c r="O17" t="str">
        <f>IFERROR(__xludf.DUMMYFUNCTION("""COMPUTED_VALUE"""),"#16")</f>
        <v>#16</v>
      </c>
      <c r="P17" t="str">
        <f>IFERROR(__xludf.DUMMYFUNCTION("""COMPUTED_VALUE"""),"François Bayrou")</f>
        <v>François Bayrou</v>
      </c>
      <c r="Q17">
        <f>IFERROR(__xludf.DUMMYFUNCTION("""COMPUTED_VALUE"""),683433.0)</f>
        <v>683433</v>
      </c>
      <c r="R17" t="str">
        <f>IFERROR(__xludf.DUMMYFUNCTION("""COMPUTED_VALUE"""),"-")</f>
        <v>-</v>
      </c>
      <c r="S17" t="str">
        <f>IFERROR(__xludf.DUMMYFUNCTION("""COMPUTED_VALUE"""),"-")</f>
        <v>-</v>
      </c>
      <c r="T17" t="str">
        <f>IFERROR(__xludf.DUMMYFUNCTION("""COMPUTED_VALUE"""),"-")</f>
        <v>-</v>
      </c>
      <c r="U17" t="str">
        <f>IFERROR(__xludf.DUMMYFUNCTION("""COMPUTED_VALUE"""),"-")</f>
        <v>-</v>
      </c>
      <c r="V17" t="str">
        <f>IFERROR(__xludf.DUMMYFUNCTION("""COMPUTED_VALUE"""),"-")</f>
        <v>-</v>
      </c>
      <c r="W17" t="str">
        <f>IFERROR(__xludf.DUMMYFUNCTION("""COMPUTED_VALUE"""),"-")</f>
        <v>-</v>
      </c>
      <c r="X17" t="str">
        <f>IFERROR(__xludf.DUMMYFUNCTION("""COMPUTED_VALUE"""),"-")</f>
        <v>-</v>
      </c>
      <c r="Y17" t="str">
        <f>IFERROR(__xludf.DUMMYFUNCTION("""COMPUTED_VALUE"""),"-")</f>
        <v>-</v>
      </c>
      <c r="Z17" t="str">
        <f>IFERROR(__xludf.DUMMYFUNCTION("""COMPUTED_VALUE"""),"-")</f>
        <v>-</v>
      </c>
      <c r="AA17" t="str">
        <f>IFERROR(__xludf.DUMMYFUNCTION("""COMPUTED_VALUE"""),"-")</f>
        <v>-</v>
      </c>
    </row>
    <row r="18">
      <c r="A18" t="str">
        <f>IFERROR(__xludf.DUMMYFUNCTION("""COMPUTED_VALUE"""),"#17")</f>
        <v>#17</v>
      </c>
      <c r="B18" t="str">
        <f>IFERROR(__xludf.DUMMYFUNCTION("""COMPUTED_VALUE"""),"Bruno Le Maire")</f>
        <v>Bruno Le Maire</v>
      </c>
      <c r="C18">
        <f>IFERROR(__xludf.DUMMYFUNCTION("""COMPUTED_VALUE"""),678915.0)</f>
        <v>678915</v>
      </c>
      <c r="D18" t="str">
        <f>IFERROR(__xludf.DUMMYFUNCTION("""COMPUTED_VALUE"""),"-")</f>
        <v>-</v>
      </c>
      <c r="E18" t="str">
        <f>IFERROR(__xludf.DUMMYFUNCTION("""COMPUTED_VALUE"""),"-")</f>
        <v>-</v>
      </c>
      <c r="F18" t="str">
        <f>IFERROR(__xludf.DUMMYFUNCTION("""COMPUTED_VALUE"""),"-")</f>
        <v>-</v>
      </c>
      <c r="G18" t="str">
        <f>IFERROR(__xludf.DUMMYFUNCTION("""COMPUTED_VALUE"""),"-")</f>
        <v>-</v>
      </c>
      <c r="H18" t="str">
        <f>IFERROR(__xludf.DUMMYFUNCTION("""COMPUTED_VALUE"""),"-")</f>
        <v>-</v>
      </c>
      <c r="I18" t="str">
        <f>IFERROR(__xludf.DUMMYFUNCTION("""COMPUTED_VALUE"""),"-")</f>
        <v>-</v>
      </c>
      <c r="J18" t="str">
        <f>IFERROR(__xludf.DUMMYFUNCTION("""COMPUTED_VALUE"""),"-")</f>
        <v>-</v>
      </c>
      <c r="K18" t="str">
        <f>IFERROR(__xludf.DUMMYFUNCTION("""COMPUTED_VALUE"""),"-")</f>
        <v>-</v>
      </c>
      <c r="L18" t="str">
        <f>IFERROR(__xludf.DUMMYFUNCTION("""COMPUTED_VALUE"""),"-")</f>
        <v>-</v>
      </c>
      <c r="M18" t="str">
        <f>IFERROR(__xludf.DUMMYFUNCTION("""COMPUTED_VALUE"""),"-")</f>
        <v>-</v>
      </c>
      <c r="O18" t="str">
        <f>IFERROR(__xludf.DUMMYFUNCTION("""COMPUTED_VALUE"""),"#17")</f>
        <v>#17</v>
      </c>
      <c r="P18" t="str">
        <f>IFERROR(__xludf.DUMMYFUNCTION("""COMPUTED_VALUE"""),"Bruno Le Maire")</f>
        <v>Bruno Le Maire</v>
      </c>
      <c r="Q18">
        <f>IFERROR(__xludf.DUMMYFUNCTION("""COMPUTED_VALUE"""),678915.0)</f>
        <v>678915</v>
      </c>
      <c r="R18" t="str">
        <f>IFERROR(__xludf.DUMMYFUNCTION("""COMPUTED_VALUE"""),"-")</f>
        <v>-</v>
      </c>
      <c r="S18" t="str">
        <f>IFERROR(__xludf.DUMMYFUNCTION("""COMPUTED_VALUE"""),"-")</f>
        <v>-</v>
      </c>
      <c r="T18" t="str">
        <f>IFERROR(__xludf.DUMMYFUNCTION("""COMPUTED_VALUE"""),"-")</f>
        <v>-</v>
      </c>
      <c r="U18" t="str">
        <f>IFERROR(__xludf.DUMMYFUNCTION("""COMPUTED_VALUE"""),"-")</f>
        <v>-</v>
      </c>
      <c r="V18" t="str">
        <f>IFERROR(__xludf.DUMMYFUNCTION("""COMPUTED_VALUE"""),"-")</f>
        <v>-</v>
      </c>
      <c r="W18" t="str">
        <f>IFERROR(__xludf.DUMMYFUNCTION("""COMPUTED_VALUE"""),"-")</f>
        <v>-</v>
      </c>
      <c r="X18" t="str">
        <f>IFERROR(__xludf.DUMMYFUNCTION("""COMPUTED_VALUE"""),"-")</f>
        <v>-</v>
      </c>
      <c r="Y18" t="str">
        <f>IFERROR(__xludf.DUMMYFUNCTION("""COMPUTED_VALUE"""),"-")</f>
        <v>-</v>
      </c>
      <c r="Z18" t="str">
        <f>IFERROR(__xludf.DUMMYFUNCTION("""COMPUTED_VALUE"""),"-")</f>
        <v>-</v>
      </c>
      <c r="AA18" t="str">
        <f>IFERROR(__xludf.DUMMYFUNCTION("""COMPUTED_VALUE"""),"-")</f>
        <v>-</v>
      </c>
    </row>
    <row r="19">
      <c r="A19" t="str">
        <f>IFERROR(__xludf.DUMMYFUNCTION("""COMPUTED_VALUE"""),"#18")</f>
        <v>#18</v>
      </c>
      <c r="B19" t="str">
        <f>IFERROR(__xludf.DUMMYFUNCTION("""COMPUTED_VALUE"""),"François Fillon")</f>
        <v>François Fillon</v>
      </c>
      <c r="C19">
        <f>IFERROR(__xludf.DUMMYFUNCTION("""COMPUTED_VALUE"""),614833.0)</f>
        <v>614833</v>
      </c>
      <c r="D19" t="str">
        <f>IFERROR(__xludf.DUMMYFUNCTION("""COMPUTED_VALUE"""),"-")</f>
        <v>-</v>
      </c>
      <c r="E19" t="str">
        <f>IFERROR(__xludf.DUMMYFUNCTION("""COMPUTED_VALUE"""),"-")</f>
        <v>-</v>
      </c>
      <c r="F19" t="str">
        <f>IFERROR(__xludf.DUMMYFUNCTION("""COMPUTED_VALUE"""),"-")</f>
        <v>-</v>
      </c>
      <c r="G19" t="str">
        <f>IFERROR(__xludf.DUMMYFUNCTION("""COMPUTED_VALUE"""),"-")</f>
        <v>-</v>
      </c>
      <c r="H19" t="str">
        <f>IFERROR(__xludf.DUMMYFUNCTION("""COMPUTED_VALUE"""),"-")</f>
        <v>-</v>
      </c>
      <c r="I19" t="str">
        <f>IFERROR(__xludf.DUMMYFUNCTION("""COMPUTED_VALUE"""),"-")</f>
        <v>-</v>
      </c>
      <c r="J19" t="str">
        <f>IFERROR(__xludf.DUMMYFUNCTION("""COMPUTED_VALUE"""),"-")</f>
        <v>-</v>
      </c>
      <c r="K19" t="str">
        <f>IFERROR(__xludf.DUMMYFUNCTION("""COMPUTED_VALUE"""),"-")</f>
        <v>-</v>
      </c>
      <c r="L19" t="str">
        <f>IFERROR(__xludf.DUMMYFUNCTION("""COMPUTED_VALUE"""),"-")</f>
        <v>-</v>
      </c>
      <c r="M19" t="str">
        <f>IFERROR(__xludf.DUMMYFUNCTION("""COMPUTED_VALUE"""),"-")</f>
        <v>-</v>
      </c>
      <c r="O19" t="str">
        <f>IFERROR(__xludf.DUMMYFUNCTION("""COMPUTED_VALUE"""),"#18")</f>
        <v>#18</v>
      </c>
      <c r="P19" t="str">
        <f>IFERROR(__xludf.DUMMYFUNCTION("""COMPUTED_VALUE"""),"François Fillon")</f>
        <v>François Fillon</v>
      </c>
      <c r="Q19">
        <f>IFERROR(__xludf.DUMMYFUNCTION("""COMPUTED_VALUE"""),614833.0)</f>
        <v>614833</v>
      </c>
      <c r="R19" t="str">
        <f>IFERROR(__xludf.DUMMYFUNCTION("""COMPUTED_VALUE"""),"-")</f>
        <v>-</v>
      </c>
      <c r="S19" t="str">
        <f>IFERROR(__xludf.DUMMYFUNCTION("""COMPUTED_VALUE"""),"-")</f>
        <v>-</v>
      </c>
      <c r="T19" t="str">
        <f>IFERROR(__xludf.DUMMYFUNCTION("""COMPUTED_VALUE"""),"-")</f>
        <v>-</v>
      </c>
      <c r="U19" t="str">
        <f>IFERROR(__xludf.DUMMYFUNCTION("""COMPUTED_VALUE"""),"-")</f>
        <v>-</v>
      </c>
      <c r="V19" t="str">
        <f>IFERROR(__xludf.DUMMYFUNCTION("""COMPUTED_VALUE"""),"-")</f>
        <v>-</v>
      </c>
      <c r="W19" t="str">
        <f>IFERROR(__xludf.DUMMYFUNCTION("""COMPUTED_VALUE"""),"-")</f>
        <v>-</v>
      </c>
      <c r="X19" t="str">
        <f>IFERROR(__xludf.DUMMYFUNCTION("""COMPUTED_VALUE"""),"-")</f>
        <v>-</v>
      </c>
      <c r="Y19" t="str">
        <f>IFERROR(__xludf.DUMMYFUNCTION("""COMPUTED_VALUE"""),"-")</f>
        <v>-</v>
      </c>
      <c r="Z19" t="str">
        <f>IFERROR(__xludf.DUMMYFUNCTION("""COMPUTED_VALUE"""),"-")</f>
        <v>-</v>
      </c>
      <c r="AA19" t="str">
        <f>IFERROR(__xludf.DUMMYFUNCTION("""COMPUTED_VALUE"""),"-")</f>
        <v>-</v>
      </c>
    </row>
    <row r="20">
      <c r="A20" t="str">
        <f>IFERROR(__xludf.DUMMYFUNCTION("""COMPUTED_VALUE"""),"#19")</f>
        <v>#19</v>
      </c>
      <c r="B20" t="str">
        <f>IFERROR(__xludf.DUMMYFUNCTION("""COMPUTED_VALUE"""),"Fleur Pellerin")</f>
        <v>Fleur Pellerin</v>
      </c>
      <c r="C20">
        <f>IFERROR(__xludf.DUMMYFUNCTION("""COMPUTED_VALUE"""),614560.0)</f>
        <v>614560</v>
      </c>
      <c r="D20" t="str">
        <f>IFERROR(__xludf.DUMMYFUNCTION("""COMPUTED_VALUE"""),"-")</f>
        <v>-</v>
      </c>
      <c r="E20" t="str">
        <f>IFERROR(__xludf.DUMMYFUNCTION("""COMPUTED_VALUE"""),"-")</f>
        <v>-</v>
      </c>
      <c r="F20" t="str">
        <f>IFERROR(__xludf.DUMMYFUNCTION("""COMPUTED_VALUE"""),"-")</f>
        <v>-</v>
      </c>
      <c r="G20" t="str">
        <f>IFERROR(__xludf.DUMMYFUNCTION("""COMPUTED_VALUE"""),"-")</f>
        <v>-</v>
      </c>
      <c r="H20" t="str">
        <f>IFERROR(__xludf.DUMMYFUNCTION("""COMPUTED_VALUE"""),"-")</f>
        <v>-</v>
      </c>
      <c r="I20" t="str">
        <f>IFERROR(__xludf.DUMMYFUNCTION("""COMPUTED_VALUE"""),"-")</f>
        <v>-</v>
      </c>
      <c r="J20" t="str">
        <f>IFERROR(__xludf.DUMMYFUNCTION("""COMPUTED_VALUE"""),"-")</f>
        <v>-</v>
      </c>
      <c r="K20" t="str">
        <f>IFERROR(__xludf.DUMMYFUNCTION("""COMPUTED_VALUE"""),"-")</f>
        <v>-</v>
      </c>
      <c r="L20" t="str">
        <f>IFERROR(__xludf.DUMMYFUNCTION("""COMPUTED_VALUE"""),"-")</f>
        <v>-</v>
      </c>
      <c r="M20" t="str">
        <f>IFERROR(__xludf.DUMMYFUNCTION("""COMPUTED_VALUE"""),"-")</f>
        <v>-</v>
      </c>
      <c r="O20" t="str">
        <f>IFERROR(__xludf.DUMMYFUNCTION("""COMPUTED_VALUE"""),"#19")</f>
        <v>#19</v>
      </c>
      <c r="P20" t="str">
        <f>IFERROR(__xludf.DUMMYFUNCTION("""COMPUTED_VALUE"""),"Fleur Pellerin")</f>
        <v>Fleur Pellerin</v>
      </c>
      <c r="Q20">
        <f>IFERROR(__xludf.DUMMYFUNCTION("""COMPUTED_VALUE"""),614560.0)</f>
        <v>614560</v>
      </c>
      <c r="R20" t="str">
        <f>IFERROR(__xludf.DUMMYFUNCTION("""COMPUTED_VALUE"""),"-")</f>
        <v>-</v>
      </c>
      <c r="S20" t="str">
        <f>IFERROR(__xludf.DUMMYFUNCTION("""COMPUTED_VALUE"""),"-")</f>
        <v>-</v>
      </c>
      <c r="T20" t="str">
        <f>IFERROR(__xludf.DUMMYFUNCTION("""COMPUTED_VALUE"""),"-")</f>
        <v>-</v>
      </c>
      <c r="U20" t="str">
        <f>IFERROR(__xludf.DUMMYFUNCTION("""COMPUTED_VALUE"""),"-")</f>
        <v>-</v>
      </c>
      <c r="V20" t="str">
        <f>IFERROR(__xludf.DUMMYFUNCTION("""COMPUTED_VALUE"""),"-")</f>
        <v>-</v>
      </c>
      <c r="W20" t="str">
        <f>IFERROR(__xludf.DUMMYFUNCTION("""COMPUTED_VALUE"""),"-")</f>
        <v>-</v>
      </c>
      <c r="X20" t="str">
        <f>IFERROR(__xludf.DUMMYFUNCTION("""COMPUTED_VALUE"""),"-")</f>
        <v>-</v>
      </c>
      <c r="Y20" t="str">
        <f>IFERROR(__xludf.DUMMYFUNCTION("""COMPUTED_VALUE"""),"-")</f>
        <v>-</v>
      </c>
      <c r="Z20" t="str">
        <f>IFERROR(__xludf.DUMMYFUNCTION("""COMPUTED_VALUE"""),"-")</f>
        <v>-</v>
      </c>
      <c r="AA20" t="str">
        <f>IFERROR(__xludf.DUMMYFUNCTION("""COMPUTED_VALUE"""),"-")</f>
        <v>-</v>
      </c>
    </row>
    <row r="21">
      <c r="A21" t="str">
        <f>IFERROR(__xludf.DUMMYFUNCTION("""COMPUTED_VALUE"""),"#20")</f>
        <v>#20</v>
      </c>
      <c r="B21" t="str">
        <f>IFERROR(__xludf.DUMMYFUNCTION("""COMPUTED_VALUE"""),"Marion Maréchal")</f>
        <v>Marion Maréchal</v>
      </c>
      <c r="C21">
        <f>IFERROR(__xludf.DUMMYFUNCTION("""COMPUTED_VALUE"""),526777.0)</f>
        <v>526777</v>
      </c>
      <c r="D21" t="str">
        <f>IFERROR(__xludf.DUMMYFUNCTION("""COMPUTED_VALUE"""),"-")</f>
        <v>-</v>
      </c>
      <c r="E21" t="str">
        <f>IFERROR(__xludf.DUMMYFUNCTION("""COMPUTED_VALUE"""),"-")</f>
        <v>-</v>
      </c>
      <c r="F21" t="str">
        <f>IFERROR(__xludf.DUMMYFUNCTION("""COMPUTED_VALUE"""),"-")</f>
        <v>-</v>
      </c>
      <c r="G21" t="str">
        <f>IFERROR(__xludf.DUMMYFUNCTION("""COMPUTED_VALUE"""),"-")</f>
        <v>-</v>
      </c>
      <c r="H21" t="str">
        <f>IFERROR(__xludf.DUMMYFUNCTION("""COMPUTED_VALUE"""),"-")</f>
        <v>-</v>
      </c>
      <c r="I21" t="str">
        <f>IFERROR(__xludf.DUMMYFUNCTION("""COMPUTED_VALUE"""),"-")</f>
        <v>-</v>
      </c>
      <c r="J21" t="str">
        <f>IFERROR(__xludf.DUMMYFUNCTION("""COMPUTED_VALUE"""),"-")</f>
        <v>-</v>
      </c>
      <c r="K21" t="str">
        <f>IFERROR(__xludf.DUMMYFUNCTION("""COMPUTED_VALUE"""),"-")</f>
        <v>-</v>
      </c>
      <c r="L21" t="str">
        <f>IFERROR(__xludf.DUMMYFUNCTION("""COMPUTED_VALUE"""),"-")</f>
        <v>-</v>
      </c>
      <c r="M21" t="str">
        <f>IFERROR(__xludf.DUMMYFUNCTION("""COMPUTED_VALUE"""),"-")</f>
        <v>-</v>
      </c>
      <c r="O21" t="str">
        <f>IFERROR(__xludf.DUMMYFUNCTION("""COMPUTED_VALUE"""),"#20")</f>
        <v>#20</v>
      </c>
      <c r="P21" t="str">
        <f>IFERROR(__xludf.DUMMYFUNCTION("""COMPUTED_VALUE"""),"Marion Maréchal")</f>
        <v>Marion Maréchal</v>
      </c>
      <c r="Q21">
        <f>IFERROR(__xludf.DUMMYFUNCTION("""COMPUTED_VALUE"""),526777.0)</f>
        <v>526777</v>
      </c>
      <c r="R21" t="str">
        <f>IFERROR(__xludf.DUMMYFUNCTION("""COMPUTED_VALUE"""),"-")</f>
        <v>-</v>
      </c>
      <c r="S21" t="str">
        <f>IFERROR(__xludf.DUMMYFUNCTION("""COMPUTED_VALUE"""),"-")</f>
        <v>-</v>
      </c>
      <c r="T21" t="str">
        <f>IFERROR(__xludf.DUMMYFUNCTION("""COMPUTED_VALUE"""),"-")</f>
        <v>-</v>
      </c>
      <c r="U21" t="str">
        <f>IFERROR(__xludf.DUMMYFUNCTION("""COMPUTED_VALUE"""),"-")</f>
        <v>-</v>
      </c>
      <c r="V21" t="str">
        <f>IFERROR(__xludf.DUMMYFUNCTION("""COMPUTED_VALUE"""),"-")</f>
        <v>-</v>
      </c>
      <c r="W21" t="str">
        <f>IFERROR(__xludf.DUMMYFUNCTION("""COMPUTED_VALUE"""),"-")</f>
        <v>-</v>
      </c>
      <c r="X21" t="str">
        <f>IFERROR(__xludf.DUMMYFUNCTION("""COMPUTED_VALUE"""),"-")</f>
        <v>-</v>
      </c>
      <c r="Y21" t="str">
        <f>IFERROR(__xludf.DUMMYFUNCTION("""COMPUTED_VALUE"""),"-")</f>
        <v>-</v>
      </c>
      <c r="Z21" t="str">
        <f>IFERROR(__xludf.DUMMYFUNCTION("""COMPUTED_VALUE"""),"-")</f>
        <v>-</v>
      </c>
      <c r="AA21" t="str">
        <f>IFERROR(__xludf.DUMMYFUNCTION("""COMPUTED_VALUE"""),"-")</f>
        <v>-</v>
      </c>
    </row>
    <row r="22">
      <c r="A22" t="str">
        <f>IFERROR(__xludf.DUMMYFUNCTION("""COMPUTED_VALUE"""),"#21")</f>
        <v>#21</v>
      </c>
      <c r="B22" t="str">
        <f>IFERROR(__xludf.DUMMYFUNCTION("""COMPUTED_VALUE"""),"Valérie Pécresse")</f>
        <v>Valérie Pécresse</v>
      </c>
      <c r="C22">
        <f>IFERROR(__xludf.DUMMYFUNCTION("""COMPUTED_VALUE"""),467610.0)</f>
        <v>467610</v>
      </c>
      <c r="D22" t="str">
        <f>IFERROR(__xludf.DUMMYFUNCTION("""COMPUTED_VALUE"""),"-")</f>
        <v>-</v>
      </c>
      <c r="E22" t="str">
        <f>IFERROR(__xludf.DUMMYFUNCTION("""COMPUTED_VALUE"""),"-")</f>
        <v>-</v>
      </c>
      <c r="F22" t="str">
        <f>IFERROR(__xludf.DUMMYFUNCTION("""COMPUTED_VALUE"""),"-")</f>
        <v>-</v>
      </c>
      <c r="G22" t="str">
        <f>IFERROR(__xludf.DUMMYFUNCTION("""COMPUTED_VALUE"""),"-")</f>
        <v>-</v>
      </c>
      <c r="H22" t="str">
        <f>IFERROR(__xludf.DUMMYFUNCTION("""COMPUTED_VALUE"""),"-")</f>
        <v>-</v>
      </c>
      <c r="I22" t="str">
        <f>IFERROR(__xludf.DUMMYFUNCTION("""COMPUTED_VALUE"""),"-")</f>
        <v>-</v>
      </c>
      <c r="J22" t="str">
        <f>IFERROR(__xludf.DUMMYFUNCTION("""COMPUTED_VALUE"""),"-")</f>
        <v>-</v>
      </c>
      <c r="K22" t="str">
        <f>IFERROR(__xludf.DUMMYFUNCTION("""COMPUTED_VALUE"""),"-")</f>
        <v>-</v>
      </c>
      <c r="L22" t="str">
        <f>IFERROR(__xludf.DUMMYFUNCTION("""COMPUTED_VALUE"""),"-")</f>
        <v>-</v>
      </c>
      <c r="M22" t="str">
        <f>IFERROR(__xludf.DUMMYFUNCTION("""COMPUTED_VALUE"""),"-")</f>
        <v>-</v>
      </c>
      <c r="O22" t="str">
        <f>IFERROR(__xludf.DUMMYFUNCTION("""COMPUTED_VALUE"""),"#21")</f>
        <v>#21</v>
      </c>
      <c r="P22" t="str">
        <f>IFERROR(__xludf.DUMMYFUNCTION("""COMPUTED_VALUE"""),"Valérie Pécresse")</f>
        <v>Valérie Pécresse</v>
      </c>
      <c r="Q22">
        <f>IFERROR(__xludf.DUMMYFUNCTION("""COMPUTED_VALUE"""),467610.0)</f>
        <v>467610</v>
      </c>
      <c r="R22" t="str">
        <f>IFERROR(__xludf.DUMMYFUNCTION("""COMPUTED_VALUE"""),"-")</f>
        <v>-</v>
      </c>
      <c r="S22" t="str">
        <f>IFERROR(__xludf.DUMMYFUNCTION("""COMPUTED_VALUE"""),"-")</f>
        <v>-</v>
      </c>
      <c r="T22" t="str">
        <f>IFERROR(__xludf.DUMMYFUNCTION("""COMPUTED_VALUE"""),"-")</f>
        <v>-</v>
      </c>
      <c r="U22" t="str">
        <f>IFERROR(__xludf.DUMMYFUNCTION("""COMPUTED_VALUE"""),"-")</f>
        <v>-</v>
      </c>
      <c r="V22" t="str">
        <f>IFERROR(__xludf.DUMMYFUNCTION("""COMPUTED_VALUE"""),"-")</f>
        <v>-</v>
      </c>
      <c r="W22" t="str">
        <f>IFERROR(__xludf.DUMMYFUNCTION("""COMPUTED_VALUE"""),"-")</f>
        <v>-</v>
      </c>
      <c r="X22" t="str">
        <f>IFERROR(__xludf.DUMMYFUNCTION("""COMPUTED_VALUE"""),"-")</f>
        <v>-</v>
      </c>
      <c r="Y22" t="str">
        <f>IFERROR(__xludf.DUMMYFUNCTION("""COMPUTED_VALUE"""),"-")</f>
        <v>-</v>
      </c>
      <c r="Z22" t="str">
        <f>IFERROR(__xludf.DUMMYFUNCTION("""COMPUTED_VALUE"""),"-")</f>
        <v>-</v>
      </c>
      <c r="AA22" t="str">
        <f>IFERROR(__xludf.DUMMYFUNCTION("""COMPUTED_VALUE"""),"-")</f>
        <v>-</v>
      </c>
    </row>
    <row r="23">
      <c r="A23" t="str">
        <f>IFERROR(__xludf.DUMMYFUNCTION("""COMPUTED_VALUE"""),"#22")</f>
        <v>#22</v>
      </c>
      <c r="B23" t="str">
        <f>IFERROR(__xludf.DUMMYFUNCTION("""COMPUTED_VALUE"""),"Arnaud Montebourg")</f>
        <v>Arnaud Montebourg</v>
      </c>
      <c r="C23">
        <f>IFERROR(__xludf.DUMMYFUNCTION("""COMPUTED_VALUE"""),438255.0)</f>
        <v>438255</v>
      </c>
      <c r="D23" t="str">
        <f>IFERROR(__xludf.DUMMYFUNCTION("""COMPUTED_VALUE"""),"-")</f>
        <v>-</v>
      </c>
      <c r="E23" t="str">
        <f>IFERROR(__xludf.DUMMYFUNCTION("""COMPUTED_VALUE"""),"-")</f>
        <v>-</v>
      </c>
      <c r="F23" t="str">
        <f>IFERROR(__xludf.DUMMYFUNCTION("""COMPUTED_VALUE"""),"-")</f>
        <v>-</v>
      </c>
      <c r="G23" t="str">
        <f>IFERROR(__xludf.DUMMYFUNCTION("""COMPUTED_VALUE"""),"-")</f>
        <v>-</v>
      </c>
      <c r="H23" t="str">
        <f>IFERROR(__xludf.DUMMYFUNCTION("""COMPUTED_VALUE"""),"-")</f>
        <v>-</v>
      </c>
      <c r="I23" t="str">
        <f>IFERROR(__xludf.DUMMYFUNCTION("""COMPUTED_VALUE"""),"-")</f>
        <v>-</v>
      </c>
      <c r="J23" t="str">
        <f>IFERROR(__xludf.DUMMYFUNCTION("""COMPUTED_VALUE"""),"-")</f>
        <v>-</v>
      </c>
      <c r="K23" t="str">
        <f>IFERROR(__xludf.DUMMYFUNCTION("""COMPUTED_VALUE"""),"-")</f>
        <v>-</v>
      </c>
      <c r="L23" t="str">
        <f>IFERROR(__xludf.DUMMYFUNCTION("""COMPUTED_VALUE"""),"-")</f>
        <v>-</v>
      </c>
      <c r="M23" t="str">
        <f>IFERROR(__xludf.DUMMYFUNCTION("""COMPUTED_VALUE"""),"-")</f>
        <v>-</v>
      </c>
      <c r="O23" t="str">
        <f>IFERROR(__xludf.DUMMYFUNCTION("""COMPUTED_VALUE"""),"#22")</f>
        <v>#22</v>
      </c>
      <c r="P23" t="str">
        <f>IFERROR(__xludf.DUMMYFUNCTION("""COMPUTED_VALUE"""),"Arnaud Montebourg")</f>
        <v>Arnaud Montebourg</v>
      </c>
      <c r="Q23">
        <f>IFERROR(__xludf.DUMMYFUNCTION("""COMPUTED_VALUE"""),438255.0)</f>
        <v>438255</v>
      </c>
      <c r="R23" t="str">
        <f>IFERROR(__xludf.DUMMYFUNCTION("""COMPUTED_VALUE"""),"-")</f>
        <v>-</v>
      </c>
      <c r="S23" t="str">
        <f>IFERROR(__xludf.DUMMYFUNCTION("""COMPUTED_VALUE"""),"-")</f>
        <v>-</v>
      </c>
      <c r="T23" t="str">
        <f>IFERROR(__xludf.DUMMYFUNCTION("""COMPUTED_VALUE"""),"-")</f>
        <v>-</v>
      </c>
      <c r="U23" t="str">
        <f>IFERROR(__xludf.DUMMYFUNCTION("""COMPUTED_VALUE"""),"-")</f>
        <v>-</v>
      </c>
      <c r="V23" t="str">
        <f>IFERROR(__xludf.DUMMYFUNCTION("""COMPUTED_VALUE"""),"-")</f>
        <v>-</v>
      </c>
      <c r="W23" t="str">
        <f>IFERROR(__xludf.DUMMYFUNCTION("""COMPUTED_VALUE"""),"-")</f>
        <v>-</v>
      </c>
      <c r="X23" t="str">
        <f>IFERROR(__xludf.DUMMYFUNCTION("""COMPUTED_VALUE"""),"-")</f>
        <v>-</v>
      </c>
      <c r="Y23" t="str">
        <f>IFERROR(__xludf.DUMMYFUNCTION("""COMPUTED_VALUE"""),"-")</f>
        <v>-</v>
      </c>
      <c r="Z23" t="str">
        <f>IFERROR(__xludf.DUMMYFUNCTION("""COMPUTED_VALUE"""),"-")</f>
        <v>-</v>
      </c>
      <c r="AA23" t="str">
        <f>IFERROR(__xludf.DUMMYFUNCTION("""COMPUTED_VALUE"""),"-")</f>
        <v>-</v>
      </c>
    </row>
    <row r="24">
      <c r="A24" t="str">
        <f>IFERROR(__xludf.DUMMYFUNCTION("""COMPUTED_VALUE"""),"#23")</f>
        <v>#23</v>
      </c>
      <c r="B24" t="str">
        <f>IFERROR(__xludf.DUMMYFUNCTION("""COMPUTED_VALUE"""),"Olivier Véran")</f>
        <v>Olivier Véran</v>
      </c>
      <c r="C24">
        <f>IFERROR(__xludf.DUMMYFUNCTION("""COMPUTED_VALUE"""),431088.0)</f>
        <v>431088</v>
      </c>
      <c r="D24" t="str">
        <f>IFERROR(__xludf.DUMMYFUNCTION("""COMPUTED_VALUE"""),"-")</f>
        <v>-</v>
      </c>
      <c r="E24" t="str">
        <f>IFERROR(__xludf.DUMMYFUNCTION("""COMPUTED_VALUE"""),"-")</f>
        <v>-</v>
      </c>
      <c r="F24" t="str">
        <f>IFERROR(__xludf.DUMMYFUNCTION("""COMPUTED_VALUE"""),"-")</f>
        <v>-</v>
      </c>
      <c r="G24" t="str">
        <f>IFERROR(__xludf.DUMMYFUNCTION("""COMPUTED_VALUE"""),"-")</f>
        <v>-</v>
      </c>
      <c r="H24" t="str">
        <f>IFERROR(__xludf.DUMMYFUNCTION("""COMPUTED_VALUE"""),"-")</f>
        <v>-</v>
      </c>
      <c r="I24" t="str">
        <f>IFERROR(__xludf.DUMMYFUNCTION("""COMPUTED_VALUE"""),"-")</f>
        <v>-</v>
      </c>
      <c r="J24" t="str">
        <f>IFERROR(__xludf.DUMMYFUNCTION("""COMPUTED_VALUE"""),"-")</f>
        <v>-</v>
      </c>
      <c r="K24" t="str">
        <f>IFERROR(__xludf.DUMMYFUNCTION("""COMPUTED_VALUE"""),"-")</f>
        <v>-</v>
      </c>
      <c r="L24" t="str">
        <f>IFERROR(__xludf.DUMMYFUNCTION("""COMPUTED_VALUE"""),"-")</f>
        <v>-</v>
      </c>
      <c r="M24" t="str">
        <f>IFERROR(__xludf.DUMMYFUNCTION("""COMPUTED_VALUE"""),"-")</f>
        <v>-</v>
      </c>
      <c r="O24" t="str">
        <f>IFERROR(__xludf.DUMMYFUNCTION("""COMPUTED_VALUE"""),"#23")</f>
        <v>#23</v>
      </c>
      <c r="P24" t="str">
        <f>IFERROR(__xludf.DUMMYFUNCTION("""COMPUTED_VALUE"""),"Olivier Véran")</f>
        <v>Olivier Véran</v>
      </c>
      <c r="Q24">
        <f>IFERROR(__xludf.DUMMYFUNCTION("""COMPUTED_VALUE"""),431088.0)</f>
        <v>431088</v>
      </c>
      <c r="R24" t="str">
        <f>IFERROR(__xludf.DUMMYFUNCTION("""COMPUTED_VALUE"""),"-")</f>
        <v>-</v>
      </c>
      <c r="S24" t="str">
        <f>IFERROR(__xludf.DUMMYFUNCTION("""COMPUTED_VALUE"""),"-")</f>
        <v>-</v>
      </c>
      <c r="T24" t="str">
        <f>IFERROR(__xludf.DUMMYFUNCTION("""COMPUTED_VALUE"""),"-")</f>
        <v>-</v>
      </c>
      <c r="U24" t="str">
        <f>IFERROR(__xludf.DUMMYFUNCTION("""COMPUTED_VALUE"""),"-")</f>
        <v>-</v>
      </c>
      <c r="V24" t="str">
        <f>IFERROR(__xludf.DUMMYFUNCTION("""COMPUTED_VALUE"""),"-")</f>
        <v>-</v>
      </c>
      <c r="W24" t="str">
        <f>IFERROR(__xludf.DUMMYFUNCTION("""COMPUTED_VALUE"""),"-")</f>
        <v>-</v>
      </c>
      <c r="X24" t="str">
        <f>IFERROR(__xludf.DUMMYFUNCTION("""COMPUTED_VALUE"""),"-")</f>
        <v>-</v>
      </c>
      <c r="Y24" t="str">
        <f>IFERROR(__xludf.DUMMYFUNCTION("""COMPUTED_VALUE"""),"-")</f>
        <v>-</v>
      </c>
      <c r="Z24" t="str">
        <f>IFERROR(__xludf.DUMMYFUNCTION("""COMPUTED_VALUE"""),"-")</f>
        <v>-</v>
      </c>
      <c r="AA24" t="str">
        <f>IFERROR(__xludf.DUMMYFUNCTION("""COMPUTED_VALUE"""),"-")</f>
        <v>-</v>
      </c>
    </row>
    <row r="25">
      <c r="A25" t="str">
        <f>IFERROR(__xludf.DUMMYFUNCTION("""COMPUTED_VALUE"""),"#24")</f>
        <v>#24</v>
      </c>
      <c r="B25" t="str">
        <f>IFERROR(__xludf.DUMMYFUNCTION("""COMPUTED_VALUE"""),"Cécile Duflot")</f>
        <v>Cécile Duflot</v>
      </c>
      <c r="C25">
        <f>IFERROR(__xludf.DUMMYFUNCTION("""COMPUTED_VALUE"""),419065.0)</f>
        <v>419065</v>
      </c>
      <c r="D25" t="str">
        <f>IFERROR(__xludf.DUMMYFUNCTION("""COMPUTED_VALUE"""),"-")</f>
        <v>-</v>
      </c>
      <c r="E25" t="str">
        <f>IFERROR(__xludf.DUMMYFUNCTION("""COMPUTED_VALUE"""),"-")</f>
        <v>-</v>
      </c>
      <c r="F25" t="str">
        <f>IFERROR(__xludf.DUMMYFUNCTION("""COMPUTED_VALUE"""),"-")</f>
        <v>-</v>
      </c>
      <c r="G25" t="str">
        <f>IFERROR(__xludf.DUMMYFUNCTION("""COMPUTED_VALUE"""),"-")</f>
        <v>-</v>
      </c>
      <c r="H25" t="str">
        <f>IFERROR(__xludf.DUMMYFUNCTION("""COMPUTED_VALUE"""),"-")</f>
        <v>-</v>
      </c>
      <c r="I25" t="str">
        <f>IFERROR(__xludf.DUMMYFUNCTION("""COMPUTED_VALUE"""),"-")</f>
        <v>-</v>
      </c>
      <c r="J25" t="str">
        <f>IFERROR(__xludf.DUMMYFUNCTION("""COMPUTED_VALUE"""),"-")</f>
        <v>-</v>
      </c>
      <c r="K25" t="str">
        <f>IFERROR(__xludf.DUMMYFUNCTION("""COMPUTED_VALUE"""),"-")</f>
        <v>-</v>
      </c>
      <c r="L25" t="str">
        <f>IFERROR(__xludf.DUMMYFUNCTION("""COMPUTED_VALUE"""),"-")</f>
        <v>-</v>
      </c>
      <c r="M25" t="str">
        <f>IFERROR(__xludf.DUMMYFUNCTION("""COMPUTED_VALUE"""),"-")</f>
        <v>-</v>
      </c>
      <c r="O25" t="str">
        <f>IFERROR(__xludf.DUMMYFUNCTION("""COMPUTED_VALUE"""),"#24")</f>
        <v>#24</v>
      </c>
      <c r="P25" t="str">
        <f>IFERROR(__xludf.DUMMYFUNCTION("""COMPUTED_VALUE"""),"Cécile Duflot")</f>
        <v>Cécile Duflot</v>
      </c>
      <c r="Q25">
        <f>IFERROR(__xludf.DUMMYFUNCTION("""COMPUTED_VALUE"""),419065.0)</f>
        <v>419065</v>
      </c>
      <c r="R25" t="str">
        <f>IFERROR(__xludf.DUMMYFUNCTION("""COMPUTED_VALUE"""),"-")</f>
        <v>-</v>
      </c>
      <c r="S25" t="str">
        <f>IFERROR(__xludf.DUMMYFUNCTION("""COMPUTED_VALUE"""),"-")</f>
        <v>-</v>
      </c>
      <c r="T25" t="str">
        <f>IFERROR(__xludf.DUMMYFUNCTION("""COMPUTED_VALUE"""),"-")</f>
        <v>-</v>
      </c>
      <c r="U25" t="str">
        <f>IFERROR(__xludf.DUMMYFUNCTION("""COMPUTED_VALUE"""),"-")</f>
        <v>-</v>
      </c>
      <c r="V25" t="str">
        <f>IFERROR(__xludf.DUMMYFUNCTION("""COMPUTED_VALUE"""),"-")</f>
        <v>-</v>
      </c>
      <c r="W25" t="str">
        <f>IFERROR(__xludf.DUMMYFUNCTION("""COMPUTED_VALUE"""),"-")</f>
        <v>-</v>
      </c>
      <c r="X25" t="str">
        <f>IFERROR(__xludf.DUMMYFUNCTION("""COMPUTED_VALUE"""),"-")</f>
        <v>-</v>
      </c>
      <c r="Y25" t="str">
        <f>IFERROR(__xludf.DUMMYFUNCTION("""COMPUTED_VALUE"""),"-")</f>
        <v>-</v>
      </c>
      <c r="Z25" t="str">
        <f>IFERROR(__xludf.DUMMYFUNCTION("""COMPUTED_VALUE"""),"-")</f>
        <v>-</v>
      </c>
      <c r="AA25" t="str">
        <f>IFERROR(__xludf.DUMMYFUNCTION("""COMPUTED_VALUE"""),"-")</f>
        <v>-</v>
      </c>
    </row>
    <row r="26">
      <c r="A26" t="str">
        <f>IFERROR(__xludf.DUMMYFUNCTION("""COMPUTED_VALUE"""),"#25")</f>
        <v>#25</v>
      </c>
      <c r="B26" t="str">
        <f>IFERROR(__xludf.DUMMYFUNCTION("""COMPUTED_VALUE"""),"Christophe Castaner")</f>
        <v>Christophe Castaner</v>
      </c>
      <c r="C26">
        <f>IFERROR(__xludf.DUMMYFUNCTION("""COMPUTED_VALUE"""),388342.0)</f>
        <v>388342</v>
      </c>
      <c r="D26" t="str">
        <f>IFERROR(__xludf.DUMMYFUNCTION("""COMPUTED_VALUE"""),"-")</f>
        <v>-</v>
      </c>
      <c r="E26" t="str">
        <f>IFERROR(__xludf.DUMMYFUNCTION("""COMPUTED_VALUE"""),"-")</f>
        <v>-</v>
      </c>
      <c r="F26" t="str">
        <f>IFERROR(__xludf.DUMMYFUNCTION("""COMPUTED_VALUE"""),"-")</f>
        <v>-</v>
      </c>
      <c r="G26" t="str">
        <f>IFERROR(__xludf.DUMMYFUNCTION("""COMPUTED_VALUE"""),"-")</f>
        <v>-</v>
      </c>
      <c r="H26" t="str">
        <f>IFERROR(__xludf.DUMMYFUNCTION("""COMPUTED_VALUE"""),"-")</f>
        <v>-</v>
      </c>
      <c r="I26" t="str">
        <f>IFERROR(__xludf.DUMMYFUNCTION("""COMPUTED_VALUE"""),"-")</f>
        <v>-</v>
      </c>
      <c r="J26" t="str">
        <f>IFERROR(__xludf.DUMMYFUNCTION("""COMPUTED_VALUE"""),"-")</f>
        <v>-</v>
      </c>
      <c r="K26" t="str">
        <f>IFERROR(__xludf.DUMMYFUNCTION("""COMPUTED_VALUE"""),"-")</f>
        <v>-</v>
      </c>
      <c r="L26" t="str">
        <f>IFERROR(__xludf.DUMMYFUNCTION("""COMPUTED_VALUE"""),"-")</f>
        <v>-</v>
      </c>
      <c r="M26" t="str">
        <f>IFERROR(__xludf.DUMMYFUNCTION("""COMPUTED_VALUE"""),"-")</f>
        <v>-</v>
      </c>
      <c r="O26" t="str">
        <f>IFERROR(__xludf.DUMMYFUNCTION("""COMPUTED_VALUE"""),"#25")</f>
        <v>#25</v>
      </c>
      <c r="P26" t="str">
        <f>IFERROR(__xludf.DUMMYFUNCTION("""COMPUTED_VALUE"""),"Christophe Castaner")</f>
        <v>Christophe Castaner</v>
      </c>
      <c r="Q26">
        <f>IFERROR(__xludf.DUMMYFUNCTION("""COMPUTED_VALUE"""),388342.0)</f>
        <v>388342</v>
      </c>
      <c r="R26" t="str">
        <f>IFERROR(__xludf.DUMMYFUNCTION("""COMPUTED_VALUE"""),"-")</f>
        <v>-</v>
      </c>
      <c r="S26" t="str">
        <f>IFERROR(__xludf.DUMMYFUNCTION("""COMPUTED_VALUE"""),"-")</f>
        <v>-</v>
      </c>
      <c r="T26" t="str">
        <f>IFERROR(__xludf.DUMMYFUNCTION("""COMPUTED_VALUE"""),"-")</f>
        <v>-</v>
      </c>
      <c r="U26" t="str">
        <f>IFERROR(__xludf.DUMMYFUNCTION("""COMPUTED_VALUE"""),"-")</f>
        <v>-</v>
      </c>
      <c r="V26" t="str">
        <f>IFERROR(__xludf.DUMMYFUNCTION("""COMPUTED_VALUE"""),"-")</f>
        <v>-</v>
      </c>
      <c r="W26" t="str">
        <f>IFERROR(__xludf.DUMMYFUNCTION("""COMPUTED_VALUE"""),"-")</f>
        <v>-</v>
      </c>
      <c r="X26" t="str">
        <f>IFERROR(__xludf.DUMMYFUNCTION("""COMPUTED_VALUE"""),"-")</f>
        <v>-</v>
      </c>
      <c r="Y26" t="str">
        <f>IFERROR(__xludf.DUMMYFUNCTION("""COMPUTED_VALUE"""),"-")</f>
        <v>-</v>
      </c>
      <c r="Z26" t="str">
        <f>IFERROR(__xludf.DUMMYFUNCTION("""COMPUTED_VALUE"""),"-")</f>
        <v>-</v>
      </c>
      <c r="AA26" t="str">
        <f>IFERROR(__xludf.DUMMYFUNCTION("""COMPUTED_VALUE"""),"-")</f>
        <v>-</v>
      </c>
    </row>
    <row r="27">
      <c r="A27" t="str">
        <f>IFERROR(__xludf.DUMMYFUNCTION("""COMPUTED_VALUE"""),"#26")</f>
        <v>#26</v>
      </c>
      <c r="B27" t="str">
        <f>IFERROR(__xludf.DUMMYFUNCTION("""COMPUTED_VALUE"""),"Gérald Darmanin")</f>
        <v>Gérald Darmanin</v>
      </c>
      <c r="C27">
        <f>IFERROR(__xludf.DUMMYFUNCTION("""COMPUTED_VALUE"""),383919.0)</f>
        <v>383919</v>
      </c>
      <c r="D27" t="str">
        <f>IFERROR(__xludf.DUMMYFUNCTION("""COMPUTED_VALUE"""),"-")</f>
        <v>-</v>
      </c>
      <c r="E27" t="str">
        <f>IFERROR(__xludf.DUMMYFUNCTION("""COMPUTED_VALUE"""),"-")</f>
        <v>-</v>
      </c>
      <c r="F27" t="str">
        <f>IFERROR(__xludf.DUMMYFUNCTION("""COMPUTED_VALUE"""),"-")</f>
        <v>-</v>
      </c>
      <c r="G27" t="str">
        <f>IFERROR(__xludf.DUMMYFUNCTION("""COMPUTED_VALUE"""),"-")</f>
        <v>-</v>
      </c>
      <c r="H27" t="str">
        <f>IFERROR(__xludf.DUMMYFUNCTION("""COMPUTED_VALUE"""),"-")</f>
        <v>-</v>
      </c>
      <c r="I27" t="str">
        <f>IFERROR(__xludf.DUMMYFUNCTION("""COMPUTED_VALUE"""),"-")</f>
        <v>-</v>
      </c>
      <c r="J27" t="str">
        <f>IFERROR(__xludf.DUMMYFUNCTION("""COMPUTED_VALUE"""),"-")</f>
        <v>-</v>
      </c>
      <c r="K27" t="str">
        <f>IFERROR(__xludf.DUMMYFUNCTION("""COMPUTED_VALUE"""),"-")</f>
        <v>-</v>
      </c>
      <c r="L27" t="str">
        <f>IFERROR(__xludf.DUMMYFUNCTION("""COMPUTED_VALUE"""),"-")</f>
        <v>-</v>
      </c>
      <c r="M27" t="str">
        <f>IFERROR(__xludf.DUMMYFUNCTION("""COMPUTED_VALUE"""),"-")</f>
        <v>-</v>
      </c>
      <c r="O27" t="str">
        <f>IFERROR(__xludf.DUMMYFUNCTION("""COMPUTED_VALUE"""),"#26")</f>
        <v>#26</v>
      </c>
      <c r="P27" t="str">
        <f>IFERROR(__xludf.DUMMYFUNCTION("""COMPUTED_VALUE"""),"Gérald Darmanin")</f>
        <v>Gérald Darmanin</v>
      </c>
      <c r="Q27">
        <f>IFERROR(__xludf.DUMMYFUNCTION("""COMPUTED_VALUE"""),383919.0)</f>
        <v>383919</v>
      </c>
      <c r="R27" t="str">
        <f>IFERROR(__xludf.DUMMYFUNCTION("""COMPUTED_VALUE"""),"-")</f>
        <v>-</v>
      </c>
      <c r="S27" t="str">
        <f>IFERROR(__xludf.DUMMYFUNCTION("""COMPUTED_VALUE"""),"-")</f>
        <v>-</v>
      </c>
      <c r="T27" t="str">
        <f>IFERROR(__xludf.DUMMYFUNCTION("""COMPUTED_VALUE"""),"-")</f>
        <v>-</v>
      </c>
      <c r="U27" t="str">
        <f>IFERROR(__xludf.DUMMYFUNCTION("""COMPUTED_VALUE"""),"-")</f>
        <v>-</v>
      </c>
      <c r="V27" t="str">
        <f>IFERROR(__xludf.DUMMYFUNCTION("""COMPUTED_VALUE"""),"-")</f>
        <v>-</v>
      </c>
      <c r="W27" t="str">
        <f>IFERROR(__xludf.DUMMYFUNCTION("""COMPUTED_VALUE"""),"-")</f>
        <v>-</v>
      </c>
      <c r="X27" t="str">
        <f>IFERROR(__xludf.DUMMYFUNCTION("""COMPUTED_VALUE"""),"-")</f>
        <v>-</v>
      </c>
      <c r="Y27" t="str">
        <f>IFERROR(__xludf.DUMMYFUNCTION("""COMPUTED_VALUE"""),"-")</f>
        <v>-</v>
      </c>
      <c r="Z27" t="str">
        <f>IFERROR(__xludf.DUMMYFUNCTION("""COMPUTED_VALUE"""),"-")</f>
        <v>-</v>
      </c>
      <c r="AA27" t="str">
        <f>IFERROR(__xludf.DUMMYFUNCTION("""COMPUTED_VALUE"""),"-")</f>
        <v>-</v>
      </c>
    </row>
    <row r="28">
      <c r="A28" t="str">
        <f>IFERROR(__xludf.DUMMYFUNCTION("""COMPUTED_VALUE"""),"#27")</f>
        <v>#27</v>
      </c>
      <c r="B28" t="str">
        <f>IFERROR(__xludf.DUMMYFUNCTION("""COMPUTED_VALUE"""),"Jean Castex")</f>
        <v>Jean Castex</v>
      </c>
      <c r="C28">
        <f>IFERROR(__xludf.DUMMYFUNCTION("""COMPUTED_VALUE"""),380201.0)</f>
        <v>380201</v>
      </c>
      <c r="D28" t="str">
        <f>IFERROR(__xludf.DUMMYFUNCTION("""COMPUTED_VALUE"""),"-")</f>
        <v>-</v>
      </c>
      <c r="E28" t="str">
        <f>IFERROR(__xludf.DUMMYFUNCTION("""COMPUTED_VALUE"""),"-")</f>
        <v>-</v>
      </c>
      <c r="F28" t="str">
        <f>IFERROR(__xludf.DUMMYFUNCTION("""COMPUTED_VALUE"""),"-")</f>
        <v>-</v>
      </c>
      <c r="G28" t="str">
        <f>IFERROR(__xludf.DUMMYFUNCTION("""COMPUTED_VALUE"""),"-")</f>
        <v>-</v>
      </c>
      <c r="H28" t="str">
        <f>IFERROR(__xludf.DUMMYFUNCTION("""COMPUTED_VALUE"""),"-")</f>
        <v>-</v>
      </c>
      <c r="I28" t="str">
        <f>IFERROR(__xludf.DUMMYFUNCTION("""COMPUTED_VALUE"""),"-")</f>
        <v>-</v>
      </c>
      <c r="J28" t="str">
        <f>IFERROR(__xludf.DUMMYFUNCTION("""COMPUTED_VALUE"""),"-")</f>
        <v>-</v>
      </c>
      <c r="K28" t="str">
        <f>IFERROR(__xludf.DUMMYFUNCTION("""COMPUTED_VALUE"""),"-")</f>
        <v>-</v>
      </c>
      <c r="L28" t="str">
        <f>IFERROR(__xludf.DUMMYFUNCTION("""COMPUTED_VALUE"""),"-")</f>
        <v>-</v>
      </c>
      <c r="M28" t="str">
        <f>IFERROR(__xludf.DUMMYFUNCTION("""COMPUTED_VALUE"""),"-")</f>
        <v>-</v>
      </c>
      <c r="O28" t="str">
        <f>IFERROR(__xludf.DUMMYFUNCTION("""COMPUTED_VALUE"""),"#27")</f>
        <v>#27</v>
      </c>
      <c r="P28" t="str">
        <f>IFERROR(__xludf.DUMMYFUNCTION("""COMPUTED_VALUE"""),"Jean Castex")</f>
        <v>Jean Castex</v>
      </c>
      <c r="Q28">
        <f>IFERROR(__xludf.DUMMYFUNCTION("""COMPUTED_VALUE"""),380201.0)</f>
        <v>380201</v>
      </c>
      <c r="R28" t="str">
        <f>IFERROR(__xludf.DUMMYFUNCTION("""COMPUTED_VALUE"""),"-")</f>
        <v>-</v>
      </c>
      <c r="S28" t="str">
        <f>IFERROR(__xludf.DUMMYFUNCTION("""COMPUTED_VALUE"""),"-")</f>
        <v>-</v>
      </c>
      <c r="T28" t="str">
        <f>IFERROR(__xludf.DUMMYFUNCTION("""COMPUTED_VALUE"""),"-")</f>
        <v>-</v>
      </c>
      <c r="U28" t="str">
        <f>IFERROR(__xludf.DUMMYFUNCTION("""COMPUTED_VALUE"""),"-")</f>
        <v>-</v>
      </c>
      <c r="V28" t="str">
        <f>IFERROR(__xludf.DUMMYFUNCTION("""COMPUTED_VALUE"""),"-")</f>
        <v>-</v>
      </c>
      <c r="W28" t="str">
        <f>IFERROR(__xludf.DUMMYFUNCTION("""COMPUTED_VALUE"""),"-")</f>
        <v>-</v>
      </c>
      <c r="X28" t="str">
        <f>IFERROR(__xludf.DUMMYFUNCTION("""COMPUTED_VALUE"""),"-")</f>
        <v>-</v>
      </c>
      <c r="Y28" t="str">
        <f>IFERROR(__xludf.DUMMYFUNCTION("""COMPUTED_VALUE"""),"-")</f>
        <v>-</v>
      </c>
      <c r="Z28" t="str">
        <f>IFERROR(__xludf.DUMMYFUNCTION("""COMPUTED_VALUE"""),"-")</f>
        <v>-</v>
      </c>
      <c r="AA28" t="str">
        <f>IFERROR(__xludf.DUMMYFUNCTION("""COMPUTED_VALUE"""),"-")</f>
        <v>-</v>
      </c>
    </row>
    <row r="29">
      <c r="A29" t="str">
        <f>IFERROR(__xludf.DUMMYFUNCTION("""COMPUTED_VALUE"""),"#28")</f>
        <v>#28</v>
      </c>
      <c r="B29" t="str">
        <f>IFERROR(__xludf.DUMMYFUNCTION("""COMPUTED_VALUE"""),"Nicolas Dupont-Aignan")</f>
        <v>Nicolas Dupont-Aignan</v>
      </c>
      <c r="C29">
        <f>IFERROR(__xludf.DUMMYFUNCTION("""COMPUTED_VALUE"""),378806.0)</f>
        <v>378806</v>
      </c>
      <c r="D29" t="str">
        <f>IFERROR(__xludf.DUMMYFUNCTION("""COMPUTED_VALUE"""),"-")</f>
        <v>-</v>
      </c>
      <c r="E29" t="str">
        <f>IFERROR(__xludf.DUMMYFUNCTION("""COMPUTED_VALUE"""),"-")</f>
        <v>-</v>
      </c>
      <c r="F29" t="str">
        <f>IFERROR(__xludf.DUMMYFUNCTION("""COMPUTED_VALUE"""),"-")</f>
        <v>-</v>
      </c>
      <c r="G29" t="str">
        <f>IFERROR(__xludf.DUMMYFUNCTION("""COMPUTED_VALUE"""),"-")</f>
        <v>-</v>
      </c>
      <c r="H29" t="str">
        <f>IFERROR(__xludf.DUMMYFUNCTION("""COMPUTED_VALUE"""),"-")</f>
        <v>-</v>
      </c>
      <c r="I29" t="str">
        <f>IFERROR(__xludf.DUMMYFUNCTION("""COMPUTED_VALUE"""),"-")</f>
        <v>-</v>
      </c>
      <c r="J29" t="str">
        <f>IFERROR(__xludf.DUMMYFUNCTION("""COMPUTED_VALUE"""),"-")</f>
        <v>-</v>
      </c>
      <c r="K29" t="str">
        <f>IFERROR(__xludf.DUMMYFUNCTION("""COMPUTED_VALUE"""),"-")</f>
        <v>-</v>
      </c>
      <c r="L29" t="str">
        <f>IFERROR(__xludf.DUMMYFUNCTION("""COMPUTED_VALUE"""),"-")</f>
        <v>-</v>
      </c>
      <c r="M29" t="str">
        <f>IFERROR(__xludf.DUMMYFUNCTION("""COMPUTED_VALUE"""),"-")</f>
        <v>-</v>
      </c>
      <c r="O29" t="str">
        <f>IFERROR(__xludf.DUMMYFUNCTION("""COMPUTED_VALUE"""),"#28")</f>
        <v>#28</v>
      </c>
      <c r="P29" t="str">
        <f>IFERROR(__xludf.DUMMYFUNCTION("""COMPUTED_VALUE"""),"Nicolas Dupont-Aignan")</f>
        <v>Nicolas Dupont-Aignan</v>
      </c>
      <c r="Q29">
        <f>IFERROR(__xludf.DUMMYFUNCTION("""COMPUTED_VALUE"""),378806.0)</f>
        <v>378806</v>
      </c>
      <c r="R29" t="str">
        <f>IFERROR(__xludf.DUMMYFUNCTION("""COMPUTED_VALUE"""),"-")</f>
        <v>-</v>
      </c>
      <c r="S29" t="str">
        <f>IFERROR(__xludf.DUMMYFUNCTION("""COMPUTED_VALUE"""),"-")</f>
        <v>-</v>
      </c>
      <c r="T29" t="str">
        <f>IFERROR(__xludf.DUMMYFUNCTION("""COMPUTED_VALUE"""),"-")</f>
        <v>-</v>
      </c>
      <c r="U29" t="str">
        <f>IFERROR(__xludf.DUMMYFUNCTION("""COMPUTED_VALUE"""),"-")</f>
        <v>-</v>
      </c>
      <c r="V29" t="str">
        <f>IFERROR(__xludf.DUMMYFUNCTION("""COMPUTED_VALUE"""),"-")</f>
        <v>-</v>
      </c>
      <c r="W29" t="str">
        <f>IFERROR(__xludf.DUMMYFUNCTION("""COMPUTED_VALUE"""),"-")</f>
        <v>-</v>
      </c>
      <c r="X29" t="str">
        <f>IFERROR(__xludf.DUMMYFUNCTION("""COMPUTED_VALUE"""),"-")</f>
        <v>-</v>
      </c>
      <c r="Y29" t="str">
        <f>IFERROR(__xludf.DUMMYFUNCTION("""COMPUTED_VALUE"""),"-")</f>
        <v>-</v>
      </c>
      <c r="Z29" t="str">
        <f>IFERROR(__xludf.DUMMYFUNCTION("""COMPUTED_VALUE"""),"-")</f>
        <v>-</v>
      </c>
      <c r="AA29" t="str">
        <f>IFERROR(__xludf.DUMMYFUNCTION("""COMPUTED_VALUE"""),"-")</f>
        <v>-</v>
      </c>
    </row>
    <row r="30">
      <c r="A30" t="str">
        <f>IFERROR(__xludf.DUMMYFUNCTION("""COMPUTED_VALUE"""),"#29")</f>
        <v>#29</v>
      </c>
      <c r="B30" t="str">
        <f>IFERROR(__xludf.DUMMYFUNCTION("""COMPUTED_VALUE"""),"Laurent Wauquiez")</f>
        <v>Laurent Wauquiez</v>
      </c>
      <c r="C30">
        <f>IFERROR(__xludf.DUMMYFUNCTION("""COMPUTED_VALUE"""),375782.0)</f>
        <v>375782</v>
      </c>
      <c r="D30" t="str">
        <f>IFERROR(__xludf.DUMMYFUNCTION("""COMPUTED_VALUE"""),"-")</f>
        <v>-</v>
      </c>
      <c r="E30" t="str">
        <f>IFERROR(__xludf.DUMMYFUNCTION("""COMPUTED_VALUE"""),"-")</f>
        <v>-</v>
      </c>
      <c r="F30" t="str">
        <f>IFERROR(__xludf.DUMMYFUNCTION("""COMPUTED_VALUE"""),"-")</f>
        <v>-</v>
      </c>
      <c r="G30" t="str">
        <f>IFERROR(__xludf.DUMMYFUNCTION("""COMPUTED_VALUE"""),"-")</f>
        <v>-</v>
      </c>
      <c r="H30" t="str">
        <f>IFERROR(__xludf.DUMMYFUNCTION("""COMPUTED_VALUE"""),"-")</f>
        <v>-</v>
      </c>
      <c r="I30" t="str">
        <f>IFERROR(__xludf.DUMMYFUNCTION("""COMPUTED_VALUE"""),"-")</f>
        <v>-</v>
      </c>
      <c r="J30" t="str">
        <f>IFERROR(__xludf.DUMMYFUNCTION("""COMPUTED_VALUE"""),"-")</f>
        <v>-</v>
      </c>
      <c r="K30" t="str">
        <f>IFERROR(__xludf.DUMMYFUNCTION("""COMPUTED_VALUE"""),"-")</f>
        <v>-</v>
      </c>
      <c r="L30" t="str">
        <f>IFERROR(__xludf.DUMMYFUNCTION("""COMPUTED_VALUE"""),"-")</f>
        <v>-</v>
      </c>
      <c r="M30" t="str">
        <f>IFERROR(__xludf.DUMMYFUNCTION("""COMPUTED_VALUE"""),"-")</f>
        <v>-</v>
      </c>
      <c r="O30" t="str">
        <f>IFERROR(__xludf.DUMMYFUNCTION("""COMPUTED_VALUE"""),"#29")</f>
        <v>#29</v>
      </c>
      <c r="P30" t="str">
        <f>IFERROR(__xludf.DUMMYFUNCTION("""COMPUTED_VALUE"""),"Laurent Wauquiez")</f>
        <v>Laurent Wauquiez</v>
      </c>
      <c r="Q30">
        <f>IFERROR(__xludf.DUMMYFUNCTION("""COMPUTED_VALUE"""),375782.0)</f>
        <v>375782</v>
      </c>
      <c r="R30" t="str">
        <f>IFERROR(__xludf.DUMMYFUNCTION("""COMPUTED_VALUE"""),"-")</f>
        <v>-</v>
      </c>
      <c r="S30" t="str">
        <f>IFERROR(__xludf.DUMMYFUNCTION("""COMPUTED_VALUE"""),"-")</f>
        <v>-</v>
      </c>
      <c r="T30" t="str">
        <f>IFERROR(__xludf.DUMMYFUNCTION("""COMPUTED_VALUE"""),"-")</f>
        <v>-</v>
      </c>
      <c r="U30" t="str">
        <f>IFERROR(__xludf.DUMMYFUNCTION("""COMPUTED_VALUE"""),"-")</f>
        <v>-</v>
      </c>
      <c r="V30" t="str">
        <f>IFERROR(__xludf.DUMMYFUNCTION("""COMPUTED_VALUE"""),"-")</f>
        <v>-</v>
      </c>
      <c r="W30" t="str">
        <f>IFERROR(__xludf.DUMMYFUNCTION("""COMPUTED_VALUE"""),"-")</f>
        <v>-</v>
      </c>
      <c r="X30" t="str">
        <f>IFERROR(__xludf.DUMMYFUNCTION("""COMPUTED_VALUE"""),"-")</f>
        <v>-</v>
      </c>
      <c r="Y30" t="str">
        <f>IFERROR(__xludf.DUMMYFUNCTION("""COMPUTED_VALUE"""),"-")</f>
        <v>-</v>
      </c>
      <c r="Z30" t="str">
        <f>IFERROR(__xludf.DUMMYFUNCTION("""COMPUTED_VALUE"""),"-")</f>
        <v>-</v>
      </c>
      <c r="AA30" t="str">
        <f>IFERROR(__xludf.DUMMYFUNCTION("""COMPUTED_VALUE"""),"-")</f>
        <v>-</v>
      </c>
    </row>
    <row r="31">
      <c r="A31" t="str">
        <f>IFERROR(__xludf.DUMMYFUNCTION("""COMPUTED_VALUE"""),"#30")</f>
        <v>#30</v>
      </c>
      <c r="B31" t="str">
        <f>IFERROR(__xludf.DUMMYFUNCTION("""COMPUTED_VALUE"""),"François Ruffin")</f>
        <v>François Ruffin</v>
      </c>
      <c r="C31">
        <f>IFERROR(__xludf.DUMMYFUNCTION("""COMPUTED_VALUE"""),369442.0)</f>
        <v>369442</v>
      </c>
      <c r="D31" t="str">
        <f>IFERROR(__xludf.DUMMYFUNCTION("""COMPUTED_VALUE"""),"-")</f>
        <v>-</v>
      </c>
      <c r="E31" t="str">
        <f>IFERROR(__xludf.DUMMYFUNCTION("""COMPUTED_VALUE"""),"-")</f>
        <v>-</v>
      </c>
      <c r="F31" t="str">
        <f>IFERROR(__xludf.DUMMYFUNCTION("""COMPUTED_VALUE"""),"-")</f>
        <v>-</v>
      </c>
      <c r="G31" t="str">
        <f>IFERROR(__xludf.DUMMYFUNCTION("""COMPUTED_VALUE"""),"-")</f>
        <v>-</v>
      </c>
      <c r="H31" t="str">
        <f>IFERROR(__xludf.DUMMYFUNCTION("""COMPUTED_VALUE"""),"-")</f>
        <v>-</v>
      </c>
      <c r="I31" t="str">
        <f>IFERROR(__xludf.DUMMYFUNCTION("""COMPUTED_VALUE"""),"-")</f>
        <v>-</v>
      </c>
      <c r="J31" t="str">
        <f>IFERROR(__xludf.DUMMYFUNCTION("""COMPUTED_VALUE"""),"-")</f>
        <v>-</v>
      </c>
      <c r="K31" t="str">
        <f>IFERROR(__xludf.DUMMYFUNCTION("""COMPUTED_VALUE"""),"-")</f>
        <v>-</v>
      </c>
      <c r="L31" t="str">
        <f>IFERROR(__xludf.DUMMYFUNCTION("""COMPUTED_VALUE"""),"-")</f>
        <v>-</v>
      </c>
      <c r="M31" t="str">
        <f>IFERROR(__xludf.DUMMYFUNCTION("""COMPUTED_VALUE"""),"-")</f>
        <v>-</v>
      </c>
      <c r="O31" t="str">
        <f>IFERROR(__xludf.DUMMYFUNCTION("""COMPUTED_VALUE"""),"#30")</f>
        <v>#30</v>
      </c>
      <c r="P31" t="str">
        <f>IFERROR(__xludf.DUMMYFUNCTION("""COMPUTED_VALUE"""),"François Ruffin")</f>
        <v>François Ruffin</v>
      </c>
      <c r="Q31">
        <f>IFERROR(__xludf.DUMMYFUNCTION("""COMPUTED_VALUE"""),369442.0)</f>
        <v>369442</v>
      </c>
      <c r="R31" t="str">
        <f>IFERROR(__xludf.DUMMYFUNCTION("""COMPUTED_VALUE"""),"-")</f>
        <v>-</v>
      </c>
      <c r="S31" t="str">
        <f>IFERROR(__xludf.DUMMYFUNCTION("""COMPUTED_VALUE"""),"-")</f>
        <v>-</v>
      </c>
      <c r="T31" t="str">
        <f>IFERROR(__xludf.DUMMYFUNCTION("""COMPUTED_VALUE"""),"-")</f>
        <v>-</v>
      </c>
      <c r="U31" t="str">
        <f>IFERROR(__xludf.DUMMYFUNCTION("""COMPUTED_VALUE"""),"-")</f>
        <v>-</v>
      </c>
      <c r="V31" t="str">
        <f>IFERROR(__xludf.DUMMYFUNCTION("""COMPUTED_VALUE"""),"-")</f>
        <v>-</v>
      </c>
      <c r="W31" t="str">
        <f>IFERROR(__xludf.DUMMYFUNCTION("""COMPUTED_VALUE"""),"-")</f>
        <v>-</v>
      </c>
      <c r="X31" t="str">
        <f>IFERROR(__xludf.DUMMYFUNCTION("""COMPUTED_VALUE"""),"-")</f>
        <v>-</v>
      </c>
      <c r="Y31" t="str">
        <f>IFERROR(__xludf.DUMMYFUNCTION("""COMPUTED_VALUE"""),"-")</f>
        <v>-</v>
      </c>
      <c r="Z31" t="str">
        <f>IFERROR(__xludf.DUMMYFUNCTION("""COMPUTED_VALUE"""),"-")</f>
        <v>-</v>
      </c>
      <c r="AA31" t="str">
        <f>IFERROR(__xludf.DUMMYFUNCTION("""COMPUTED_VALUE"""),"-")</f>
        <v>-</v>
      </c>
    </row>
    <row r="32">
      <c r="A32" t="str">
        <f>IFERROR(__xludf.DUMMYFUNCTION("""COMPUTED_VALUE"""),"#31")</f>
        <v>#31</v>
      </c>
      <c r="B32" t="str">
        <f>IFERROR(__xludf.DUMMYFUNCTION("""COMPUTED_VALUE"""),"Gilbert Collard")</f>
        <v>Gilbert Collard</v>
      </c>
      <c r="C32">
        <f>IFERROR(__xludf.DUMMYFUNCTION("""COMPUTED_VALUE"""),356644.0)</f>
        <v>356644</v>
      </c>
      <c r="D32" t="str">
        <f>IFERROR(__xludf.DUMMYFUNCTION("""COMPUTED_VALUE"""),"-")</f>
        <v>-</v>
      </c>
      <c r="E32" t="str">
        <f>IFERROR(__xludf.DUMMYFUNCTION("""COMPUTED_VALUE"""),"-")</f>
        <v>-</v>
      </c>
      <c r="F32" t="str">
        <f>IFERROR(__xludf.DUMMYFUNCTION("""COMPUTED_VALUE"""),"-")</f>
        <v>-</v>
      </c>
      <c r="G32" t="str">
        <f>IFERROR(__xludf.DUMMYFUNCTION("""COMPUTED_VALUE"""),"-")</f>
        <v>-</v>
      </c>
      <c r="H32" t="str">
        <f>IFERROR(__xludf.DUMMYFUNCTION("""COMPUTED_VALUE"""),"-")</f>
        <v>-</v>
      </c>
      <c r="I32" t="str">
        <f>IFERROR(__xludf.DUMMYFUNCTION("""COMPUTED_VALUE"""),"-")</f>
        <v>-</v>
      </c>
      <c r="J32" t="str">
        <f>IFERROR(__xludf.DUMMYFUNCTION("""COMPUTED_VALUE"""),"-")</f>
        <v>-</v>
      </c>
      <c r="K32" t="str">
        <f>IFERROR(__xludf.DUMMYFUNCTION("""COMPUTED_VALUE"""),"-")</f>
        <v>-</v>
      </c>
      <c r="L32" t="str">
        <f>IFERROR(__xludf.DUMMYFUNCTION("""COMPUTED_VALUE"""),"-")</f>
        <v>-</v>
      </c>
      <c r="M32" t="str">
        <f>IFERROR(__xludf.DUMMYFUNCTION("""COMPUTED_VALUE"""),"-")</f>
        <v>-</v>
      </c>
      <c r="O32" t="str">
        <f>IFERROR(__xludf.DUMMYFUNCTION("""COMPUTED_VALUE"""),"#31")</f>
        <v>#31</v>
      </c>
      <c r="P32" t="str">
        <f>IFERROR(__xludf.DUMMYFUNCTION("""COMPUTED_VALUE"""),"Gilbert Collard")</f>
        <v>Gilbert Collard</v>
      </c>
      <c r="Q32">
        <f>IFERROR(__xludf.DUMMYFUNCTION("""COMPUTED_VALUE"""),356644.0)</f>
        <v>356644</v>
      </c>
      <c r="R32" t="str">
        <f>IFERROR(__xludf.DUMMYFUNCTION("""COMPUTED_VALUE"""),"-")</f>
        <v>-</v>
      </c>
      <c r="S32" t="str">
        <f>IFERROR(__xludf.DUMMYFUNCTION("""COMPUTED_VALUE"""),"-")</f>
        <v>-</v>
      </c>
      <c r="T32" t="str">
        <f>IFERROR(__xludf.DUMMYFUNCTION("""COMPUTED_VALUE"""),"-")</f>
        <v>-</v>
      </c>
      <c r="U32" t="str">
        <f>IFERROR(__xludf.DUMMYFUNCTION("""COMPUTED_VALUE"""),"-")</f>
        <v>-</v>
      </c>
      <c r="V32" t="str">
        <f>IFERROR(__xludf.DUMMYFUNCTION("""COMPUTED_VALUE"""),"-")</f>
        <v>-</v>
      </c>
      <c r="W32" t="str">
        <f>IFERROR(__xludf.DUMMYFUNCTION("""COMPUTED_VALUE"""),"-")</f>
        <v>-</v>
      </c>
      <c r="X32" t="str">
        <f>IFERROR(__xludf.DUMMYFUNCTION("""COMPUTED_VALUE"""),"-")</f>
        <v>-</v>
      </c>
      <c r="Y32" t="str">
        <f>IFERROR(__xludf.DUMMYFUNCTION("""COMPUTED_VALUE"""),"-")</f>
        <v>-</v>
      </c>
      <c r="Z32" t="str">
        <f>IFERROR(__xludf.DUMMYFUNCTION("""COMPUTED_VALUE"""),"-")</f>
        <v>-</v>
      </c>
      <c r="AA32" t="str">
        <f>IFERROR(__xludf.DUMMYFUNCTION("""COMPUTED_VALUE"""),"-")</f>
        <v>-</v>
      </c>
    </row>
    <row r="33">
      <c r="A33" t="str">
        <f>IFERROR(__xludf.DUMMYFUNCTION("""COMPUTED_VALUE"""),"#32")</f>
        <v>#32</v>
      </c>
      <c r="B33" t="str">
        <f>IFERROR(__xludf.DUMMYFUNCTION("""COMPUTED_VALUE"""),"Florian Philippot")</f>
        <v>Florian Philippot</v>
      </c>
      <c r="C33">
        <f>IFERROR(__xludf.DUMMYFUNCTION("""COMPUTED_VALUE"""),353796.0)</f>
        <v>353796</v>
      </c>
      <c r="D33" t="str">
        <f>IFERROR(__xludf.DUMMYFUNCTION("""COMPUTED_VALUE"""),"-")</f>
        <v>-</v>
      </c>
      <c r="E33" t="str">
        <f>IFERROR(__xludf.DUMMYFUNCTION("""COMPUTED_VALUE"""),"-")</f>
        <v>-</v>
      </c>
      <c r="F33" t="str">
        <f>IFERROR(__xludf.DUMMYFUNCTION("""COMPUTED_VALUE"""),"-")</f>
        <v>-</v>
      </c>
      <c r="G33" t="str">
        <f>IFERROR(__xludf.DUMMYFUNCTION("""COMPUTED_VALUE"""),"-")</f>
        <v>-</v>
      </c>
      <c r="H33" t="str">
        <f>IFERROR(__xludf.DUMMYFUNCTION("""COMPUTED_VALUE"""),"-")</f>
        <v>-</v>
      </c>
      <c r="I33" t="str">
        <f>IFERROR(__xludf.DUMMYFUNCTION("""COMPUTED_VALUE"""),"-")</f>
        <v>-</v>
      </c>
      <c r="J33" t="str">
        <f>IFERROR(__xludf.DUMMYFUNCTION("""COMPUTED_VALUE"""),"-")</f>
        <v>-</v>
      </c>
      <c r="K33" t="str">
        <f>IFERROR(__xludf.DUMMYFUNCTION("""COMPUTED_VALUE"""),"-")</f>
        <v>-</v>
      </c>
      <c r="L33" t="str">
        <f>IFERROR(__xludf.DUMMYFUNCTION("""COMPUTED_VALUE"""),"-")</f>
        <v>-</v>
      </c>
      <c r="M33" t="str">
        <f>IFERROR(__xludf.DUMMYFUNCTION("""COMPUTED_VALUE"""),"-")</f>
        <v>-</v>
      </c>
      <c r="O33" t="str">
        <f>IFERROR(__xludf.DUMMYFUNCTION("""COMPUTED_VALUE"""),"#32")</f>
        <v>#32</v>
      </c>
      <c r="P33" t="str">
        <f>IFERROR(__xludf.DUMMYFUNCTION("""COMPUTED_VALUE"""),"Florian Philippot")</f>
        <v>Florian Philippot</v>
      </c>
      <c r="Q33">
        <f>IFERROR(__xludf.DUMMYFUNCTION("""COMPUTED_VALUE"""),353796.0)</f>
        <v>353796</v>
      </c>
      <c r="R33" t="str">
        <f>IFERROR(__xludf.DUMMYFUNCTION("""COMPUTED_VALUE"""),"-")</f>
        <v>-</v>
      </c>
      <c r="S33" t="str">
        <f>IFERROR(__xludf.DUMMYFUNCTION("""COMPUTED_VALUE"""),"-")</f>
        <v>-</v>
      </c>
      <c r="T33" t="str">
        <f>IFERROR(__xludf.DUMMYFUNCTION("""COMPUTED_VALUE"""),"-")</f>
        <v>-</v>
      </c>
      <c r="U33" t="str">
        <f>IFERROR(__xludf.DUMMYFUNCTION("""COMPUTED_VALUE"""),"-")</f>
        <v>-</v>
      </c>
      <c r="V33" t="str">
        <f>IFERROR(__xludf.DUMMYFUNCTION("""COMPUTED_VALUE"""),"-")</f>
        <v>-</v>
      </c>
      <c r="W33" t="str">
        <f>IFERROR(__xludf.DUMMYFUNCTION("""COMPUTED_VALUE"""),"-")</f>
        <v>-</v>
      </c>
      <c r="X33" t="str">
        <f>IFERROR(__xludf.DUMMYFUNCTION("""COMPUTED_VALUE"""),"-")</f>
        <v>-</v>
      </c>
      <c r="Y33" t="str">
        <f>IFERROR(__xludf.DUMMYFUNCTION("""COMPUTED_VALUE"""),"-")</f>
        <v>-</v>
      </c>
      <c r="Z33" t="str">
        <f>IFERROR(__xludf.DUMMYFUNCTION("""COMPUTED_VALUE"""),"-")</f>
        <v>-</v>
      </c>
      <c r="AA33" t="str">
        <f>IFERROR(__xludf.DUMMYFUNCTION("""COMPUTED_VALUE"""),"-")</f>
        <v>-</v>
      </c>
    </row>
    <row r="34">
      <c r="A34" t="str">
        <f>IFERROR(__xludf.DUMMYFUNCTION("""COMPUTED_VALUE"""),"#33")</f>
        <v>#33</v>
      </c>
      <c r="B34" t="str">
        <f>IFERROR(__xludf.DUMMYFUNCTION("""COMPUTED_VALUE"""),"Nicolas Hulot")</f>
        <v>Nicolas Hulot</v>
      </c>
      <c r="C34">
        <f>IFERROR(__xludf.DUMMYFUNCTION("""COMPUTED_VALUE"""),342949.0)</f>
        <v>342949</v>
      </c>
      <c r="D34" t="str">
        <f>IFERROR(__xludf.DUMMYFUNCTION("""COMPUTED_VALUE"""),"-")</f>
        <v>-</v>
      </c>
      <c r="E34" t="str">
        <f>IFERROR(__xludf.DUMMYFUNCTION("""COMPUTED_VALUE"""),"-")</f>
        <v>-</v>
      </c>
      <c r="F34" t="str">
        <f>IFERROR(__xludf.DUMMYFUNCTION("""COMPUTED_VALUE"""),"-")</f>
        <v>-</v>
      </c>
      <c r="G34" t="str">
        <f>IFERROR(__xludf.DUMMYFUNCTION("""COMPUTED_VALUE"""),"-")</f>
        <v>-</v>
      </c>
      <c r="H34" t="str">
        <f>IFERROR(__xludf.DUMMYFUNCTION("""COMPUTED_VALUE"""),"-")</f>
        <v>-</v>
      </c>
      <c r="I34" t="str">
        <f>IFERROR(__xludf.DUMMYFUNCTION("""COMPUTED_VALUE"""),"-")</f>
        <v>-</v>
      </c>
      <c r="J34" t="str">
        <f>IFERROR(__xludf.DUMMYFUNCTION("""COMPUTED_VALUE"""),"-")</f>
        <v>-</v>
      </c>
      <c r="K34" t="str">
        <f>IFERROR(__xludf.DUMMYFUNCTION("""COMPUTED_VALUE"""),"-")</f>
        <v>-</v>
      </c>
      <c r="L34" t="str">
        <f>IFERROR(__xludf.DUMMYFUNCTION("""COMPUTED_VALUE"""),"-")</f>
        <v>-</v>
      </c>
      <c r="M34" t="str">
        <f>IFERROR(__xludf.DUMMYFUNCTION("""COMPUTED_VALUE"""),"-")</f>
        <v>-</v>
      </c>
      <c r="O34" t="str">
        <f>IFERROR(__xludf.DUMMYFUNCTION("""COMPUTED_VALUE"""),"#33")</f>
        <v>#33</v>
      </c>
      <c r="P34" t="str">
        <f>IFERROR(__xludf.DUMMYFUNCTION("""COMPUTED_VALUE"""),"Nicolas Hulot")</f>
        <v>Nicolas Hulot</v>
      </c>
      <c r="Q34">
        <f>IFERROR(__xludf.DUMMYFUNCTION("""COMPUTED_VALUE"""),342949.0)</f>
        <v>342949</v>
      </c>
      <c r="R34" t="str">
        <f>IFERROR(__xludf.DUMMYFUNCTION("""COMPUTED_VALUE"""),"-")</f>
        <v>-</v>
      </c>
      <c r="S34" t="str">
        <f>IFERROR(__xludf.DUMMYFUNCTION("""COMPUTED_VALUE"""),"-")</f>
        <v>-</v>
      </c>
      <c r="T34" t="str">
        <f>IFERROR(__xludf.DUMMYFUNCTION("""COMPUTED_VALUE"""),"-")</f>
        <v>-</v>
      </c>
      <c r="U34" t="str">
        <f>IFERROR(__xludf.DUMMYFUNCTION("""COMPUTED_VALUE"""),"-")</f>
        <v>-</v>
      </c>
      <c r="V34" t="str">
        <f>IFERROR(__xludf.DUMMYFUNCTION("""COMPUTED_VALUE"""),"-")</f>
        <v>-</v>
      </c>
      <c r="W34" t="str">
        <f>IFERROR(__xludf.DUMMYFUNCTION("""COMPUTED_VALUE"""),"-")</f>
        <v>-</v>
      </c>
      <c r="X34" t="str">
        <f>IFERROR(__xludf.DUMMYFUNCTION("""COMPUTED_VALUE"""),"-")</f>
        <v>-</v>
      </c>
      <c r="Y34" t="str">
        <f>IFERROR(__xludf.DUMMYFUNCTION("""COMPUTED_VALUE"""),"-")</f>
        <v>-</v>
      </c>
      <c r="Z34" t="str">
        <f>IFERROR(__xludf.DUMMYFUNCTION("""COMPUTED_VALUE"""),"-")</f>
        <v>-</v>
      </c>
      <c r="AA34" t="str">
        <f>IFERROR(__xludf.DUMMYFUNCTION("""COMPUTED_VALUE"""),"-")</f>
        <v>-</v>
      </c>
    </row>
    <row r="35">
      <c r="A35" t="str">
        <f>IFERROR(__xludf.DUMMYFUNCTION("""COMPUTED_VALUE"""),"#34")</f>
        <v>#34</v>
      </c>
      <c r="B35" t="str">
        <f>IFERROR(__xludf.DUMMYFUNCTION("""COMPUTED_VALUE"""),"Jean-François Copé")</f>
        <v>Jean-François Copé</v>
      </c>
      <c r="C35">
        <f>IFERROR(__xludf.DUMMYFUNCTION("""COMPUTED_VALUE"""),328195.0)</f>
        <v>328195</v>
      </c>
      <c r="D35" t="str">
        <f>IFERROR(__xludf.DUMMYFUNCTION("""COMPUTED_VALUE"""),"-")</f>
        <v>-</v>
      </c>
      <c r="E35" t="str">
        <f>IFERROR(__xludf.DUMMYFUNCTION("""COMPUTED_VALUE"""),"-")</f>
        <v>-</v>
      </c>
      <c r="F35" t="str">
        <f>IFERROR(__xludf.DUMMYFUNCTION("""COMPUTED_VALUE"""),"-")</f>
        <v>-</v>
      </c>
      <c r="G35" t="str">
        <f>IFERROR(__xludf.DUMMYFUNCTION("""COMPUTED_VALUE"""),"-")</f>
        <v>-</v>
      </c>
      <c r="H35" t="str">
        <f>IFERROR(__xludf.DUMMYFUNCTION("""COMPUTED_VALUE"""),"-")</f>
        <v>-</v>
      </c>
      <c r="I35" t="str">
        <f>IFERROR(__xludf.DUMMYFUNCTION("""COMPUTED_VALUE"""),"-")</f>
        <v>-</v>
      </c>
      <c r="J35" t="str">
        <f>IFERROR(__xludf.DUMMYFUNCTION("""COMPUTED_VALUE"""),"-")</f>
        <v>-</v>
      </c>
      <c r="K35" t="str">
        <f>IFERROR(__xludf.DUMMYFUNCTION("""COMPUTED_VALUE"""),"-")</f>
        <v>-</v>
      </c>
      <c r="L35" t="str">
        <f>IFERROR(__xludf.DUMMYFUNCTION("""COMPUTED_VALUE"""),"-")</f>
        <v>-</v>
      </c>
      <c r="M35" t="str">
        <f>IFERROR(__xludf.DUMMYFUNCTION("""COMPUTED_VALUE"""),"-")</f>
        <v>-</v>
      </c>
      <c r="O35" t="str">
        <f>IFERROR(__xludf.DUMMYFUNCTION("""COMPUTED_VALUE"""),"#34")</f>
        <v>#34</v>
      </c>
      <c r="P35" t="str">
        <f>IFERROR(__xludf.DUMMYFUNCTION("""COMPUTED_VALUE"""),"Jean-François Copé")</f>
        <v>Jean-François Copé</v>
      </c>
      <c r="Q35">
        <f>IFERROR(__xludf.DUMMYFUNCTION("""COMPUTED_VALUE"""),328195.0)</f>
        <v>328195</v>
      </c>
      <c r="R35" t="str">
        <f>IFERROR(__xludf.DUMMYFUNCTION("""COMPUTED_VALUE"""),"-")</f>
        <v>-</v>
      </c>
      <c r="S35" t="str">
        <f>IFERROR(__xludf.DUMMYFUNCTION("""COMPUTED_VALUE"""),"-")</f>
        <v>-</v>
      </c>
      <c r="T35" t="str">
        <f>IFERROR(__xludf.DUMMYFUNCTION("""COMPUTED_VALUE"""),"-")</f>
        <v>-</v>
      </c>
      <c r="U35" t="str">
        <f>IFERROR(__xludf.DUMMYFUNCTION("""COMPUTED_VALUE"""),"-")</f>
        <v>-</v>
      </c>
      <c r="V35" t="str">
        <f>IFERROR(__xludf.DUMMYFUNCTION("""COMPUTED_VALUE"""),"-")</f>
        <v>-</v>
      </c>
      <c r="W35" t="str">
        <f>IFERROR(__xludf.DUMMYFUNCTION("""COMPUTED_VALUE"""),"-")</f>
        <v>-</v>
      </c>
      <c r="X35" t="str">
        <f>IFERROR(__xludf.DUMMYFUNCTION("""COMPUTED_VALUE"""),"-")</f>
        <v>-</v>
      </c>
      <c r="Y35" t="str">
        <f>IFERROR(__xludf.DUMMYFUNCTION("""COMPUTED_VALUE"""),"-")</f>
        <v>-</v>
      </c>
      <c r="Z35" t="str">
        <f>IFERROR(__xludf.DUMMYFUNCTION("""COMPUTED_VALUE"""),"-")</f>
        <v>-</v>
      </c>
      <c r="AA35" t="str">
        <f>IFERROR(__xludf.DUMMYFUNCTION("""COMPUTED_VALUE"""),"-")</f>
        <v>-</v>
      </c>
    </row>
    <row r="36">
      <c r="A36" t="str">
        <f>IFERROR(__xludf.DUMMYFUNCTION("""COMPUTED_VALUE"""),"#35")</f>
        <v>#35</v>
      </c>
      <c r="B36" t="str">
        <f>IFERROR(__xludf.DUMMYFUNCTION("""COMPUTED_VALUE"""),"Jean-Michel Blanquer")</f>
        <v>Jean-Michel Blanquer</v>
      </c>
      <c r="C36">
        <f>IFERROR(__xludf.DUMMYFUNCTION("""COMPUTED_VALUE"""),323115.0)</f>
        <v>323115</v>
      </c>
      <c r="D36" t="str">
        <f>IFERROR(__xludf.DUMMYFUNCTION("""COMPUTED_VALUE"""),"-")</f>
        <v>-</v>
      </c>
      <c r="E36" t="str">
        <f>IFERROR(__xludf.DUMMYFUNCTION("""COMPUTED_VALUE"""),"-")</f>
        <v>-</v>
      </c>
      <c r="F36" t="str">
        <f>IFERROR(__xludf.DUMMYFUNCTION("""COMPUTED_VALUE"""),"-")</f>
        <v>-</v>
      </c>
      <c r="G36" t="str">
        <f>IFERROR(__xludf.DUMMYFUNCTION("""COMPUTED_VALUE"""),"-")</f>
        <v>-</v>
      </c>
      <c r="H36" t="str">
        <f>IFERROR(__xludf.DUMMYFUNCTION("""COMPUTED_VALUE"""),"-")</f>
        <v>-</v>
      </c>
      <c r="I36" t="str">
        <f>IFERROR(__xludf.DUMMYFUNCTION("""COMPUTED_VALUE"""),"-")</f>
        <v>-</v>
      </c>
      <c r="J36" t="str">
        <f>IFERROR(__xludf.DUMMYFUNCTION("""COMPUTED_VALUE"""),"-")</f>
        <v>-</v>
      </c>
      <c r="K36" t="str">
        <f>IFERROR(__xludf.DUMMYFUNCTION("""COMPUTED_VALUE"""),"-")</f>
        <v>-</v>
      </c>
      <c r="L36" t="str">
        <f>IFERROR(__xludf.DUMMYFUNCTION("""COMPUTED_VALUE"""),"-")</f>
        <v>-</v>
      </c>
      <c r="M36" t="str">
        <f>IFERROR(__xludf.DUMMYFUNCTION("""COMPUTED_VALUE"""),"-")</f>
        <v>-</v>
      </c>
      <c r="O36" t="str">
        <f>IFERROR(__xludf.DUMMYFUNCTION("""COMPUTED_VALUE"""),"#35")</f>
        <v>#35</v>
      </c>
      <c r="P36" t="str">
        <f>IFERROR(__xludf.DUMMYFUNCTION("""COMPUTED_VALUE"""),"Jean-Michel Blanquer")</f>
        <v>Jean-Michel Blanquer</v>
      </c>
      <c r="Q36">
        <f>IFERROR(__xludf.DUMMYFUNCTION("""COMPUTED_VALUE"""),323115.0)</f>
        <v>323115</v>
      </c>
      <c r="R36" t="str">
        <f>IFERROR(__xludf.DUMMYFUNCTION("""COMPUTED_VALUE"""),"-")</f>
        <v>-</v>
      </c>
      <c r="S36" t="str">
        <f>IFERROR(__xludf.DUMMYFUNCTION("""COMPUTED_VALUE"""),"-")</f>
        <v>-</v>
      </c>
      <c r="T36" t="str">
        <f>IFERROR(__xludf.DUMMYFUNCTION("""COMPUTED_VALUE"""),"-")</f>
        <v>-</v>
      </c>
      <c r="U36" t="str">
        <f>IFERROR(__xludf.DUMMYFUNCTION("""COMPUTED_VALUE"""),"-")</f>
        <v>-</v>
      </c>
      <c r="V36" t="str">
        <f>IFERROR(__xludf.DUMMYFUNCTION("""COMPUTED_VALUE"""),"-")</f>
        <v>-</v>
      </c>
      <c r="W36" t="str">
        <f>IFERROR(__xludf.DUMMYFUNCTION("""COMPUTED_VALUE"""),"-")</f>
        <v>-</v>
      </c>
      <c r="X36" t="str">
        <f>IFERROR(__xludf.DUMMYFUNCTION("""COMPUTED_VALUE"""),"-")</f>
        <v>-</v>
      </c>
      <c r="Y36" t="str">
        <f>IFERROR(__xludf.DUMMYFUNCTION("""COMPUTED_VALUE"""),"-")</f>
        <v>-</v>
      </c>
      <c r="Z36" t="str">
        <f>IFERROR(__xludf.DUMMYFUNCTION("""COMPUTED_VALUE"""),"-")</f>
        <v>-</v>
      </c>
      <c r="AA36" t="str">
        <f>IFERROR(__xludf.DUMMYFUNCTION("""COMPUTED_VALUE"""),"-")</f>
        <v>-</v>
      </c>
    </row>
    <row r="37">
      <c r="A37" t="str">
        <f>IFERROR(__xludf.DUMMYFUNCTION("""COMPUTED_VALUE"""),"#36")</f>
        <v>#36</v>
      </c>
      <c r="B37" t="str">
        <f>IFERROR(__xludf.DUMMYFUNCTION("""COMPUTED_VALUE"""),"Jean-Marc Ayrault")</f>
        <v>Jean-Marc Ayrault</v>
      </c>
      <c r="C37">
        <f>IFERROR(__xludf.DUMMYFUNCTION("""COMPUTED_VALUE"""),298449.0)</f>
        <v>298449</v>
      </c>
      <c r="D37" t="str">
        <f>IFERROR(__xludf.DUMMYFUNCTION("""COMPUTED_VALUE"""),"-")</f>
        <v>-</v>
      </c>
      <c r="E37" t="str">
        <f>IFERROR(__xludf.DUMMYFUNCTION("""COMPUTED_VALUE"""),"-")</f>
        <v>-</v>
      </c>
      <c r="F37" t="str">
        <f>IFERROR(__xludf.DUMMYFUNCTION("""COMPUTED_VALUE"""),"-")</f>
        <v>-</v>
      </c>
      <c r="G37" t="str">
        <f>IFERROR(__xludf.DUMMYFUNCTION("""COMPUTED_VALUE"""),"-")</f>
        <v>-</v>
      </c>
      <c r="H37" t="str">
        <f>IFERROR(__xludf.DUMMYFUNCTION("""COMPUTED_VALUE"""),"-")</f>
        <v>-</v>
      </c>
      <c r="I37" t="str">
        <f>IFERROR(__xludf.DUMMYFUNCTION("""COMPUTED_VALUE"""),"-")</f>
        <v>-</v>
      </c>
      <c r="J37" t="str">
        <f>IFERROR(__xludf.DUMMYFUNCTION("""COMPUTED_VALUE"""),"-")</f>
        <v>-</v>
      </c>
      <c r="K37" t="str">
        <f>IFERROR(__xludf.DUMMYFUNCTION("""COMPUTED_VALUE"""),"-")</f>
        <v>-</v>
      </c>
      <c r="L37" t="str">
        <f>IFERROR(__xludf.DUMMYFUNCTION("""COMPUTED_VALUE"""),"-")</f>
        <v>-</v>
      </c>
      <c r="M37" t="str">
        <f>IFERROR(__xludf.DUMMYFUNCTION("""COMPUTED_VALUE"""),"-")</f>
        <v>-</v>
      </c>
      <c r="O37" t="str">
        <f>IFERROR(__xludf.DUMMYFUNCTION("""COMPUTED_VALUE"""),"#36")</f>
        <v>#36</v>
      </c>
      <c r="P37" t="str">
        <f>IFERROR(__xludf.DUMMYFUNCTION("""COMPUTED_VALUE"""),"Jean-Marc Ayrault")</f>
        <v>Jean-Marc Ayrault</v>
      </c>
      <c r="Q37">
        <f>IFERROR(__xludf.DUMMYFUNCTION("""COMPUTED_VALUE"""),298449.0)</f>
        <v>298449</v>
      </c>
      <c r="R37" t="str">
        <f>IFERROR(__xludf.DUMMYFUNCTION("""COMPUTED_VALUE"""),"-")</f>
        <v>-</v>
      </c>
      <c r="S37" t="str">
        <f>IFERROR(__xludf.DUMMYFUNCTION("""COMPUTED_VALUE"""),"-")</f>
        <v>-</v>
      </c>
      <c r="T37" t="str">
        <f>IFERROR(__xludf.DUMMYFUNCTION("""COMPUTED_VALUE"""),"-")</f>
        <v>-</v>
      </c>
      <c r="U37" t="str">
        <f>IFERROR(__xludf.DUMMYFUNCTION("""COMPUTED_VALUE"""),"-")</f>
        <v>-</v>
      </c>
      <c r="V37" t="str">
        <f>IFERROR(__xludf.DUMMYFUNCTION("""COMPUTED_VALUE"""),"-")</f>
        <v>-</v>
      </c>
      <c r="W37" t="str">
        <f>IFERROR(__xludf.DUMMYFUNCTION("""COMPUTED_VALUE"""),"-")</f>
        <v>-</v>
      </c>
      <c r="X37" t="str">
        <f>IFERROR(__xludf.DUMMYFUNCTION("""COMPUTED_VALUE"""),"-")</f>
        <v>-</v>
      </c>
      <c r="Y37" t="str">
        <f>IFERROR(__xludf.DUMMYFUNCTION("""COMPUTED_VALUE"""),"-")</f>
        <v>-</v>
      </c>
      <c r="Z37" t="str">
        <f>IFERROR(__xludf.DUMMYFUNCTION("""COMPUTED_VALUE"""),"-")</f>
        <v>-</v>
      </c>
      <c r="AA37" t="str">
        <f>IFERROR(__xludf.DUMMYFUNCTION("""COMPUTED_VALUE"""),"-")</f>
        <v>-</v>
      </c>
    </row>
    <row r="38">
      <c r="A38" t="str">
        <f>IFERROR(__xludf.DUMMYFUNCTION("""COMPUTED_VALUE"""),"#37")</f>
        <v>#37</v>
      </c>
      <c r="B38" t="str">
        <f>IFERROR(__xludf.DUMMYFUNCTION("""COMPUTED_VALUE"""),"Raphaël Glucksmann")</f>
        <v>Raphaël Glucksmann</v>
      </c>
      <c r="C38">
        <f>IFERROR(__xludf.DUMMYFUNCTION("""COMPUTED_VALUE"""),294910.0)</f>
        <v>294910</v>
      </c>
      <c r="D38" t="str">
        <f>IFERROR(__xludf.DUMMYFUNCTION("""COMPUTED_VALUE"""),"-")</f>
        <v>-</v>
      </c>
      <c r="E38" t="str">
        <f>IFERROR(__xludf.DUMMYFUNCTION("""COMPUTED_VALUE"""),"-")</f>
        <v>-</v>
      </c>
      <c r="F38" t="str">
        <f>IFERROR(__xludf.DUMMYFUNCTION("""COMPUTED_VALUE"""),"-")</f>
        <v>-</v>
      </c>
      <c r="G38" t="str">
        <f>IFERROR(__xludf.DUMMYFUNCTION("""COMPUTED_VALUE"""),"-")</f>
        <v>-</v>
      </c>
      <c r="H38" t="str">
        <f>IFERROR(__xludf.DUMMYFUNCTION("""COMPUTED_VALUE"""),"-")</f>
        <v>-</v>
      </c>
      <c r="I38" t="str">
        <f>IFERROR(__xludf.DUMMYFUNCTION("""COMPUTED_VALUE"""),"-")</f>
        <v>-</v>
      </c>
      <c r="J38" t="str">
        <f>IFERROR(__xludf.DUMMYFUNCTION("""COMPUTED_VALUE"""),"-")</f>
        <v>-</v>
      </c>
      <c r="K38" t="str">
        <f>IFERROR(__xludf.DUMMYFUNCTION("""COMPUTED_VALUE"""),"-")</f>
        <v>-</v>
      </c>
      <c r="L38" t="str">
        <f>IFERROR(__xludf.DUMMYFUNCTION("""COMPUTED_VALUE"""),"-")</f>
        <v>-</v>
      </c>
      <c r="M38" t="str">
        <f>IFERROR(__xludf.DUMMYFUNCTION("""COMPUTED_VALUE"""),"-")</f>
        <v>-</v>
      </c>
      <c r="O38" t="str">
        <f>IFERROR(__xludf.DUMMYFUNCTION("""COMPUTED_VALUE"""),"#37")</f>
        <v>#37</v>
      </c>
      <c r="P38" t="str">
        <f>IFERROR(__xludf.DUMMYFUNCTION("""COMPUTED_VALUE"""),"Raphaël Glucksmann")</f>
        <v>Raphaël Glucksmann</v>
      </c>
      <c r="Q38">
        <f>IFERROR(__xludf.DUMMYFUNCTION("""COMPUTED_VALUE"""),294910.0)</f>
        <v>294910</v>
      </c>
      <c r="R38" t="str">
        <f>IFERROR(__xludf.DUMMYFUNCTION("""COMPUTED_VALUE"""),"-")</f>
        <v>-</v>
      </c>
      <c r="S38" t="str">
        <f>IFERROR(__xludf.DUMMYFUNCTION("""COMPUTED_VALUE"""),"-")</f>
        <v>-</v>
      </c>
      <c r="T38" t="str">
        <f>IFERROR(__xludf.DUMMYFUNCTION("""COMPUTED_VALUE"""),"-")</f>
        <v>-</v>
      </c>
      <c r="U38" t="str">
        <f>IFERROR(__xludf.DUMMYFUNCTION("""COMPUTED_VALUE"""),"-")</f>
        <v>-</v>
      </c>
      <c r="V38" t="str">
        <f>IFERROR(__xludf.DUMMYFUNCTION("""COMPUTED_VALUE"""),"-")</f>
        <v>-</v>
      </c>
      <c r="W38" t="str">
        <f>IFERROR(__xludf.DUMMYFUNCTION("""COMPUTED_VALUE"""),"-")</f>
        <v>-</v>
      </c>
      <c r="X38" t="str">
        <f>IFERROR(__xludf.DUMMYFUNCTION("""COMPUTED_VALUE"""),"-")</f>
        <v>-</v>
      </c>
      <c r="Y38" t="str">
        <f>IFERROR(__xludf.DUMMYFUNCTION("""COMPUTED_VALUE"""),"-")</f>
        <v>-</v>
      </c>
      <c r="Z38" t="str">
        <f>IFERROR(__xludf.DUMMYFUNCTION("""COMPUTED_VALUE"""),"-")</f>
        <v>-</v>
      </c>
      <c r="AA38" t="str">
        <f>IFERROR(__xludf.DUMMYFUNCTION("""COMPUTED_VALUE"""),"-")</f>
        <v>-</v>
      </c>
    </row>
    <row r="39">
      <c r="A39" t="str">
        <f>IFERROR(__xludf.DUMMYFUNCTION("""COMPUTED_VALUE"""),"#38")</f>
        <v>#38</v>
      </c>
      <c r="B39" t="str">
        <f>IFERROR(__xludf.DUMMYFUNCTION("""COMPUTED_VALUE"""),"Philippe Poutou")</f>
        <v>Philippe Poutou</v>
      </c>
      <c r="C39">
        <f>IFERROR(__xludf.DUMMYFUNCTION("""COMPUTED_VALUE"""),283676.0)</f>
        <v>283676</v>
      </c>
      <c r="D39" t="str">
        <f>IFERROR(__xludf.DUMMYFUNCTION("""COMPUTED_VALUE"""),"-")</f>
        <v>-</v>
      </c>
      <c r="E39" t="str">
        <f>IFERROR(__xludf.DUMMYFUNCTION("""COMPUTED_VALUE"""),"-")</f>
        <v>-</v>
      </c>
      <c r="F39" t="str">
        <f>IFERROR(__xludf.DUMMYFUNCTION("""COMPUTED_VALUE"""),"-")</f>
        <v>-</v>
      </c>
      <c r="G39" t="str">
        <f>IFERROR(__xludf.DUMMYFUNCTION("""COMPUTED_VALUE"""),"-")</f>
        <v>-</v>
      </c>
      <c r="H39" t="str">
        <f>IFERROR(__xludf.DUMMYFUNCTION("""COMPUTED_VALUE"""),"-")</f>
        <v>-</v>
      </c>
      <c r="I39" t="str">
        <f>IFERROR(__xludf.DUMMYFUNCTION("""COMPUTED_VALUE"""),"-")</f>
        <v>-</v>
      </c>
      <c r="J39" t="str">
        <f>IFERROR(__xludf.DUMMYFUNCTION("""COMPUTED_VALUE"""),"-")</f>
        <v>-</v>
      </c>
      <c r="K39" t="str">
        <f>IFERROR(__xludf.DUMMYFUNCTION("""COMPUTED_VALUE"""),"-")</f>
        <v>-</v>
      </c>
      <c r="L39" t="str">
        <f>IFERROR(__xludf.DUMMYFUNCTION("""COMPUTED_VALUE"""),"-")</f>
        <v>-</v>
      </c>
      <c r="M39" t="str">
        <f>IFERROR(__xludf.DUMMYFUNCTION("""COMPUTED_VALUE"""),"-")</f>
        <v>-</v>
      </c>
      <c r="O39" t="str">
        <f>IFERROR(__xludf.DUMMYFUNCTION("""COMPUTED_VALUE"""),"#38")</f>
        <v>#38</v>
      </c>
      <c r="P39" t="str">
        <f>IFERROR(__xludf.DUMMYFUNCTION("""COMPUTED_VALUE"""),"Philippe Poutou")</f>
        <v>Philippe Poutou</v>
      </c>
      <c r="Q39">
        <f>IFERROR(__xludf.DUMMYFUNCTION("""COMPUTED_VALUE"""),283676.0)</f>
        <v>283676</v>
      </c>
      <c r="R39" t="str">
        <f>IFERROR(__xludf.DUMMYFUNCTION("""COMPUTED_VALUE"""),"-")</f>
        <v>-</v>
      </c>
      <c r="S39" t="str">
        <f>IFERROR(__xludf.DUMMYFUNCTION("""COMPUTED_VALUE"""),"-")</f>
        <v>-</v>
      </c>
      <c r="T39" t="str">
        <f>IFERROR(__xludf.DUMMYFUNCTION("""COMPUTED_VALUE"""),"-")</f>
        <v>-</v>
      </c>
      <c r="U39" t="str">
        <f>IFERROR(__xludf.DUMMYFUNCTION("""COMPUTED_VALUE"""),"-")</f>
        <v>-</v>
      </c>
      <c r="V39" t="str">
        <f>IFERROR(__xludf.DUMMYFUNCTION("""COMPUTED_VALUE"""),"-")</f>
        <v>-</v>
      </c>
      <c r="W39" t="str">
        <f>IFERROR(__xludf.DUMMYFUNCTION("""COMPUTED_VALUE"""),"-")</f>
        <v>-</v>
      </c>
      <c r="X39" t="str">
        <f>IFERROR(__xludf.DUMMYFUNCTION("""COMPUTED_VALUE"""),"-")</f>
        <v>-</v>
      </c>
      <c r="Y39" t="str">
        <f>IFERROR(__xludf.DUMMYFUNCTION("""COMPUTED_VALUE"""),"-")</f>
        <v>-</v>
      </c>
      <c r="Z39" t="str">
        <f>IFERROR(__xludf.DUMMYFUNCTION("""COMPUTED_VALUE"""),"-")</f>
        <v>-</v>
      </c>
      <c r="AA39" t="str">
        <f>IFERROR(__xludf.DUMMYFUNCTION("""COMPUTED_VALUE"""),"-")</f>
        <v>-</v>
      </c>
    </row>
    <row r="40">
      <c r="A40" t="str">
        <f>IFERROR(__xludf.DUMMYFUNCTION("""COMPUTED_VALUE"""),"#39")</f>
        <v>#39</v>
      </c>
      <c r="B40" t="str">
        <f>IFERROR(__xludf.DUMMYFUNCTION("""COMPUTED_VALUE"""),"Jordan Bardella")</f>
        <v>Jordan Bardella</v>
      </c>
      <c r="C40">
        <f>IFERROR(__xludf.DUMMYFUNCTION("""COMPUTED_VALUE"""),272311.0)</f>
        <v>272311</v>
      </c>
      <c r="D40" t="str">
        <f>IFERROR(__xludf.DUMMYFUNCTION("""COMPUTED_VALUE"""),"-")</f>
        <v>-</v>
      </c>
      <c r="E40" t="str">
        <f>IFERROR(__xludf.DUMMYFUNCTION("""COMPUTED_VALUE"""),"-")</f>
        <v>-</v>
      </c>
      <c r="F40" t="str">
        <f>IFERROR(__xludf.DUMMYFUNCTION("""COMPUTED_VALUE"""),"-")</f>
        <v>-</v>
      </c>
      <c r="G40" t="str">
        <f>IFERROR(__xludf.DUMMYFUNCTION("""COMPUTED_VALUE"""),"-")</f>
        <v>-</v>
      </c>
      <c r="H40" t="str">
        <f>IFERROR(__xludf.DUMMYFUNCTION("""COMPUTED_VALUE"""),"-")</f>
        <v>-</v>
      </c>
      <c r="I40" t="str">
        <f>IFERROR(__xludf.DUMMYFUNCTION("""COMPUTED_VALUE"""),"-")</f>
        <v>-</v>
      </c>
      <c r="J40" t="str">
        <f>IFERROR(__xludf.DUMMYFUNCTION("""COMPUTED_VALUE"""),"-")</f>
        <v>-</v>
      </c>
      <c r="K40" t="str">
        <f>IFERROR(__xludf.DUMMYFUNCTION("""COMPUTED_VALUE"""),"-")</f>
        <v>-</v>
      </c>
      <c r="L40" t="str">
        <f>IFERROR(__xludf.DUMMYFUNCTION("""COMPUTED_VALUE"""),"-")</f>
        <v>-</v>
      </c>
      <c r="M40" t="str">
        <f>IFERROR(__xludf.DUMMYFUNCTION("""COMPUTED_VALUE"""),"-")</f>
        <v>-</v>
      </c>
      <c r="O40" t="str">
        <f>IFERROR(__xludf.DUMMYFUNCTION("""COMPUTED_VALUE"""),"#39")</f>
        <v>#39</v>
      </c>
      <c r="P40" t="str">
        <f>IFERROR(__xludf.DUMMYFUNCTION("""COMPUTED_VALUE"""),"Jordan Bardella")</f>
        <v>Jordan Bardella</v>
      </c>
      <c r="Q40">
        <f>IFERROR(__xludf.DUMMYFUNCTION("""COMPUTED_VALUE"""),272311.0)</f>
        <v>272311</v>
      </c>
      <c r="R40" t="str">
        <f>IFERROR(__xludf.DUMMYFUNCTION("""COMPUTED_VALUE"""),"-")</f>
        <v>-</v>
      </c>
      <c r="S40" t="str">
        <f>IFERROR(__xludf.DUMMYFUNCTION("""COMPUTED_VALUE"""),"-")</f>
        <v>-</v>
      </c>
      <c r="T40" t="str">
        <f>IFERROR(__xludf.DUMMYFUNCTION("""COMPUTED_VALUE"""),"-")</f>
        <v>-</v>
      </c>
      <c r="U40" t="str">
        <f>IFERROR(__xludf.DUMMYFUNCTION("""COMPUTED_VALUE"""),"-")</f>
        <v>-</v>
      </c>
      <c r="V40" t="str">
        <f>IFERROR(__xludf.DUMMYFUNCTION("""COMPUTED_VALUE"""),"-")</f>
        <v>-</v>
      </c>
      <c r="W40" t="str">
        <f>IFERROR(__xludf.DUMMYFUNCTION("""COMPUTED_VALUE"""),"-")</f>
        <v>-</v>
      </c>
      <c r="X40" t="str">
        <f>IFERROR(__xludf.DUMMYFUNCTION("""COMPUTED_VALUE"""),"-")</f>
        <v>-</v>
      </c>
      <c r="Y40" t="str">
        <f>IFERROR(__xludf.DUMMYFUNCTION("""COMPUTED_VALUE"""),"-")</f>
        <v>-</v>
      </c>
      <c r="Z40" t="str">
        <f>IFERROR(__xludf.DUMMYFUNCTION("""COMPUTED_VALUE"""),"-")</f>
        <v>-</v>
      </c>
      <c r="AA40" t="str">
        <f>IFERROR(__xludf.DUMMYFUNCTION("""COMPUTED_VALUE"""),"-")</f>
        <v>-</v>
      </c>
    </row>
    <row r="41">
      <c r="A41" t="str">
        <f>IFERROR(__xludf.DUMMYFUNCTION("""COMPUTED_VALUE"""),"#40")</f>
        <v>#40</v>
      </c>
      <c r="B41" t="str">
        <f>IFERROR(__xludf.DUMMYFUNCTION("""COMPUTED_VALUE"""),"Nadine Morano")</f>
        <v>Nadine Morano</v>
      </c>
      <c r="C41">
        <f>IFERROR(__xludf.DUMMYFUNCTION("""COMPUTED_VALUE"""),258552.0)</f>
        <v>258552</v>
      </c>
      <c r="D41" t="str">
        <f>IFERROR(__xludf.DUMMYFUNCTION("""COMPUTED_VALUE"""),"-")</f>
        <v>-</v>
      </c>
      <c r="E41" t="str">
        <f>IFERROR(__xludf.DUMMYFUNCTION("""COMPUTED_VALUE"""),"-")</f>
        <v>-</v>
      </c>
      <c r="F41" t="str">
        <f>IFERROR(__xludf.DUMMYFUNCTION("""COMPUTED_VALUE"""),"-")</f>
        <v>-</v>
      </c>
      <c r="G41" t="str">
        <f>IFERROR(__xludf.DUMMYFUNCTION("""COMPUTED_VALUE"""),"-")</f>
        <v>-</v>
      </c>
      <c r="H41" t="str">
        <f>IFERROR(__xludf.DUMMYFUNCTION("""COMPUTED_VALUE"""),"-")</f>
        <v>-</v>
      </c>
      <c r="I41" t="str">
        <f>IFERROR(__xludf.DUMMYFUNCTION("""COMPUTED_VALUE"""),"-")</f>
        <v>-</v>
      </c>
      <c r="J41" t="str">
        <f>IFERROR(__xludf.DUMMYFUNCTION("""COMPUTED_VALUE"""),"-")</f>
        <v>-</v>
      </c>
      <c r="K41" t="str">
        <f>IFERROR(__xludf.DUMMYFUNCTION("""COMPUTED_VALUE"""),"-")</f>
        <v>-</v>
      </c>
      <c r="L41" t="str">
        <f>IFERROR(__xludf.DUMMYFUNCTION("""COMPUTED_VALUE"""),"-")</f>
        <v>-</v>
      </c>
      <c r="M41" t="str">
        <f>IFERROR(__xludf.DUMMYFUNCTION("""COMPUTED_VALUE"""),"-")</f>
        <v>-</v>
      </c>
      <c r="O41" t="str">
        <f>IFERROR(__xludf.DUMMYFUNCTION("""COMPUTED_VALUE"""),"#40")</f>
        <v>#40</v>
      </c>
      <c r="P41" t="str">
        <f>IFERROR(__xludf.DUMMYFUNCTION("""COMPUTED_VALUE"""),"Nadine Morano")</f>
        <v>Nadine Morano</v>
      </c>
      <c r="Q41">
        <f>IFERROR(__xludf.DUMMYFUNCTION("""COMPUTED_VALUE"""),258552.0)</f>
        <v>258552</v>
      </c>
      <c r="R41" t="str">
        <f>IFERROR(__xludf.DUMMYFUNCTION("""COMPUTED_VALUE"""),"-")</f>
        <v>-</v>
      </c>
      <c r="S41" t="str">
        <f>IFERROR(__xludf.DUMMYFUNCTION("""COMPUTED_VALUE"""),"-")</f>
        <v>-</v>
      </c>
      <c r="T41" t="str">
        <f>IFERROR(__xludf.DUMMYFUNCTION("""COMPUTED_VALUE"""),"-")</f>
        <v>-</v>
      </c>
      <c r="U41" t="str">
        <f>IFERROR(__xludf.DUMMYFUNCTION("""COMPUTED_VALUE"""),"-")</f>
        <v>-</v>
      </c>
      <c r="V41" t="str">
        <f>IFERROR(__xludf.DUMMYFUNCTION("""COMPUTED_VALUE"""),"-")</f>
        <v>-</v>
      </c>
      <c r="W41" t="str">
        <f>IFERROR(__xludf.DUMMYFUNCTION("""COMPUTED_VALUE"""),"-")</f>
        <v>-</v>
      </c>
      <c r="X41" t="str">
        <f>IFERROR(__xludf.DUMMYFUNCTION("""COMPUTED_VALUE"""),"-")</f>
        <v>-</v>
      </c>
      <c r="Y41" t="str">
        <f>IFERROR(__xludf.DUMMYFUNCTION("""COMPUTED_VALUE"""),"-")</f>
        <v>-</v>
      </c>
      <c r="Z41" t="str">
        <f>IFERROR(__xludf.DUMMYFUNCTION("""COMPUTED_VALUE"""),"-")</f>
        <v>-</v>
      </c>
      <c r="AA41" t="str">
        <f>IFERROR(__xludf.DUMMYFUNCTION("""COMPUTED_VALUE"""),"-")</f>
        <v>-</v>
      </c>
    </row>
    <row r="42">
      <c r="A42" t="str">
        <f>IFERROR(__xludf.DUMMYFUNCTION("""COMPUTED_VALUE"""),"#41")</f>
        <v>#41</v>
      </c>
      <c r="B42" t="str">
        <f>IFERROR(__xludf.DUMMYFUNCTION("""COMPUTED_VALUE"""),"Eric Ciotti")</f>
        <v>Eric Ciotti</v>
      </c>
      <c r="C42">
        <f>IFERROR(__xludf.DUMMYFUNCTION("""COMPUTED_VALUE"""),258153.0)</f>
        <v>258153</v>
      </c>
      <c r="D42" t="str">
        <f>IFERROR(__xludf.DUMMYFUNCTION("""COMPUTED_VALUE"""),"-")</f>
        <v>-</v>
      </c>
      <c r="E42" t="str">
        <f>IFERROR(__xludf.DUMMYFUNCTION("""COMPUTED_VALUE"""),"-")</f>
        <v>-</v>
      </c>
      <c r="F42" t="str">
        <f>IFERROR(__xludf.DUMMYFUNCTION("""COMPUTED_VALUE"""),"-")</f>
        <v>-</v>
      </c>
      <c r="G42" t="str">
        <f>IFERROR(__xludf.DUMMYFUNCTION("""COMPUTED_VALUE"""),"-")</f>
        <v>-</v>
      </c>
      <c r="H42" t="str">
        <f>IFERROR(__xludf.DUMMYFUNCTION("""COMPUTED_VALUE"""),"-")</f>
        <v>-</v>
      </c>
      <c r="I42" t="str">
        <f>IFERROR(__xludf.DUMMYFUNCTION("""COMPUTED_VALUE"""),"-")</f>
        <v>-</v>
      </c>
      <c r="J42" t="str">
        <f>IFERROR(__xludf.DUMMYFUNCTION("""COMPUTED_VALUE"""),"-")</f>
        <v>-</v>
      </c>
      <c r="K42" t="str">
        <f>IFERROR(__xludf.DUMMYFUNCTION("""COMPUTED_VALUE"""),"-")</f>
        <v>-</v>
      </c>
      <c r="L42" t="str">
        <f>IFERROR(__xludf.DUMMYFUNCTION("""COMPUTED_VALUE"""),"-")</f>
        <v>-</v>
      </c>
      <c r="M42" t="str">
        <f>IFERROR(__xludf.DUMMYFUNCTION("""COMPUTED_VALUE"""),"-")</f>
        <v>-</v>
      </c>
      <c r="O42" t="str">
        <f>IFERROR(__xludf.DUMMYFUNCTION("""COMPUTED_VALUE"""),"#41")</f>
        <v>#41</v>
      </c>
      <c r="P42" t="str">
        <f>IFERROR(__xludf.DUMMYFUNCTION("""COMPUTED_VALUE"""),"Eric Ciotti")</f>
        <v>Eric Ciotti</v>
      </c>
      <c r="Q42">
        <f>IFERROR(__xludf.DUMMYFUNCTION("""COMPUTED_VALUE"""),258153.0)</f>
        <v>258153</v>
      </c>
      <c r="R42" t="str">
        <f>IFERROR(__xludf.DUMMYFUNCTION("""COMPUTED_VALUE"""),"-")</f>
        <v>-</v>
      </c>
      <c r="S42" t="str">
        <f>IFERROR(__xludf.DUMMYFUNCTION("""COMPUTED_VALUE"""),"-")</f>
        <v>-</v>
      </c>
      <c r="T42" t="str">
        <f>IFERROR(__xludf.DUMMYFUNCTION("""COMPUTED_VALUE"""),"-")</f>
        <v>-</v>
      </c>
      <c r="U42" t="str">
        <f>IFERROR(__xludf.DUMMYFUNCTION("""COMPUTED_VALUE"""),"-")</f>
        <v>-</v>
      </c>
      <c r="V42" t="str">
        <f>IFERROR(__xludf.DUMMYFUNCTION("""COMPUTED_VALUE"""),"-")</f>
        <v>-</v>
      </c>
      <c r="W42" t="str">
        <f>IFERROR(__xludf.DUMMYFUNCTION("""COMPUTED_VALUE"""),"-")</f>
        <v>-</v>
      </c>
      <c r="X42" t="str">
        <f>IFERROR(__xludf.DUMMYFUNCTION("""COMPUTED_VALUE"""),"-")</f>
        <v>-</v>
      </c>
      <c r="Y42" t="str">
        <f>IFERROR(__xludf.DUMMYFUNCTION("""COMPUTED_VALUE"""),"-")</f>
        <v>-</v>
      </c>
      <c r="Z42" t="str">
        <f>IFERROR(__xludf.DUMMYFUNCTION("""COMPUTED_VALUE"""),"-")</f>
        <v>-</v>
      </c>
      <c r="AA42" t="str">
        <f>IFERROR(__xludf.DUMMYFUNCTION("""COMPUTED_VALUE"""),"-")</f>
        <v>-</v>
      </c>
    </row>
    <row r="43">
      <c r="A43" t="str">
        <f>IFERROR(__xludf.DUMMYFUNCTION("""COMPUTED_VALUE"""),"#42")</f>
        <v>#42</v>
      </c>
      <c r="B43" t="str">
        <f>IFERROR(__xludf.DUMMYFUNCTION("""COMPUTED_VALUE"""),"Laurent Fabius")</f>
        <v>Laurent Fabius</v>
      </c>
      <c r="C43">
        <f>IFERROR(__xludf.DUMMYFUNCTION("""COMPUTED_VALUE"""),253419.0)</f>
        <v>253419</v>
      </c>
      <c r="D43" t="str">
        <f>IFERROR(__xludf.DUMMYFUNCTION("""COMPUTED_VALUE"""),"-")</f>
        <v>-</v>
      </c>
      <c r="E43" t="str">
        <f>IFERROR(__xludf.DUMMYFUNCTION("""COMPUTED_VALUE"""),"-")</f>
        <v>-</v>
      </c>
      <c r="F43" t="str">
        <f>IFERROR(__xludf.DUMMYFUNCTION("""COMPUTED_VALUE"""),"-")</f>
        <v>-</v>
      </c>
      <c r="G43" t="str">
        <f>IFERROR(__xludf.DUMMYFUNCTION("""COMPUTED_VALUE"""),"-")</f>
        <v>-</v>
      </c>
      <c r="H43" t="str">
        <f>IFERROR(__xludf.DUMMYFUNCTION("""COMPUTED_VALUE"""),"-")</f>
        <v>-</v>
      </c>
      <c r="I43" t="str">
        <f>IFERROR(__xludf.DUMMYFUNCTION("""COMPUTED_VALUE"""),"-")</f>
        <v>-</v>
      </c>
      <c r="J43" t="str">
        <f>IFERROR(__xludf.DUMMYFUNCTION("""COMPUTED_VALUE"""),"-")</f>
        <v>-</v>
      </c>
      <c r="K43" t="str">
        <f>IFERROR(__xludf.DUMMYFUNCTION("""COMPUTED_VALUE"""),"-")</f>
        <v>-</v>
      </c>
      <c r="L43" t="str">
        <f>IFERROR(__xludf.DUMMYFUNCTION("""COMPUTED_VALUE"""),"-")</f>
        <v>-</v>
      </c>
      <c r="M43" t="str">
        <f>IFERROR(__xludf.DUMMYFUNCTION("""COMPUTED_VALUE"""),"-")</f>
        <v>-</v>
      </c>
      <c r="O43" t="str">
        <f>IFERROR(__xludf.DUMMYFUNCTION("""COMPUTED_VALUE"""),"#42")</f>
        <v>#42</v>
      </c>
      <c r="P43" t="str">
        <f>IFERROR(__xludf.DUMMYFUNCTION("""COMPUTED_VALUE"""),"Laurent Fabius")</f>
        <v>Laurent Fabius</v>
      </c>
      <c r="Q43">
        <f>IFERROR(__xludf.DUMMYFUNCTION("""COMPUTED_VALUE"""),253419.0)</f>
        <v>253419</v>
      </c>
      <c r="R43" t="str">
        <f>IFERROR(__xludf.DUMMYFUNCTION("""COMPUTED_VALUE"""),"-")</f>
        <v>-</v>
      </c>
      <c r="S43" t="str">
        <f>IFERROR(__xludf.DUMMYFUNCTION("""COMPUTED_VALUE"""),"-")</f>
        <v>-</v>
      </c>
      <c r="T43" t="str">
        <f>IFERROR(__xludf.DUMMYFUNCTION("""COMPUTED_VALUE"""),"-")</f>
        <v>-</v>
      </c>
      <c r="U43" t="str">
        <f>IFERROR(__xludf.DUMMYFUNCTION("""COMPUTED_VALUE"""),"-")</f>
        <v>-</v>
      </c>
      <c r="V43" t="str">
        <f>IFERROR(__xludf.DUMMYFUNCTION("""COMPUTED_VALUE"""),"-")</f>
        <v>-</v>
      </c>
      <c r="W43" t="str">
        <f>IFERROR(__xludf.DUMMYFUNCTION("""COMPUTED_VALUE"""),"-")</f>
        <v>-</v>
      </c>
      <c r="X43" t="str">
        <f>IFERROR(__xludf.DUMMYFUNCTION("""COMPUTED_VALUE"""),"-")</f>
        <v>-</v>
      </c>
      <c r="Y43" t="str">
        <f>IFERROR(__xludf.DUMMYFUNCTION("""COMPUTED_VALUE"""),"-")</f>
        <v>-</v>
      </c>
      <c r="Z43" t="str">
        <f>IFERROR(__xludf.DUMMYFUNCTION("""COMPUTED_VALUE"""),"-")</f>
        <v>-</v>
      </c>
      <c r="AA43" t="str">
        <f>IFERROR(__xludf.DUMMYFUNCTION("""COMPUTED_VALUE"""),"-")</f>
        <v>-</v>
      </c>
    </row>
    <row r="44">
      <c r="A44" t="str">
        <f>IFERROR(__xludf.DUMMYFUNCTION("""COMPUTED_VALUE"""),"#43")</f>
        <v>#43</v>
      </c>
      <c r="B44" t="str">
        <f>IFERROR(__xludf.DUMMYFUNCTION("""COMPUTED_VALUE"""),"Benjamin Griveaux")</f>
        <v>Benjamin Griveaux</v>
      </c>
      <c r="C44">
        <f>IFERROR(__xludf.DUMMYFUNCTION("""COMPUTED_VALUE"""),251688.0)</f>
        <v>251688</v>
      </c>
      <c r="D44" t="str">
        <f>IFERROR(__xludf.DUMMYFUNCTION("""COMPUTED_VALUE"""),"-")</f>
        <v>-</v>
      </c>
      <c r="E44" t="str">
        <f>IFERROR(__xludf.DUMMYFUNCTION("""COMPUTED_VALUE"""),"-")</f>
        <v>-</v>
      </c>
      <c r="F44" t="str">
        <f>IFERROR(__xludf.DUMMYFUNCTION("""COMPUTED_VALUE"""),"-")</f>
        <v>-</v>
      </c>
      <c r="G44" t="str">
        <f>IFERROR(__xludf.DUMMYFUNCTION("""COMPUTED_VALUE"""),"-")</f>
        <v>-</v>
      </c>
      <c r="H44" t="str">
        <f>IFERROR(__xludf.DUMMYFUNCTION("""COMPUTED_VALUE"""),"-")</f>
        <v>-</v>
      </c>
      <c r="I44" t="str">
        <f>IFERROR(__xludf.DUMMYFUNCTION("""COMPUTED_VALUE"""),"-")</f>
        <v>-</v>
      </c>
      <c r="J44" t="str">
        <f>IFERROR(__xludf.DUMMYFUNCTION("""COMPUTED_VALUE"""),"-")</f>
        <v>-</v>
      </c>
      <c r="K44" t="str">
        <f>IFERROR(__xludf.DUMMYFUNCTION("""COMPUTED_VALUE"""),"-")</f>
        <v>-</v>
      </c>
      <c r="L44" t="str">
        <f>IFERROR(__xludf.DUMMYFUNCTION("""COMPUTED_VALUE"""),"-")</f>
        <v>-</v>
      </c>
      <c r="M44" t="str">
        <f>IFERROR(__xludf.DUMMYFUNCTION("""COMPUTED_VALUE"""),"-")</f>
        <v>-</v>
      </c>
      <c r="O44" t="str">
        <f>IFERROR(__xludf.DUMMYFUNCTION("""COMPUTED_VALUE"""),"#43")</f>
        <v>#43</v>
      </c>
      <c r="P44" t="str">
        <f>IFERROR(__xludf.DUMMYFUNCTION("""COMPUTED_VALUE"""),"Benjamin Griveaux")</f>
        <v>Benjamin Griveaux</v>
      </c>
      <c r="Q44">
        <f>IFERROR(__xludf.DUMMYFUNCTION("""COMPUTED_VALUE"""),251688.0)</f>
        <v>251688</v>
      </c>
      <c r="R44" t="str">
        <f>IFERROR(__xludf.DUMMYFUNCTION("""COMPUTED_VALUE"""),"-")</f>
        <v>-</v>
      </c>
      <c r="S44" t="str">
        <f>IFERROR(__xludf.DUMMYFUNCTION("""COMPUTED_VALUE"""),"-")</f>
        <v>-</v>
      </c>
      <c r="T44" t="str">
        <f>IFERROR(__xludf.DUMMYFUNCTION("""COMPUTED_VALUE"""),"-")</f>
        <v>-</v>
      </c>
      <c r="U44" t="str">
        <f>IFERROR(__xludf.DUMMYFUNCTION("""COMPUTED_VALUE"""),"-")</f>
        <v>-</v>
      </c>
      <c r="V44" t="str">
        <f>IFERROR(__xludf.DUMMYFUNCTION("""COMPUTED_VALUE"""),"-")</f>
        <v>-</v>
      </c>
      <c r="W44" t="str">
        <f>IFERROR(__xludf.DUMMYFUNCTION("""COMPUTED_VALUE"""),"-")</f>
        <v>-</v>
      </c>
      <c r="X44" t="str">
        <f>IFERROR(__xludf.DUMMYFUNCTION("""COMPUTED_VALUE"""),"-")</f>
        <v>-</v>
      </c>
      <c r="Y44" t="str">
        <f>IFERROR(__xludf.DUMMYFUNCTION("""COMPUTED_VALUE"""),"-")</f>
        <v>-</v>
      </c>
      <c r="Z44" t="str">
        <f>IFERROR(__xludf.DUMMYFUNCTION("""COMPUTED_VALUE"""),"-")</f>
        <v>-</v>
      </c>
      <c r="AA44" t="str">
        <f>IFERROR(__xludf.DUMMYFUNCTION("""COMPUTED_VALUE"""),"-")</f>
        <v>-</v>
      </c>
    </row>
    <row r="45">
      <c r="A45" t="str">
        <f>IFERROR(__xludf.DUMMYFUNCTION("""COMPUTED_VALUE"""),"#44")</f>
        <v>#44</v>
      </c>
      <c r="B45" t="str">
        <f>IFERROR(__xludf.DUMMYFUNCTION("""COMPUTED_VALUE"""),"Elisabeth Borne")</f>
        <v>Elisabeth Borne</v>
      </c>
      <c r="C45">
        <f>IFERROR(__xludf.DUMMYFUNCTION("""COMPUTED_VALUE"""),249557.0)</f>
        <v>249557</v>
      </c>
      <c r="D45" t="str">
        <f>IFERROR(__xludf.DUMMYFUNCTION("""COMPUTED_VALUE"""),"-")</f>
        <v>-</v>
      </c>
      <c r="E45" t="str">
        <f>IFERROR(__xludf.DUMMYFUNCTION("""COMPUTED_VALUE"""),"-")</f>
        <v>-</v>
      </c>
      <c r="F45" t="str">
        <f>IFERROR(__xludf.DUMMYFUNCTION("""COMPUTED_VALUE"""),"-")</f>
        <v>-</v>
      </c>
      <c r="G45" t="str">
        <f>IFERROR(__xludf.DUMMYFUNCTION("""COMPUTED_VALUE"""),"-")</f>
        <v>-</v>
      </c>
      <c r="H45" t="str">
        <f>IFERROR(__xludf.DUMMYFUNCTION("""COMPUTED_VALUE"""),"-")</f>
        <v>-</v>
      </c>
      <c r="I45" t="str">
        <f>IFERROR(__xludf.DUMMYFUNCTION("""COMPUTED_VALUE"""),"-")</f>
        <v>-</v>
      </c>
      <c r="J45" t="str">
        <f>IFERROR(__xludf.DUMMYFUNCTION("""COMPUTED_VALUE"""),"-")</f>
        <v>-</v>
      </c>
      <c r="K45" t="str">
        <f>IFERROR(__xludf.DUMMYFUNCTION("""COMPUTED_VALUE"""),"-")</f>
        <v>-</v>
      </c>
      <c r="L45" t="str">
        <f>IFERROR(__xludf.DUMMYFUNCTION("""COMPUTED_VALUE"""),"-")</f>
        <v>-</v>
      </c>
      <c r="M45" t="str">
        <f>IFERROR(__xludf.DUMMYFUNCTION("""COMPUTED_VALUE"""),"-")</f>
        <v>-</v>
      </c>
      <c r="O45" t="str">
        <f>IFERROR(__xludf.DUMMYFUNCTION("""COMPUTED_VALUE"""),"#44")</f>
        <v>#44</v>
      </c>
      <c r="P45" t="str">
        <f>IFERROR(__xludf.DUMMYFUNCTION("""COMPUTED_VALUE"""),"Elisabeth Borne")</f>
        <v>Elisabeth Borne</v>
      </c>
      <c r="Q45">
        <f>IFERROR(__xludf.DUMMYFUNCTION("""COMPUTED_VALUE"""),249557.0)</f>
        <v>249557</v>
      </c>
      <c r="R45" t="str">
        <f>IFERROR(__xludf.DUMMYFUNCTION("""COMPUTED_VALUE"""),"-")</f>
        <v>-</v>
      </c>
      <c r="S45" t="str">
        <f>IFERROR(__xludf.DUMMYFUNCTION("""COMPUTED_VALUE"""),"-")</f>
        <v>-</v>
      </c>
      <c r="T45" t="str">
        <f>IFERROR(__xludf.DUMMYFUNCTION("""COMPUTED_VALUE"""),"-")</f>
        <v>-</v>
      </c>
      <c r="U45" t="str">
        <f>IFERROR(__xludf.DUMMYFUNCTION("""COMPUTED_VALUE"""),"-")</f>
        <v>-</v>
      </c>
      <c r="V45" t="str">
        <f>IFERROR(__xludf.DUMMYFUNCTION("""COMPUTED_VALUE"""),"-")</f>
        <v>-</v>
      </c>
      <c r="W45" t="str">
        <f>IFERROR(__xludf.DUMMYFUNCTION("""COMPUTED_VALUE"""),"-")</f>
        <v>-</v>
      </c>
      <c r="X45" t="str">
        <f>IFERROR(__xludf.DUMMYFUNCTION("""COMPUTED_VALUE"""),"-")</f>
        <v>-</v>
      </c>
      <c r="Y45" t="str">
        <f>IFERROR(__xludf.DUMMYFUNCTION("""COMPUTED_VALUE"""),"-")</f>
        <v>-</v>
      </c>
      <c r="Z45" t="str">
        <f>IFERROR(__xludf.DUMMYFUNCTION("""COMPUTED_VALUE"""),"-")</f>
        <v>-</v>
      </c>
      <c r="AA45" t="str">
        <f>IFERROR(__xludf.DUMMYFUNCTION("""COMPUTED_VALUE"""),"-")</f>
        <v>-</v>
      </c>
    </row>
    <row r="46">
      <c r="A46" t="str">
        <f>IFERROR(__xludf.DUMMYFUNCTION("""COMPUTED_VALUE"""),"#45")</f>
        <v>#45</v>
      </c>
      <c r="B46" t="str">
        <f>IFERROR(__xludf.DUMMYFUNCTION("""COMPUTED_VALUE"""),"Marlène Schiappa")</f>
        <v>Marlène Schiappa</v>
      </c>
      <c r="C46">
        <f>IFERROR(__xludf.DUMMYFUNCTION("""COMPUTED_VALUE"""),248598.0)</f>
        <v>248598</v>
      </c>
      <c r="D46" t="str">
        <f>IFERROR(__xludf.DUMMYFUNCTION("""COMPUTED_VALUE"""),"-")</f>
        <v>-</v>
      </c>
      <c r="E46" t="str">
        <f>IFERROR(__xludf.DUMMYFUNCTION("""COMPUTED_VALUE"""),"-")</f>
        <v>-</v>
      </c>
      <c r="F46" t="str">
        <f>IFERROR(__xludf.DUMMYFUNCTION("""COMPUTED_VALUE"""),"-")</f>
        <v>-</v>
      </c>
      <c r="G46" t="str">
        <f>IFERROR(__xludf.DUMMYFUNCTION("""COMPUTED_VALUE"""),"-")</f>
        <v>-</v>
      </c>
      <c r="H46" t="str">
        <f>IFERROR(__xludf.DUMMYFUNCTION("""COMPUTED_VALUE"""),"-")</f>
        <v>-</v>
      </c>
      <c r="I46" t="str">
        <f>IFERROR(__xludf.DUMMYFUNCTION("""COMPUTED_VALUE"""),"-")</f>
        <v>-</v>
      </c>
      <c r="J46" t="str">
        <f>IFERROR(__xludf.DUMMYFUNCTION("""COMPUTED_VALUE"""),"-")</f>
        <v>-</v>
      </c>
      <c r="K46" t="str">
        <f>IFERROR(__xludf.DUMMYFUNCTION("""COMPUTED_VALUE"""),"-")</f>
        <v>-</v>
      </c>
      <c r="L46" t="str">
        <f>IFERROR(__xludf.DUMMYFUNCTION("""COMPUTED_VALUE"""),"-")</f>
        <v>-</v>
      </c>
      <c r="M46" t="str">
        <f>IFERROR(__xludf.DUMMYFUNCTION("""COMPUTED_VALUE"""),"-")</f>
        <v>-</v>
      </c>
      <c r="O46" t="str">
        <f>IFERROR(__xludf.DUMMYFUNCTION("""COMPUTED_VALUE"""),"#45")</f>
        <v>#45</v>
      </c>
      <c r="P46" t="str">
        <f>IFERROR(__xludf.DUMMYFUNCTION("""COMPUTED_VALUE"""),"Marlène Schiappa")</f>
        <v>Marlène Schiappa</v>
      </c>
      <c r="Q46">
        <f>IFERROR(__xludf.DUMMYFUNCTION("""COMPUTED_VALUE"""),248598.0)</f>
        <v>248598</v>
      </c>
      <c r="R46" t="str">
        <f>IFERROR(__xludf.DUMMYFUNCTION("""COMPUTED_VALUE"""),"-")</f>
        <v>-</v>
      </c>
      <c r="S46" t="str">
        <f>IFERROR(__xludf.DUMMYFUNCTION("""COMPUTED_VALUE"""),"-")</f>
        <v>-</v>
      </c>
      <c r="T46" t="str">
        <f>IFERROR(__xludf.DUMMYFUNCTION("""COMPUTED_VALUE"""),"-")</f>
        <v>-</v>
      </c>
      <c r="U46" t="str">
        <f>IFERROR(__xludf.DUMMYFUNCTION("""COMPUTED_VALUE"""),"-")</f>
        <v>-</v>
      </c>
      <c r="V46" t="str">
        <f>IFERROR(__xludf.DUMMYFUNCTION("""COMPUTED_VALUE"""),"-")</f>
        <v>-</v>
      </c>
      <c r="W46" t="str">
        <f>IFERROR(__xludf.DUMMYFUNCTION("""COMPUTED_VALUE"""),"-")</f>
        <v>-</v>
      </c>
      <c r="X46" t="str">
        <f>IFERROR(__xludf.DUMMYFUNCTION("""COMPUTED_VALUE"""),"-")</f>
        <v>-</v>
      </c>
      <c r="Y46" t="str">
        <f>IFERROR(__xludf.DUMMYFUNCTION("""COMPUTED_VALUE"""),"-")</f>
        <v>-</v>
      </c>
      <c r="Z46" t="str">
        <f>IFERROR(__xludf.DUMMYFUNCTION("""COMPUTED_VALUE"""),"-")</f>
        <v>-</v>
      </c>
      <c r="AA46" t="str">
        <f>IFERROR(__xludf.DUMMYFUNCTION("""COMPUTED_VALUE"""),"-")</f>
        <v>-</v>
      </c>
    </row>
    <row r="47">
      <c r="A47" t="str">
        <f>IFERROR(__xludf.DUMMYFUNCTION("""COMPUTED_VALUE"""),"#46")</f>
        <v>#46</v>
      </c>
      <c r="B47" t="str">
        <f>IFERROR(__xludf.DUMMYFUNCTION("""COMPUTED_VALUE"""),"Éric Dupond-Moretti")</f>
        <v>Éric Dupond-Moretti</v>
      </c>
      <c r="C47">
        <f>IFERROR(__xludf.DUMMYFUNCTION("""COMPUTED_VALUE"""),241882.0)</f>
        <v>241882</v>
      </c>
      <c r="D47" t="str">
        <f>IFERROR(__xludf.DUMMYFUNCTION("""COMPUTED_VALUE"""),"-")</f>
        <v>-</v>
      </c>
      <c r="E47" t="str">
        <f>IFERROR(__xludf.DUMMYFUNCTION("""COMPUTED_VALUE"""),"-")</f>
        <v>-</v>
      </c>
      <c r="F47" t="str">
        <f>IFERROR(__xludf.DUMMYFUNCTION("""COMPUTED_VALUE"""),"-")</f>
        <v>-</v>
      </c>
      <c r="G47" t="str">
        <f>IFERROR(__xludf.DUMMYFUNCTION("""COMPUTED_VALUE"""),"-")</f>
        <v>-</v>
      </c>
      <c r="H47" t="str">
        <f>IFERROR(__xludf.DUMMYFUNCTION("""COMPUTED_VALUE"""),"-")</f>
        <v>-</v>
      </c>
      <c r="I47" t="str">
        <f>IFERROR(__xludf.DUMMYFUNCTION("""COMPUTED_VALUE"""),"-")</f>
        <v>-</v>
      </c>
      <c r="J47" t="str">
        <f>IFERROR(__xludf.DUMMYFUNCTION("""COMPUTED_VALUE"""),"-")</f>
        <v>-</v>
      </c>
      <c r="K47" t="str">
        <f>IFERROR(__xludf.DUMMYFUNCTION("""COMPUTED_VALUE"""),"-")</f>
        <v>-</v>
      </c>
      <c r="L47" t="str">
        <f>IFERROR(__xludf.DUMMYFUNCTION("""COMPUTED_VALUE"""),"-")</f>
        <v>-</v>
      </c>
      <c r="M47" t="str">
        <f>IFERROR(__xludf.DUMMYFUNCTION("""COMPUTED_VALUE"""),"-")</f>
        <v>-</v>
      </c>
      <c r="O47" t="str">
        <f>IFERROR(__xludf.DUMMYFUNCTION("""COMPUTED_VALUE"""),"#46")</f>
        <v>#46</v>
      </c>
      <c r="P47" t="str">
        <f>IFERROR(__xludf.DUMMYFUNCTION("""COMPUTED_VALUE"""),"Éric Dupond-Moretti")</f>
        <v>Éric Dupond-Moretti</v>
      </c>
      <c r="Q47">
        <f>IFERROR(__xludf.DUMMYFUNCTION("""COMPUTED_VALUE"""),241882.0)</f>
        <v>241882</v>
      </c>
      <c r="R47" t="str">
        <f>IFERROR(__xludf.DUMMYFUNCTION("""COMPUTED_VALUE"""),"-")</f>
        <v>-</v>
      </c>
      <c r="S47" t="str">
        <f>IFERROR(__xludf.DUMMYFUNCTION("""COMPUTED_VALUE"""),"-")</f>
        <v>-</v>
      </c>
      <c r="T47" t="str">
        <f>IFERROR(__xludf.DUMMYFUNCTION("""COMPUTED_VALUE"""),"-")</f>
        <v>-</v>
      </c>
      <c r="U47" t="str">
        <f>IFERROR(__xludf.DUMMYFUNCTION("""COMPUTED_VALUE"""),"-")</f>
        <v>-</v>
      </c>
      <c r="V47" t="str">
        <f>IFERROR(__xludf.DUMMYFUNCTION("""COMPUTED_VALUE"""),"-")</f>
        <v>-</v>
      </c>
      <c r="W47" t="str">
        <f>IFERROR(__xludf.DUMMYFUNCTION("""COMPUTED_VALUE"""),"-")</f>
        <v>-</v>
      </c>
      <c r="X47" t="str">
        <f>IFERROR(__xludf.DUMMYFUNCTION("""COMPUTED_VALUE"""),"-")</f>
        <v>-</v>
      </c>
      <c r="Y47" t="str">
        <f>IFERROR(__xludf.DUMMYFUNCTION("""COMPUTED_VALUE"""),"-")</f>
        <v>-</v>
      </c>
      <c r="Z47" t="str">
        <f>IFERROR(__xludf.DUMMYFUNCTION("""COMPUTED_VALUE"""),"-")</f>
        <v>-</v>
      </c>
      <c r="AA47" t="str">
        <f>IFERROR(__xludf.DUMMYFUNCTION("""COMPUTED_VALUE"""),"-")</f>
        <v>-</v>
      </c>
    </row>
    <row r="48">
      <c r="A48" t="str">
        <f>IFERROR(__xludf.DUMMYFUNCTION("""COMPUTED_VALUE"""),"#47")</f>
        <v>#47</v>
      </c>
      <c r="B48" t="str">
        <f>IFERROR(__xludf.DUMMYFUNCTION("""COMPUTED_VALUE"""),"Adrien Quatennens")</f>
        <v>Adrien Quatennens</v>
      </c>
      <c r="C48">
        <f>IFERROR(__xludf.DUMMYFUNCTION("""COMPUTED_VALUE"""),238802.0)</f>
        <v>238802</v>
      </c>
      <c r="D48" t="str">
        <f>IFERROR(__xludf.DUMMYFUNCTION("""COMPUTED_VALUE"""),"-")</f>
        <v>-</v>
      </c>
      <c r="E48" t="str">
        <f>IFERROR(__xludf.DUMMYFUNCTION("""COMPUTED_VALUE"""),"-")</f>
        <v>-</v>
      </c>
      <c r="F48" t="str">
        <f>IFERROR(__xludf.DUMMYFUNCTION("""COMPUTED_VALUE"""),"-")</f>
        <v>-</v>
      </c>
      <c r="G48" t="str">
        <f>IFERROR(__xludf.DUMMYFUNCTION("""COMPUTED_VALUE"""),"-")</f>
        <v>-</v>
      </c>
      <c r="H48" t="str">
        <f>IFERROR(__xludf.DUMMYFUNCTION("""COMPUTED_VALUE"""),"-")</f>
        <v>-</v>
      </c>
      <c r="I48" t="str">
        <f>IFERROR(__xludf.DUMMYFUNCTION("""COMPUTED_VALUE"""),"-")</f>
        <v>-</v>
      </c>
      <c r="J48" t="str">
        <f>IFERROR(__xludf.DUMMYFUNCTION("""COMPUTED_VALUE"""),"-")</f>
        <v>-</v>
      </c>
      <c r="K48" t="str">
        <f>IFERROR(__xludf.DUMMYFUNCTION("""COMPUTED_VALUE"""),"-")</f>
        <v>-</v>
      </c>
      <c r="L48" t="str">
        <f>IFERROR(__xludf.DUMMYFUNCTION("""COMPUTED_VALUE"""),"-")</f>
        <v>-</v>
      </c>
      <c r="M48" t="str">
        <f>IFERROR(__xludf.DUMMYFUNCTION("""COMPUTED_VALUE"""),"-")</f>
        <v>-</v>
      </c>
      <c r="O48" t="str">
        <f>IFERROR(__xludf.DUMMYFUNCTION("""COMPUTED_VALUE"""),"#47")</f>
        <v>#47</v>
      </c>
      <c r="P48" t="str">
        <f>IFERROR(__xludf.DUMMYFUNCTION("""COMPUTED_VALUE"""),"Adrien Quatennens")</f>
        <v>Adrien Quatennens</v>
      </c>
      <c r="Q48">
        <f>IFERROR(__xludf.DUMMYFUNCTION("""COMPUTED_VALUE"""),238802.0)</f>
        <v>238802</v>
      </c>
      <c r="R48" t="str">
        <f>IFERROR(__xludf.DUMMYFUNCTION("""COMPUTED_VALUE"""),"-")</f>
        <v>-</v>
      </c>
      <c r="S48" t="str">
        <f>IFERROR(__xludf.DUMMYFUNCTION("""COMPUTED_VALUE"""),"-")</f>
        <v>-</v>
      </c>
      <c r="T48" t="str">
        <f>IFERROR(__xludf.DUMMYFUNCTION("""COMPUTED_VALUE"""),"-")</f>
        <v>-</v>
      </c>
      <c r="U48" t="str">
        <f>IFERROR(__xludf.DUMMYFUNCTION("""COMPUTED_VALUE"""),"-")</f>
        <v>-</v>
      </c>
      <c r="V48" t="str">
        <f>IFERROR(__xludf.DUMMYFUNCTION("""COMPUTED_VALUE"""),"-")</f>
        <v>-</v>
      </c>
      <c r="W48" t="str">
        <f>IFERROR(__xludf.DUMMYFUNCTION("""COMPUTED_VALUE"""),"-")</f>
        <v>-</v>
      </c>
      <c r="X48" t="str">
        <f>IFERROR(__xludf.DUMMYFUNCTION("""COMPUTED_VALUE"""),"-")</f>
        <v>-</v>
      </c>
      <c r="Y48" t="str">
        <f>IFERROR(__xludf.DUMMYFUNCTION("""COMPUTED_VALUE"""),"-")</f>
        <v>-</v>
      </c>
      <c r="Z48" t="str">
        <f>IFERROR(__xludf.DUMMYFUNCTION("""COMPUTED_VALUE"""),"-")</f>
        <v>-</v>
      </c>
      <c r="AA48" t="str">
        <f>IFERROR(__xludf.DUMMYFUNCTION("""COMPUTED_VALUE"""),"-")</f>
        <v>-</v>
      </c>
    </row>
    <row r="49">
      <c r="A49" t="str">
        <f>IFERROR(__xludf.DUMMYFUNCTION("""COMPUTED_VALUE"""),"#48")</f>
        <v>#48</v>
      </c>
      <c r="B49" t="str">
        <f>IFERROR(__xludf.DUMMYFUNCTION("""COMPUTED_VALUE"""),"Bernard Cazeneuve")</f>
        <v>Bernard Cazeneuve</v>
      </c>
      <c r="C49">
        <f>IFERROR(__xludf.DUMMYFUNCTION("""COMPUTED_VALUE"""),231165.0)</f>
        <v>231165</v>
      </c>
      <c r="D49" t="str">
        <f>IFERROR(__xludf.DUMMYFUNCTION("""COMPUTED_VALUE"""),"-")</f>
        <v>-</v>
      </c>
      <c r="E49" t="str">
        <f>IFERROR(__xludf.DUMMYFUNCTION("""COMPUTED_VALUE"""),"-")</f>
        <v>-</v>
      </c>
      <c r="F49" t="str">
        <f>IFERROR(__xludf.DUMMYFUNCTION("""COMPUTED_VALUE"""),"-")</f>
        <v>-</v>
      </c>
      <c r="G49" t="str">
        <f>IFERROR(__xludf.DUMMYFUNCTION("""COMPUTED_VALUE"""),"-")</f>
        <v>-</v>
      </c>
      <c r="H49" t="str">
        <f>IFERROR(__xludf.DUMMYFUNCTION("""COMPUTED_VALUE"""),"-")</f>
        <v>-</v>
      </c>
      <c r="I49" t="str">
        <f>IFERROR(__xludf.DUMMYFUNCTION("""COMPUTED_VALUE"""),"-")</f>
        <v>-</v>
      </c>
      <c r="J49" t="str">
        <f>IFERROR(__xludf.DUMMYFUNCTION("""COMPUTED_VALUE"""),"-")</f>
        <v>-</v>
      </c>
      <c r="K49" t="str">
        <f>IFERROR(__xludf.DUMMYFUNCTION("""COMPUTED_VALUE"""),"-")</f>
        <v>-</v>
      </c>
      <c r="L49" t="str">
        <f>IFERROR(__xludf.DUMMYFUNCTION("""COMPUTED_VALUE"""),"-")</f>
        <v>-</v>
      </c>
      <c r="M49" t="str">
        <f>IFERROR(__xludf.DUMMYFUNCTION("""COMPUTED_VALUE"""),"-")</f>
        <v>-</v>
      </c>
      <c r="O49" t="str">
        <f>IFERROR(__xludf.DUMMYFUNCTION("""COMPUTED_VALUE"""),"#48")</f>
        <v>#48</v>
      </c>
      <c r="P49" t="str">
        <f>IFERROR(__xludf.DUMMYFUNCTION("""COMPUTED_VALUE"""),"Bernard Cazeneuve")</f>
        <v>Bernard Cazeneuve</v>
      </c>
      <c r="Q49">
        <f>IFERROR(__xludf.DUMMYFUNCTION("""COMPUTED_VALUE"""),231165.0)</f>
        <v>231165</v>
      </c>
      <c r="R49" t="str">
        <f>IFERROR(__xludf.DUMMYFUNCTION("""COMPUTED_VALUE"""),"-")</f>
        <v>-</v>
      </c>
      <c r="S49" t="str">
        <f>IFERROR(__xludf.DUMMYFUNCTION("""COMPUTED_VALUE"""),"-")</f>
        <v>-</v>
      </c>
      <c r="T49" t="str">
        <f>IFERROR(__xludf.DUMMYFUNCTION("""COMPUTED_VALUE"""),"-")</f>
        <v>-</v>
      </c>
      <c r="U49" t="str">
        <f>IFERROR(__xludf.DUMMYFUNCTION("""COMPUTED_VALUE"""),"-")</f>
        <v>-</v>
      </c>
      <c r="V49" t="str">
        <f>IFERROR(__xludf.DUMMYFUNCTION("""COMPUTED_VALUE"""),"-")</f>
        <v>-</v>
      </c>
      <c r="W49" t="str">
        <f>IFERROR(__xludf.DUMMYFUNCTION("""COMPUTED_VALUE"""),"-")</f>
        <v>-</v>
      </c>
      <c r="X49" t="str">
        <f>IFERROR(__xludf.DUMMYFUNCTION("""COMPUTED_VALUE"""),"-")</f>
        <v>-</v>
      </c>
      <c r="Y49" t="str">
        <f>IFERROR(__xludf.DUMMYFUNCTION("""COMPUTED_VALUE"""),"-")</f>
        <v>-</v>
      </c>
      <c r="Z49" t="str">
        <f>IFERROR(__xludf.DUMMYFUNCTION("""COMPUTED_VALUE"""),"-")</f>
        <v>-</v>
      </c>
      <c r="AA49" t="str">
        <f>IFERROR(__xludf.DUMMYFUNCTION("""COMPUTED_VALUE"""),"-")</f>
        <v>-</v>
      </c>
    </row>
    <row r="50">
      <c r="A50" t="str">
        <f>IFERROR(__xludf.DUMMYFUNCTION("""COMPUTED_VALUE"""),"#49")</f>
        <v>#49</v>
      </c>
      <c r="B50" t="str">
        <f>IFERROR(__xludf.DUMMYFUNCTION("""COMPUTED_VALUE"""),"François Asselineau")</f>
        <v>François Asselineau</v>
      </c>
      <c r="C50">
        <f>IFERROR(__xludf.DUMMYFUNCTION("""COMPUTED_VALUE"""),227028.0)</f>
        <v>227028</v>
      </c>
      <c r="D50" t="str">
        <f>IFERROR(__xludf.DUMMYFUNCTION("""COMPUTED_VALUE"""),"-")</f>
        <v>-</v>
      </c>
      <c r="E50" t="str">
        <f>IFERROR(__xludf.DUMMYFUNCTION("""COMPUTED_VALUE"""),"-")</f>
        <v>-</v>
      </c>
      <c r="F50" t="str">
        <f>IFERROR(__xludf.DUMMYFUNCTION("""COMPUTED_VALUE"""),"-")</f>
        <v>-</v>
      </c>
      <c r="G50" t="str">
        <f>IFERROR(__xludf.DUMMYFUNCTION("""COMPUTED_VALUE"""),"-")</f>
        <v>-</v>
      </c>
      <c r="H50" t="str">
        <f>IFERROR(__xludf.DUMMYFUNCTION("""COMPUTED_VALUE"""),"-")</f>
        <v>-</v>
      </c>
      <c r="I50" t="str">
        <f>IFERROR(__xludf.DUMMYFUNCTION("""COMPUTED_VALUE"""),"-")</f>
        <v>-</v>
      </c>
      <c r="J50" t="str">
        <f>IFERROR(__xludf.DUMMYFUNCTION("""COMPUTED_VALUE"""),"-")</f>
        <v>-</v>
      </c>
      <c r="K50" t="str">
        <f>IFERROR(__xludf.DUMMYFUNCTION("""COMPUTED_VALUE"""),"-")</f>
        <v>-</v>
      </c>
      <c r="L50" t="str">
        <f>IFERROR(__xludf.DUMMYFUNCTION("""COMPUTED_VALUE"""),"-")</f>
        <v>-</v>
      </c>
      <c r="M50" t="str">
        <f>IFERROR(__xludf.DUMMYFUNCTION("""COMPUTED_VALUE"""),"-")</f>
        <v>-</v>
      </c>
      <c r="O50" t="str">
        <f>IFERROR(__xludf.DUMMYFUNCTION("""COMPUTED_VALUE"""),"#49")</f>
        <v>#49</v>
      </c>
      <c r="P50" t="str">
        <f>IFERROR(__xludf.DUMMYFUNCTION("""COMPUTED_VALUE"""),"François Asselineau")</f>
        <v>François Asselineau</v>
      </c>
      <c r="Q50">
        <f>IFERROR(__xludf.DUMMYFUNCTION("""COMPUTED_VALUE"""),227028.0)</f>
        <v>227028</v>
      </c>
      <c r="R50" t="str">
        <f>IFERROR(__xludf.DUMMYFUNCTION("""COMPUTED_VALUE"""),"-")</f>
        <v>-</v>
      </c>
      <c r="S50" t="str">
        <f>IFERROR(__xludf.DUMMYFUNCTION("""COMPUTED_VALUE"""),"-")</f>
        <v>-</v>
      </c>
      <c r="T50" t="str">
        <f>IFERROR(__xludf.DUMMYFUNCTION("""COMPUTED_VALUE"""),"-")</f>
        <v>-</v>
      </c>
      <c r="U50" t="str">
        <f>IFERROR(__xludf.DUMMYFUNCTION("""COMPUTED_VALUE"""),"-")</f>
        <v>-</v>
      </c>
      <c r="V50" t="str">
        <f>IFERROR(__xludf.DUMMYFUNCTION("""COMPUTED_VALUE"""),"-")</f>
        <v>-</v>
      </c>
      <c r="W50" t="str">
        <f>IFERROR(__xludf.DUMMYFUNCTION("""COMPUTED_VALUE"""),"-")</f>
        <v>-</v>
      </c>
      <c r="X50" t="str">
        <f>IFERROR(__xludf.DUMMYFUNCTION("""COMPUTED_VALUE"""),"-")</f>
        <v>-</v>
      </c>
      <c r="Y50" t="str">
        <f>IFERROR(__xludf.DUMMYFUNCTION("""COMPUTED_VALUE"""),"-")</f>
        <v>-</v>
      </c>
      <c r="Z50" t="str">
        <f>IFERROR(__xludf.DUMMYFUNCTION("""COMPUTED_VALUE"""),"-")</f>
        <v>-</v>
      </c>
      <c r="AA50" t="str">
        <f>IFERROR(__xludf.DUMMYFUNCTION("""COMPUTED_VALUE"""),"-")</f>
        <v>-</v>
      </c>
    </row>
    <row r="51">
      <c r="A51" t="str">
        <f>IFERROR(__xludf.DUMMYFUNCTION("""COMPUTED_VALUE"""),"#50")</f>
        <v>#50</v>
      </c>
      <c r="B51" t="str">
        <f>IFERROR(__xludf.DUMMYFUNCTION("""COMPUTED_VALUE"""),"Michel Barnier")</f>
        <v>Michel Barnier</v>
      </c>
      <c r="C51">
        <f>IFERROR(__xludf.DUMMYFUNCTION("""COMPUTED_VALUE"""),226069.0)</f>
        <v>226069</v>
      </c>
      <c r="D51" t="str">
        <f>IFERROR(__xludf.DUMMYFUNCTION("""COMPUTED_VALUE"""),"-")</f>
        <v>-</v>
      </c>
      <c r="E51" t="str">
        <f>IFERROR(__xludf.DUMMYFUNCTION("""COMPUTED_VALUE"""),"-")</f>
        <v>-</v>
      </c>
      <c r="F51" t="str">
        <f>IFERROR(__xludf.DUMMYFUNCTION("""COMPUTED_VALUE"""),"-")</f>
        <v>-</v>
      </c>
      <c r="G51" t="str">
        <f>IFERROR(__xludf.DUMMYFUNCTION("""COMPUTED_VALUE"""),"-")</f>
        <v>-</v>
      </c>
      <c r="H51" t="str">
        <f>IFERROR(__xludf.DUMMYFUNCTION("""COMPUTED_VALUE"""),"-")</f>
        <v>-</v>
      </c>
      <c r="I51" t="str">
        <f>IFERROR(__xludf.DUMMYFUNCTION("""COMPUTED_VALUE"""),"-")</f>
        <v>-</v>
      </c>
      <c r="J51" t="str">
        <f>IFERROR(__xludf.DUMMYFUNCTION("""COMPUTED_VALUE"""),"-")</f>
        <v>-</v>
      </c>
      <c r="K51" t="str">
        <f>IFERROR(__xludf.DUMMYFUNCTION("""COMPUTED_VALUE"""),"-")</f>
        <v>-</v>
      </c>
      <c r="L51" t="str">
        <f>IFERROR(__xludf.DUMMYFUNCTION("""COMPUTED_VALUE"""),"-")</f>
        <v>-</v>
      </c>
      <c r="M51" t="str">
        <f>IFERROR(__xludf.DUMMYFUNCTION("""COMPUTED_VALUE"""),"-")</f>
        <v>-</v>
      </c>
      <c r="O51" t="str">
        <f>IFERROR(__xludf.DUMMYFUNCTION("""COMPUTED_VALUE"""),"#50")</f>
        <v>#50</v>
      </c>
      <c r="P51" t="str">
        <f>IFERROR(__xludf.DUMMYFUNCTION("""COMPUTED_VALUE"""),"Michel Barnier")</f>
        <v>Michel Barnier</v>
      </c>
      <c r="Q51">
        <f>IFERROR(__xludf.DUMMYFUNCTION("""COMPUTED_VALUE"""),226069.0)</f>
        <v>226069</v>
      </c>
      <c r="R51" t="str">
        <f>IFERROR(__xludf.DUMMYFUNCTION("""COMPUTED_VALUE"""),"-")</f>
        <v>-</v>
      </c>
      <c r="S51" t="str">
        <f>IFERROR(__xludf.DUMMYFUNCTION("""COMPUTED_VALUE"""),"-")</f>
        <v>-</v>
      </c>
      <c r="T51" t="str">
        <f>IFERROR(__xludf.DUMMYFUNCTION("""COMPUTED_VALUE"""),"-")</f>
        <v>-</v>
      </c>
      <c r="U51" t="str">
        <f>IFERROR(__xludf.DUMMYFUNCTION("""COMPUTED_VALUE"""),"-")</f>
        <v>-</v>
      </c>
      <c r="V51" t="str">
        <f>IFERROR(__xludf.DUMMYFUNCTION("""COMPUTED_VALUE"""),"-")</f>
        <v>-</v>
      </c>
      <c r="W51" t="str">
        <f>IFERROR(__xludf.DUMMYFUNCTION("""COMPUTED_VALUE"""),"-")</f>
        <v>-</v>
      </c>
      <c r="X51" t="str">
        <f>IFERROR(__xludf.DUMMYFUNCTION("""COMPUTED_VALUE"""),"-")</f>
        <v>-</v>
      </c>
      <c r="Y51" t="str">
        <f>IFERROR(__xludf.DUMMYFUNCTION("""COMPUTED_VALUE"""),"-")</f>
        <v>-</v>
      </c>
      <c r="Z51" t="str">
        <f>IFERROR(__xludf.DUMMYFUNCTION("""COMPUTED_VALUE"""),"-")</f>
        <v>-</v>
      </c>
      <c r="AA51" t="str">
        <f>IFERROR(__xludf.DUMMYFUNCTION("""COMPUTED_VALUE"""),"-")</f>
        <v>-</v>
      </c>
    </row>
    <row r="52">
      <c r="A52" t="str">
        <f>IFERROR(__xludf.DUMMYFUNCTION("""COMPUTED_VALUE"""),"#51")</f>
        <v>#51</v>
      </c>
      <c r="B52" t="str">
        <f>IFERROR(__xludf.DUMMYFUNCTION("""COMPUTED_VALUE"""),"Xavier Bertrand")</f>
        <v>Xavier Bertrand</v>
      </c>
      <c r="C52">
        <f>IFERROR(__xludf.DUMMYFUNCTION("""COMPUTED_VALUE"""),209654.0)</f>
        <v>209654</v>
      </c>
      <c r="D52" t="str">
        <f>IFERROR(__xludf.DUMMYFUNCTION("""COMPUTED_VALUE"""),"-")</f>
        <v>-</v>
      </c>
      <c r="E52" t="str">
        <f>IFERROR(__xludf.DUMMYFUNCTION("""COMPUTED_VALUE"""),"-")</f>
        <v>-</v>
      </c>
      <c r="F52" t="str">
        <f>IFERROR(__xludf.DUMMYFUNCTION("""COMPUTED_VALUE"""),"-")</f>
        <v>-</v>
      </c>
      <c r="G52" t="str">
        <f>IFERROR(__xludf.DUMMYFUNCTION("""COMPUTED_VALUE"""),"-")</f>
        <v>-</v>
      </c>
      <c r="H52" t="str">
        <f>IFERROR(__xludf.DUMMYFUNCTION("""COMPUTED_VALUE"""),"-")</f>
        <v>-</v>
      </c>
      <c r="I52" t="str">
        <f>IFERROR(__xludf.DUMMYFUNCTION("""COMPUTED_VALUE"""),"-")</f>
        <v>-</v>
      </c>
      <c r="J52" t="str">
        <f>IFERROR(__xludf.DUMMYFUNCTION("""COMPUTED_VALUE"""),"-")</f>
        <v>-</v>
      </c>
      <c r="K52" t="str">
        <f>IFERROR(__xludf.DUMMYFUNCTION("""COMPUTED_VALUE"""),"-")</f>
        <v>-</v>
      </c>
      <c r="L52" t="str">
        <f>IFERROR(__xludf.DUMMYFUNCTION("""COMPUTED_VALUE"""),"-")</f>
        <v>-</v>
      </c>
      <c r="M52" t="str">
        <f>IFERROR(__xludf.DUMMYFUNCTION("""COMPUTED_VALUE"""),"-")</f>
        <v>-</v>
      </c>
      <c r="O52" t="str">
        <f>IFERROR(__xludf.DUMMYFUNCTION("""COMPUTED_VALUE"""),"#51")</f>
        <v>#51</v>
      </c>
      <c r="P52" t="str">
        <f>IFERROR(__xludf.DUMMYFUNCTION("""COMPUTED_VALUE"""),"Xavier Bertrand")</f>
        <v>Xavier Bertrand</v>
      </c>
      <c r="Q52">
        <f>IFERROR(__xludf.DUMMYFUNCTION("""COMPUTED_VALUE"""),209654.0)</f>
        <v>209654</v>
      </c>
      <c r="R52" t="str">
        <f>IFERROR(__xludf.DUMMYFUNCTION("""COMPUTED_VALUE"""),"-")</f>
        <v>-</v>
      </c>
      <c r="S52" t="str">
        <f>IFERROR(__xludf.DUMMYFUNCTION("""COMPUTED_VALUE"""),"-")</f>
        <v>-</v>
      </c>
      <c r="T52" t="str">
        <f>IFERROR(__xludf.DUMMYFUNCTION("""COMPUTED_VALUE"""),"-")</f>
        <v>-</v>
      </c>
      <c r="U52" t="str">
        <f>IFERROR(__xludf.DUMMYFUNCTION("""COMPUTED_VALUE"""),"-")</f>
        <v>-</v>
      </c>
      <c r="V52" t="str">
        <f>IFERROR(__xludf.DUMMYFUNCTION("""COMPUTED_VALUE"""),"-")</f>
        <v>-</v>
      </c>
      <c r="W52" t="str">
        <f>IFERROR(__xludf.DUMMYFUNCTION("""COMPUTED_VALUE"""),"-")</f>
        <v>-</v>
      </c>
      <c r="X52" t="str">
        <f>IFERROR(__xludf.DUMMYFUNCTION("""COMPUTED_VALUE"""),"-")</f>
        <v>-</v>
      </c>
      <c r="Y52" t="str">
        <f>IFERROR(__xludf.DUMMYFUNCTION("""COMPUTED_VALUE"""),"-")</f>
        <v>-</v>
      </c>
      <c r="Z52" t="str">
        <f>IFERROR(__xludf.DUMMYFUNCTION("""COMPUTED_VALUE"""),"-")</f>
        <v>-</v>
      </c>
      <c r="AA52" t="str">
        <f>IFERROR(__xludf.DUMMYFUNCTION("""COMPUTED_VALUE"""),"-")</f>
        <v>-</v>
      </c>
    </row>
    <row r="53">
      <c r="A53" t="str">
        <f>IFERROR(__xludf.DUMMYFUNCTION("""COMPUTED_VALUE"""),"#52")</f>
        <v>#52</v>
      </c>
      <c r="B53" t="str">
        <f>IFERROR(__xludf.DUMMYFUNCTION("""COMPUTED_VALUE"""),"Jean-Marie Le Pen")</f>
        <v>Jean-Marie Le Pen</v>
      </c>
      <c r="C53">
        <f>IFERROR(__xludf.DUMMYFUNCTION("""COMPUTED_VALUE"""),207511.0)</f>
        <v>207511</v>
      </c>
      <c r="D53" t="str">
        <f>IFERROR(__xludf.DUMMYFUNCTION("""COMPUTED_VALUE"""),"-")</f>
        <v>-</v>
      </c>
      <c r="E53" t="str">
        <f>IFERROR(__xludf.DUMMYFUNCTION("""COMPUTED_VALUE"""),"-")</f>
        <v>-</v>
      </c>
      <c r="F53" t="str">
        <f>IFERROR(__xludf.DUMMYFUNCTION("""COMPUTED_VALUE"""),"-")</f>
        <v>-</v>
      </c>
      <c r="G53" t="str">
        <f>IFERROR(__xludf.DUMMYFUNCTION("""COMPUTED_VALUE"""),"-")</f>
        <v>-</v>
      </c>
      <c r="H53" t="str">
        <f>IFERROR(__xludf.DUMMYFUNCTION("""COMPUTED_VALUE"""),"-")</f>
        <v>-</v>
      </c>
      <c r="I53" t="str">
        <f>IFERROR(__xludf.DUMMYFUNCTION("""COMPUTED_VALUE"""),"-")</f>
        <v>-</v>
      </c>
      <c r="J53" t="str">
        <f>IFERROR(__xludf.DUMMYFUNCTION("""COMPUTED_VALUE"""),"-")</f>
        <v>-</v>
      </c>
      <c r="K53" t="str">
        <f>IFERROR(__xludf.DUMMYFUNCTION("""COMPUTED_VALUE"""),"-")</f>
        <v>-</v>
      </c>
      <c r="L53" t="str">
        <f>IFERROR(__xludf.DUMMYFUNCTION("""COMPUTED_VALUE"""),"-")</f>
        <v>-</v>
      </c>
      <c r="M53" t="str">
        <f>IFERROR(__xludf.DUMMYFUNCTION("""COMPUTED_VALUE"""),"-")</f>
        <v>-</v>
      </c>
      <c r="O53" t="str">
        <f>IFERROR(__xludf.DUMMYFUNCTION("""COMPUTED_VALUE"""),"#52")</f>
        <v>#52</v>
      </c>
      <c r="P53" t="str">
        <f>IFERROR(__xludf.DUMMYFUNCTION("""COMPUTED_VALUE"""),"Jean-Marie Le Pen")</f>
        <v>Jean-Marie Le Pen</v>
      </c>
      <c r="Q53">
        <f>IFERROR(__xludf.DUMMYFUNCTION("""COMPUTED_VALUE"""),207511.0)</f>
        <v>207511</v>
      </c>
      <c r="R53" t="str">
        <f>IFERROR(__xludf.DUMMYFUNCTION("""COMPUTED_VALUE"""),"-")</f>
        <v>-</v>
      </c>
      <c r="S53" t="str">
        <f>IFERROR(__xludf.DUMMYFUNCTION("""COMPUTED_VALUE"""),"-")</f>
        <v>-</v>
      </c>
      <c r="T53" t="str">
        <f>IFERROR(__xludf.DUMMYFUNCTION("""COMPUTED_VALUE"""),"-")</f>
        <v>-</v>
      </c>
      <c r="U53" t="str">
        <f>IFERROR(__xludf.DUMMYFUNCTION("""COMPUTED_VALUE"""),"-")</f>
        <v>-</v>
      </c>
      <c r="V53" t="str">
        <f>IFERROR(__xludf.DUMMYFUNCTION("""COMPUTED_VALUE"""),"-")</f>
        <v>-</v>
      </c>
      <c r="W53" t="str">
        <f>IFERROR(__xludf.DUMMYFUNCTION("""COMPUTED_VALUE"""),"-")</f>
        <v>-</v>
      </c>
      <c r="X53" t="str">
        <f>IFERROR(__xludf.DUMMYFUNCTION("""COMPUTED_VALUE"""),"-")</f>
        <v>-</v>
      </c>
      <c r="Y53" t="str">
        <f>IFERROR(__xludf.DUMMYFUNCTION("""COMPUTED_VALUE"""),"-")</f>
        <v>-</v>
      </c>
      <c r="Z53" t="str">
        <f>IFERROR(__xludf.DUMMYFUNCTION("""COMPUTED_VALUE"""),"-")</f>
        <v>-</v>
      </c>
      <c r="AA53" t="str">
        <f>IFERROR(__xludf.DUMMYFUNCTION("""COMPUTED_VALUE"""),"-")</f>
        <v>-</v>
      </c>
    </row>
    <row r="54">
      <c r="A54" t="str">
        <f>IFERROR(__xludf.DUMMYFUNCTION("""COMPUTED_VALUE"""),"#53")</f>
        <v>#53</v>
      </c>
      <c r="B54" t="str">
        <f>IFERROR(__xludf.DUMMYFUNCTION("""COMPUTED_VALUE"""),"Clémentine Autain")</f>
        <v>Clémentine Autain</v>
      </c>
      <c r="C54">
        <f>IFERROR(__xludf.DUMMYFUNCTION("""COMPUTED_VALUE"""),203161.0)</f>
        <v>203161</v>
      </c>
      <c r="D54" t="str">
        <f>IFERROR(__xludf.DUMMYFUNCTION("""COMPUTED_VALUE"""),"-")</f>
        <v>-</v>
      </c>
      <c r="E54" t="str">
        <f>IFERROR(__xludf.DUMMYFUNCTION("""COMPUTED_VALUE"""),"-")</f>
        <v>-</v>
      </c>
      <c r="F54" t="str">
        <f>IFERROR(__xludf.DUMMYFUNCTION("""COMPUTED_VALUE"""),"-")</f>
        <v>-</v>
      </c>
      <c r="G54" t="str">
        <f>IFERROR(__xludf.DUMMYFUNCTION("""COMPUTED_VALUE"""),"-")</f>
        <v>-</v>
      </c>
      <c r="H54" t="str">
        <f>IFERROR(__xludf.DUMMYFUNCTION("""COMPUTED_VALUE"""),"-")</f>
        <v>-</v>
      </c>
      <c r="I54" t="str">
        <f>IFERROR(__xludf.DUMMYFUNCTION("""COMPUTED_VALUE"""),"-")</f>
        <v>-</v>
      </c>
      <c r="J54" t="str">
        <f>IFERROR(__xludf.DUMMYFUNCTION("""COMPUTED_VALUE"""),"-")</f>
        <v>-</v>
      </c>
      <c r="K54" t="str">
        <f>IFERROR(__xludf.DUMMYFUNCTION("""COMPUTED_VALUE"""),"-")</f>
        <v>-</v>
      </c>
      <c r="L54" t="str">
        <f>IFERROR(__xludf.DUMMYFUNCTION("""COMPUTED_VALUE"""),"-")</f>
        <v>-</v>
      </c>
      <c r="M54" t="str">
        <f>IFERROR(__xludf.DUMMYFUNCTION("""COMPUTED_VALUE"""),"-")</f>
        <v>-</v>
      </c>
      <c r="O54" t="str">
        <f>IFERROR(__xludf.DUMMYFUNCTION("""COMPUTED_VALUE"""),"#53")</f>
        <v>#53</v>
      </c>
      <c r="P54" t="str">
        <f>IFERROR(__xludf.DUMMYFUNCTION("""COMPUTED_VALUE"""),"Clémentine Autain")</f>
        <v>Clémentine Autain</v>
      </c>
      <c r="Q54">
        <f>IFERROR(__xludf.DUMMYFUNCTION("""COMPUTED_VALUE"""),203161.0)</f>
        <v>203161</v>
      </c>
      <c r="R54" t="str">
        <f>IFERROR(__xludf.DUMMYFUNCTION("""COMPUTED_VALUE"""),"-")</f>
        <v>-</v>
      </c>
      <c r="S54" t="str">
        <f>IFERROR(__xludf.DUMMYFUNCTION("""COMPUTED_VALUE"""),"-")</f>
        <v>-</v>
      </c>
      <c r="T54" t="str">
        <f>IFERROR(__xludf.DUMMYFUNCTION("""COMPUTED_VALUE"""),"-")</f>
        <v>-</v>
      </c>
      <c r="U54" t="str">
        <f>IFERROR(__xludf.DUMMYFUNCTION("""COMPUTED_VALUE"""),"-")</f>
        <v>-</v>
      </c>
      <c r="V54" t="str">
        <f>IFERROR(__xludf.DUMMYFUNCTION("""COMPUTED_VALUE"""),"-")</f>
        <v>-</v>
      </c>
      <c r="W54" t="str">
        <f>IFERROR(__xludf.DUMMYFUNCTION("""COMPUTED_VALUE"""),"-")</f>
        <v>-</v>
      </c>
      <c r="X54" t="str">
        <f>IFERROR(__xludf.DUMMYFUNCTION("""COMPUTED_VALUE"""),"-")</f>
        <v>-</v>
      </c>
      <c r="Y54" t="str">
        <f>IFERROR(__xludf.DUMMYFUNCTION("""COMPUTED_VALUE"""),"-")</f>
        <v>-</v>
      </c>
      <c r="Z54" t="str">
        <f>IFERROR(__xludf.DUMMYFUNCTION("""COMPUTED_VALUE"""),"-")</f>
        <v>-</v>
      </c>
      <c r="AA54" t="str">
        <f>IFERROR(__xludf.DUMMYFUNCTION("""COMPUTED_VALUE"""),"-")</f>
        <v>-</v>
      </c>
    </row>
    <row r="55">
      <c r="A55" t="str">
        <f>IFERROR(__xludf.DUMMYFUNCTION("""COMPUTED_VALUE"""),"#54")</f>
        <v>#54</v>
      </c>
      <c r="B55" t="str">
        <f>IFERROR(__xludf.DUMMYFUNCTION("""COMPUTED_VALUE"""),"Rachida Dati")</f>
        <v>Rachida Dati</v>
      </c>
      <c r="C55">
        <f>IFERROR(__xludf.DUMMYFUNCTION("""COMPUTED_VALUE"""),200311.0)</f>
        <v>200311</v>
      </c>
      <c r="D55" t="str">
        <f>IFERROR(__xludf.DUMMYFUNCTION("""COMPUTED_VALUE"""),"-")</f>
        <v>-</v>
      </c>
      <c r="E55" t="str">
        <f>IFERROR(__xludf.DUMMYFUNCTION("""COMPUTED_VALUE"""),"-")</f>
        <v>-</v>
      </c>
      <c r="F55" t="str">
        <f>IFERROR(__xludf.DUMMYFUNCTION("""COMPUTED_VALUE"""),"-")</f>
        <v>-</v>
      </c>
      <c r="G55" t="str">
        <f>IFERROR(__xludf.DUMMYFUNCTION("""COMPUTED_VALUE"""),"-")</f>
        <v>-</v>
      </c>
      <c r="H55" t="str">
        <f>IFERROR(__xludf.DUMMYFUNCTION("""COMPUTED_VALUE"""),"-")</f>
        <v>-</v>
      </c>
      <c r="I55" t="str">
        <f>IFERROR(__xludf.DUMMYFUNCTION("""COMPUTED_VALUE"""),"-")</f>
        <v>-</v>
      </c>
      <c r="J55" t="str">
        <f>IFERROR(__xludf.DUMMYFUNCTION("""COMPUTED_VALUE"""),"-")</f>
        <v>-</v>
      </c>
      <c r="K55" t="str">
        <f>IFERROR(__xludf.DUMMYFUNCTION("""COMPUTED_VALUE"""),"-")</f>
        <v>-</v>
      </c>
      <c r="L55" t="str">
        <f>IFERROR(__xludf.DUMMYFUNCTION("""COMPUTED_VALUE"""),"-")</f>
        <v>-</v>
      </c>
      <c r="M55" t="str">
        <f>IFERROR(__xludf.DUMMYFUNCTION("""COMPUTED_VALUE"""),"-")</f>
        <v>-</v>
      </c>
      <c r="O55" t="str">
        <f>IFERROR(__xludf.DUMMYFUNCTION("""COMPUTED_VALUE"""),"#54")</f>
        <v>#54</v>
      </c>
      <c r="P55" t="str">
        <f>IFERROR(__xludf.DUMMYFUNCTION("""COMPUTED_VALUE"""),"Rachida Dati")</f>
        <v>Rachida Dati</v>
      </c>
      <c r="Q55">
        <f>IFERROR(__xludf.DUMMYFUNCTION("""COMPUTED_VALUE"""),200311.0)</f>
        <v>200311</v>
      </c>
      <c r="R55" t="str">
        <f>IFERROR(__xludf.DUMMYFUNCTION("""COMPUTED_VALUE"""),"-")</f>
        <v>-</v>
      </c>
      <c r="S55" t="str">
        <f>IFERROR(__xludf.DUMMYFUNCTION("""COMPUTED_VALUE"""),"-")</f>
        <v>-</v>
      </c>
      <c r="T55" t="str">
        <f>IFERROR(__xludf.DUMMYFUNCTION("""COMPUTED_VALUE"""),"-")</f>
        <v>-</v>
      </c>
      <c r="U55" t="str">
        <f>IFERROR(__xludf.DUMMYFUNCTION("""COMPUTED_VALUE"""),"-")</f>
        <v>-</v>
      </c>
      <c r="V55" t="str">
        <f>IFERROR(__xludf.DUMMYFUNCTION("""COMPUTED_VALUE"""),"-")</f>
        <v>-</v>
      </c>
      <c r="W55" t="str">
        <f>IFERROR(__xludf.DUMMYFUNCTION("""COMPUTED_VALUE"""),"-")</f>
        <v>-</v>
      </c>
      <c r="X55" t="str">
        <f>IFERROR(__xludf.DUMMYFUNCTION("""COMPUTED_VALUE"""),"-")</f>
        <v>-</v>
      </c>
      <c r="Y55" t="str">
        <f>IFERROR(__xludf.DUMMYFUNCTION("""COMPUTED_VALUE"""),"-")</f>
        <v>-</v>
      </c>
      <c r="Z55" t="str">
        <f>IFERROR(__xludf.DUMMYFUNCTION("""COMPUTED_VALUE"""),"-")</f>
        <v>-</v>
      </c>
      <c r="AA55" t="str">
        <f>IFERROR(__xludf.DUMMYFUNCTION("""COMPUTED_VALUE"""),"-")</f>
        <v>-</v>
      </c>
    </row>
    <row r="56">
      <c r="A56" t="str">
        <f>IFERROR(__xludf.DUMMYFUNCTION("""COMPUTED_VALUE"""),"#55")</f>
        <v>#55</v>
      </c>
      <c r="B56" t="str">
        <f>IFERROR(__xludf.DUMMYFUNCTION("""COMPUTED_VALUE"""),"Christian Estrosi")</f>
        <v>Christian Estrosi</v>
      </c>
      <c r="C56">
        <f>IFERROR(__xludf.DUMMYFUNCTION("""COMPUTED_VALUE"""),197042.0)</f>
        <v>197042</v>
      </c>
      <c r="D56" t="str">
        <f>IFERROR(__xludf.DUMMYFUNCTION("""COMPUTED_VALUE"""),"-")</f>
        <v>-</v>
      </c>
      <c r="E56" t="str">
        <f>IFERROR(__xludf.DUMMYFUNCTION("""COMPUTED_VALUE"""),"-")</f>
        <v>-</v>
      </c>
      <c r="F56" t="str">
        <f>IFERROR(__xludf.DUMMYFUNCTION("""COMPUTED_VALUE"""),"-")</f>
        <v>-</v>
      </c>
      <c r="G56" t="str">
        <f>IFERROR(__xludf.DUMMYFUNCTION("""COMPUTED_VALUE"""),"-")</f>
        <v>-</v>
      </c>
      <c r="H56" t="str">
        <f>IFERROR(__xludf.DUMMYFUNCTION("""COMPUTED_VALUE"""),"-")</f>
        <v>-</v>
      </c>
      <c r="I56" t="str">
        <f>IFERROR(__xludf.DUMMYFUNCTION("""COMPUTED_VALUE"""),"-")</f>
        <v>-</v>
      </c>
      <c r="J56" t="str">
        <f>IFERROR(__xludf.DUMMYFUNCTION("""COMPUTED_VALUE"""),"-")</f>
        <v>-</v>
      </c>
      <c r="K56" t="str">
        <f>IFERROR(__xludf.DUMMYFUNCTION("""COMPUTED_VALUE"""),"-")</f>
        <v>-</v>
      </c>
      <c r="L56" t="str">
        <f>IFERROR(__xludf.DUMMYFUNCTION("""COMPUTED_VALUE"""),"-")</f>
        <v>-</v>
      </c>
      <c r="M56" t="str">
        <f>IFERROR(__xludf.DUMMYFUNCTION("""COMPUTED_VALUE"""),"-")</f>
        <v>-</v>
      </c>
      <c r="O56" t="str">
        <f>IFERROR(__xludf.DUMMYFUNCTION("""COMPUTED_VALUE"""),"#55")</f>
        <v>#55</v>
      </c>
      <c r="P56" t="str">
        <f>IFERROR(__xludf.DUMMYFUNCTION("""COMPUTED_VALUE"""),"Christian Estrosi")</f>
        <v>Christian Estrosi</v>
      </c>
      <c r="Q56">
        <f>IFERROR(__xludf.DUMMYFUNCTION("""COMPUTED_VALUE"""),197042.0)</f>
        <v>197042</v>
      </c>
      <c r="R56" t="str">
        <f>IFERROR(__xludf.DUMMYFUNCTION("""COMPUTED_VALUE"""),"-")</f>
        <v>-</v>
      </c>
      <c r="S56" t="str">
        <f>IFERROR(__xludf.DUMMYFUNCTION("""COMPUTED_VALUE"""),"-")</f>
        <v>-</v>
      </c>
      <c r="T56" t="str">
        <f>IFERROR(__xludf.DUMMYFUNCTION("""COMPUTED_VALUE"""),"-")</f>
        <v>-</v>
      </c>
      <c r="U56" t="str">
        <f>IFERROR(__xludf.DUMMYFUNCTION("""COMPUTED_VALUE"""),"-")</f>
        <v>-</v>
      </c>
      <c r="V56" t="str">
        <f>IFERROR(__xludf.DUMMYFUNCTION("""COMPUTED_VALUE"""),"-")</f>
        <v>-</v>
      </c>
      <c r="W56" t="str">
        <f>IFERROR(__xludf.DUMMYFUNCTION("""COMPUTED_VALUE"""),"-")</f>
        <v>-</v>
      </c>
      <c r="X56" t="str">
        <f>IFERROR(__xludf.DUMMYFUNCTION("""COMPUTED_VALUE"""),"-")</f>
        <v>-</v>
      </c>
      <c r="Y56" t="str">
        <f>IFERROR(__xludf.DUMMYFUNCTION("""COMPUTED_VALUE"""),"-")</f>
        <v>-</v>
      </c>
      <c r="Z56" t="str">
        <f>IFERROR(__xludf.DUMMYFUNCTION("""COMPUTED_VALUE"""),"-")</f>
        <v>-</v>
      </c>
      <c r="AA56" t="str">
        <f>IFERROR(__xludf.DUMMYFUNCTION("""COMPUTED_VALUE"""),"-")</f>
        <v>-</v>
      </c>
    </row>
    <row r="57">
      <c r="A57" t="str">
        <f>IFERROR(__xludf.DUMMYFUNCTION("""COMPUTED_VALUE"""),"#56")</f>
        <v>#56</v>
      </c>
      <c r="B57" t="str">
        <f>IFERROR(__xludf.DUMMYFUNCTION("""COMPUTED_VALUE"""),"Pierre Moscovici")</f>
        <v>Pierre Moscovici</v>
      </c>
      <c r="C57">
        <f>IFERROR(__xludf.DUMMYFUNCTION("""COMPUTED_VALUE"""),194710.0)</f>
        <v>194710</v>
      </c>
      <c r="D57" t="str">
        <f>IFERROR(__xludf.DUMMYFUNCTION("""COMPUTED_VALUE"""),"-")</f>
        <v>-</v>
      </c>
      <c r="E57" t="str">
        <f>IFERROR(__xludf.DUMMYFUNCTION("""COMPUTED_VALUE"""),"-")</f>
        <v>-</v>
      </c>
      <c r="F57" t="str">
        <f>IFERROR(__xludf.DUMMYFUNCTION("""COMPUTED_VALUE"""),"-")</f>
        <v>-</v>
      </c>
      <c r="G57" t="str">
        <f>IFERROR(__xludf.DUMMYFUNCTION("""COMPUTED_VALUE"""),"-")</f>
        <v>-</v>
      </c>
      <c r="H57" t="str">
        <f>IFERROR(__xludf.DUMMYFUNCTION("""COMPUTED_VALUE"""),"-")</f>
        <v>-</v>
      </c>
      <c r="I57" t="str">
        <f>IFERROR(__xludf.DUMMYFUNCTION("""COMPUTED_VALUE"""),"-")</f>
        <v>-</v>
      </c>
      <c r="J57" t="str">
        <f>IFERROR(__xludf.DUMMYFUNCTION("""COMPUTED_VALUE"""),"-")</f>
        <v>-</v>
      </c>
      <c r="K57" t="str">
        <f>IFERROR(__xludf.DUMMYFUNCTION("""COMPUTED_VALUE"""),"-")</f>
        <v>-</v>
      </c>
      <c r="L57" t="str">
        <f>IFERROR(__xludf.DUMMYFUNCTION("""COMPUTED_VALUE"""),"-")</f>
        <v>-</v>
      </c>
      <c r="M57" t="str">
        <f>IFERROR(__xludf.DUMMYFUNCTION("""COMPUTED_VALUE"""),"-")</f>
        <v>-</v>
      </c>
      <c r="O57" t="str">
        <f>IFERROR(__xludf.DUMMYFUNCTION("""COMPUTED_VALUE"""),"#56")</f>
        <v>#56</v>
      </c>
      <c r="P57" t="str">
        <f>IFERROR(__xludf.DUMMYFUNCTION("""COMPUTED_VALUE"""),"Pierre Moscovici")</f>
        <v>Pierre Moscovici</v>
      </c>
      <c r="Q57">
        <f>IFERROR(__xludf.DUMMYFUNCTION("""COMPUTED_VALUE"""),194710.0)</f>
        <v>194710</v>
      </c>
      <c r="R57" t="str">
        <f>IFERROR(__xludf.DUMMYFUNCTION("""COMPUTED_VALUE"""),"-")</f>
        <v>-</v>
      </c>
      <c r="S57" t="str">
        <f>IFERROR(__xludf.DUMMYFUNCTION("""COMPUTED_VALUE"""),"-")</f>
        <v>-</v>
      </c>
      <c r="T57" t="str">
        <f>IFERROR(__xludf.DUMMYFUNCTION("""COMPUTED_VALUE"""),"-")</f>
        <v>-</v>
      </c>
      <c r="U57" t="str">
        <f>IFERROR(__xludf.DUMMYFUNCTION("""COMPUTED_VALUE"""),"-")</f>
        <v>-</v>
      </c>
      <c r="V57" t="str">
        <f>IFERROR(__xludf.DUMMYFUNCTION("""COMPUTED_VALUE"""),"-")</f>
        <v>-</v>
      </c>
      <c r="W57" t="str">
        <f>IFERROR(__xludf.DUMMYFUNCTION("""COMPUTED_VALUE"""),"-")</f>
        <v>-</v>
      </c>
      <c r="X57" t="str">
        <f>IFERROR(__xludf.DUMMYFUNCTION("""COMPUTED_VALUE"""),"-")</f>
        <v>-</v>
      </c>
      <c r="Y57" t="str">
        <f>IFERROR(__xludf.DUMMYFUNCTION("""COMPUTED_VALUE"""),"-")</f>
        <v>-</v>
      </c>
      <c r="Z57" t="str">
        <f>IFERROR(__xludf.DUMMYFUNCTION("""COMPUTED_VALUE"""),"-")</f>
        <v>-</v>
      </c>
      <c r="AA57" t="str">
        <f>IFERROR(__xludf.DUMMYFUNCTION("""COMPUTED_VALUE"""),"-")</f>
        <v>-</v>
      </c>
    </row>
    <row r="58">
      <c r="A58" t="str">
        <f>IFERROR(__xludf.DUMMYFUNCTION("""COMPUTED_VALUE"""),"#57")</f>
        <v>#57</v>
      </c>
      <c r="B58" t="str">
        <f>IFERROR(__xludf.DUMMYFUNCTION("""COMPUTED_VALUE"""),"Jean-Louis Borloo")</f>
        <v>Jean-Louis Borloo</v>
      </c>
      <c r="C58">
        <f>IFERROR(__xludf.DUMMYFUNCTION("""COMPUTED_VALUE"""),191818.0)</f>
        <v>191818</v>
      </c>
      <c r="D58" t="str">
        <f>IFERROR(__xludf.DUMMYFUNCTION("""COMPUTED_VALUE"""),"-")</f>
        <v>-</v>
      </c>
      <c r="E58" t="str">
        <f>IFERROR(__xludf.DUMMYFUNCTION("""COMPUTED_VALUE"""),"-")</f>
        <v>-</v>
      </c>
      <c r="F58" t="str">
        <f>IFERROR(__xludf.DUMMYFUNCTION("""COMPUTED_VALUE"""),"-")</f>
        <v>-</v>
      </c>
      <c r="G58" t="str">
        <f>IFERROR(__xludf.DUMMYFUNCTION("""COMPUTED_VALUE"""),"-")</f>
        <v>-</v>
      </c>
      <c r="H58" t="str">
        <f>IFERROR(__xludf.DUMMYFUNCTION("""COMPUTED_VALUE"""),"-")</f>
        <v>-</v>
      </c>
      <c r="I58" t="str">
        <f>IFERROR(__xludf.DUMMYFUNCTION("""COMPUTED_VALUE"""),"-")</f>
        <v>-</v>
      </c>
      <c r="J58" t="str">
        <f>IFERROR(__xludf.DUMMYFUNCTION("""COMPUTED_VALUE"""),"-")</f>
        <v>-</v>
      </c>
      <c r="K58" t="str">
        <f>IFERROR(__xludf.DUMMYFUNCTION("""COMPUTED_VALUE"""),"-")</f>
        <v>-</v>
      </c>
      <c r="L58" t="str">
        <f>IFERROR(__xludf.DUMMYFUNCTION("""COMPUTED_VALUE"""),"-")</f>
        <v>-</v>
      </c>
      <c r="M58" t="str">
        <f>IFERROR(__xludf.DUMMYFUNCTION("""COMPUTED_VALUE"""),"-")</f>
        <v>-</v>
      </c>
      <c r="O58" t="str">
        <f>IFERROR(__xludf.DUMMYFUNCTION("""COMPUTED_VALUE"""),"#57")</f>
        <v>#57</v>
      </c>
      <c r="P58" t="str">
        <f>IFERROR(__xludf.DUMMYFUNCTION("""COMPUTED_VALUE"""),"Jean-Louis Borloo")</f>
        <v>Jean-Louis Borloo</v>
      </c>
      <c r="Q58">
        <f>IFERROR(__xludf.DUMMYFUNCTION("""COMPUTED_VALUE"""),191818.0)</f>
        <v>191818</v>
      </c>
      <c r="R58" t="str">
        <f>IFERROR(__xludf.DUMMYFUNCTION("""COMPUTED_VALUE"""),"-")</f>
        <v>-</v>
      </c>
      <c r="S58" t="str">
        <f>IFERROR(__xludf.DUMMYFUNCTION("""COMPUTED_VALUE"""),"-")</f>
        <v>-</v>
      </c>
      <c r="T58" t="str">
        <f>IFERROR(__xludf.DUMMYFUNCTION("""COMPUTED_VALUE"""),"-")</f>
        <v>-</v>
      </c>
      <c r="U58" t="str">
        <f>IFERROR(__xludf.DUMMYFUNCTION("""COMPUTED_VALUE"""),"-")</f>
        <v>-</v>
      </c>
      <c r="V58" t="str">
        <f>IFERROR(__xludf.DUMMYFUNCTION("""COMPUTED_VALUE"""),"-")</f>
        <v>-</v>
      </c>
      <c r="W58" t="str">
        <f>IFERROR(__xludf.DUMMYFUNCTION("""COMPUTED_VALUE"""),"-")</f>
        <v>-</v>
      </c>
      <c r="X58" t="str">
        <f>IFERROR(__xludf.DUMMYFUNCTION("""COMPUTED_VALUE"""),"-")</f>
        <v>-</v>
      </c>
      <c r="Y58" t="str">
        <f>IFERROR(__xludf.DUMMYFUNCTION("""COMPUTED_VALUE"""),"-")</f>
        <v>-</v>
      </c>
      <c r="Z58" t="str">
        <f>IFERROR(__xludf.DUMMYFUNCTION("""COMPUTED_VALUE"""),"-")</f>
        <v>-</v>
      </c>
      <c r="AA58" t="str">
        <f>IFERROR(__xludf.DUMMYFUNCTION("""COMPUTED_VALUE"""),"-")</f>
        <v>-</v>
      </c>
    </row>
    <row r="59">
      <c r="A59" t="str">
        <f>IFERROR(__xludf.DUMMYFUNCTION("""COMPUTED_VALUE"""),"#58")</f>
        <v>#58</v>
      </c>
      <c r="B59" t="str">
        <f>IFERROR(__xludf.DUMMYFUNCTION("""COMPUTED_VALUE"""),"Philippe de Villiers")</f>
        <v>Philippe de Villiers</v>
      </c>
      <c r="C59">
        <f>IFERROR(__xludf.DUMMYFUNCTION("""COMPUTED_VALUE"""),187182.0)</f>
        <v>187182</v>
      </c>
      <c r="D59" t="str">
        <f>IFERROR(__xludf.DUMMYFUNCTION("""COMPUTED_VALUE"""),"-")</f>
        <v>-</v>
      </c>
      <c r="E59" t="str">
        <f>IFERROR(__xludf.DUMMYFUNCTION("""COMPUTED_VALUE"""),"-")</f>
        <v>-</v>
      </c>
      <c r="F59" t="str">
        <f>IFERROR(__xludf.DUMMYFUNCTION("""COMPUTED_VALUE"""),"-")</f>
        <v>-</v>
      </c>
      <c r="G59" t="str">
        <f>IFERROR(__xludf.DUMMYFUNCTION("""COMPUTED_VALUE"""),"-")</f>
        <v>-</v>
      </c>
      <c r="H59" t="str">
        <f>IFERROR(__xludf.DUMMYFUNCTION("""COMPUTED_VALUE"""),"-")</f>
        <v>-</v>
      </c>
      <c r="I59" t="str">
        <f>IFERROR(__xludf.DUMMYFUNCTION("""COMPUTED_VALUE"""),"-")</f>
        <v>-</v>
      </c>
      <c r="J59" t="str">
        <f>IFERROR(__xludf.DUMMYFUNCTION("""COMPUTED_VALUE"""),"-")</f>
        <v>-</v>
      </c>
      <c r="K59" t="str">
        <f>IFERROR(__xludf.DUMMYFUNCTION("""COMPUTED_VALUE"""),"-")</f>
        <v>-</v>
      </c>
      <c r="L59" t="str">
        <f>IFERROR(__xludf.DUMMYFUNCTION("""COMPUTED_VALUE"""),"-")</f>
        <v>-</v>
      </c>
      <c r="M59" t="str">
        <f>IFERROR(__xludf.DUMMYFUNCTION("""COMPUTED_VALUE"""),"-")</f>
        <v>-</v>
      </c>
      <c r="O59" t="str">
        <f>IFERROR(__xludf.DUMMYFUNCTION("""COMPUTED_VALUE"""),"#58")</f>
        <v>#58</v>
      </c>
      <c r="P59" t="str">
        <f>IFERROR(__xludf.DUMMYFUNCTION("""COMPUTED_VALUE"""),"Philippe de Villiers")</f>
        <v>Philippe de Villiers</v>
      </c>
      <c r="Q59">
        <f>IFERROR(__xludf.DUMMYFUNCTION("""COMPUTED_VALUE"""),187182.0)</f>
        <v>187182</v>
      </c>
      <c r="R59" t="str">
        <f>IFERROR(__xludf.DUMMYFUNCTION("""COMPUTED_VALUE"""),"-")</f>
        <v>-</v>
      </c>
      <c r="S59" t="str">
        <f>IFERROR(__xludf.DUMMYFUNCTION("""COMPUTED_VALUE"""),"-")</f>
        <v>-</v>
      </c>
      <c r="T59" t="str">
        <f>IFERROR(__xludf.DUMMYFUNCTION("""COMPUTED_VALUE"""),"-")</f>
        <v>-</v>
      </c>
      <c r="U59" t="str">
        <f>IFERROR(__xludf.DUMMYFUNCTION("""COMPUTED_VALUE"""),"-")</f>
        <v>-</v>
      </c>
      <c r="V59" t="str">
        <f>IFERROR(__xludf.DUMMYFUNCTION("""COMPUTED_VALUE"""),"-")</f>
        <v>-</v>
      </c>
      <c r="W59" t="str">
        <f>IFERROR(__xludf.DUMMYFUNCTION("""COMPUTED_VALUE"""),"-")</f>
        <v>-</v>
      </c>
      <c r="X59" t="str">
        <f>IFERROR(__xludf.DUMMYFUNCTION("""COMPUTED_VALUE"""),"-")</f>
        <v>-</v>
      </c>
      <c r="Y59" t="str">
        <f>IFERROR(__xludf.DUMMYFUNCTION("""COMPUTED_VALUE"""),"-")</f>
        <v>-</v>
      </c>
      <c r="Z59" t="str">
        <f>IFERROR(__xludf.DUMMYFUNCTION("""COMPUTED_VALUE"""),"-")</f>
        <v>-</v>
      </c>
      <c r="AA59" t="str">
        <f>IFERROR(__xludf.DUMMYFUNCTION("""COMPUTED_VALUE"""),"-")</f>
        <v>-</v>
      </c>
    </row>
    <row r="60">
      <c r="A60" t="str">
        <f>IFERROR(__xludf.DUMMYFUNCTION("""COMPUTED_VALUE"""),"#59")</f>
        <v>#59</v>
      </c>
      <c r="B60" t="str">
        <f>IFERROR(__xludf.DUMMYFUNCTION("""COMPUTED_VALUE"""),"Jean-Yves Le Drian")</f>
        <v>Jean-Yves Le Drian</v>
      </c>
      <c r="C60">
        <f>IFERROR(__xludf.DUMMYFUNCTION("""COMPUTED_VALUE"""),181956.0)</f>
        <v>181956</v>
      </c>
      <c r="D60" t="str">
        <f>IFERROR(__xludf.DUMMYFUNCTION("""COMPUTED_VALUE"""),"-")</f>
        <v>-</v>
      </c>
      <c r="E60" t="str">
        <f>IFERROR(__xludf.DUMMYFUNCTION("""COMPUTED_VALUE"""),"-")</f>
        <v>-</v>
      </c>
      <c r="F60" t="str">
        <f>IFERROR(__xludf.DUMMYFUNCTION("""COMPUTED_VALUE"""),"-")</f>
        <v>-</v>
      </c>
      <c r="G60" t="str">
        <f>IFERROR(__xludf.DUMMYFUNCTION("""COMPUTED_VALUE"""),"-")</f>
        <v>-</v>
      </c>
      <c r="H60" t="str">
        <f>IFERROR(__xludf.DUMMYFUNCTION("""COMPUTED_VALUE"""),"-")</f>
        <v>-</v>
      </c>
      <c r="I60" t="str">
        <f>IFERROR(__xludf.DUMMYFUNCTION("""COMPUTED_VALUE"""),"-")</f>
        <v>-</v>
      </c>
      <c r="J60" t="str">
        <f>IFERROR(__xludf.DUMMYFUNCTION("""COMPUTED_VALUE"""),"-")</f>
        <v>-</v>
      </c>
      <c r="K60" t="str">
        <f>IFERROR(__xludf.DUMMYFUNCTION("""COMPUTED_VALUE"""),"-")</f>
        <v>-</v>
      </c>
      <c r="L60" t="str">
        <f>IFERROR(__xludf.DUMMYFUNCTION("""COMPUTED_VALUE"""),"-")</f>
        <v>-</v>
      </c>
      <c r="M60" t="str">
        <f>IFERROR(__xludf.DUMMYFUNCTION("""COMPUTED_VALUE"""),"-")</f>
        <v>-</v>
      </c>
      <c r="O60" t="str">
        <f>IFERROR(__xludf.DUMMYFUNCTION("""COMPUTED_VALUE"""),"#59")</f>
        <v>#59</v>
      </c>
      <c r="P60" t="str">
        <f>IFERROR(__xludf.DUMMYFUNCTION("""COMPUTED_VALUE"""),"Jean-Yves Le Drian")</f>
        <v>Jean-Yves Le Drian</v>
      </c>
      <c r="Q60">
        <f>IFERROR(__xludf.DUMMYFUNCTION("""COMPUTED_VALUE"""),181956.0)</f>
        <v>181956</v>
      </c>
      <c r="R60" t="str">
        <f>IFERROR(__xludf.DUMMYFUNCTION("""COMPUTED_VALUE"""),"-")</f>
        <v>-</v>
      </c>
      <c r="S60" t="str">
        <f>IFERROR(__xludf.DUMMYFUNCTION("""COMPUTED_VALUE"""),"-")</f>
        <v>-</v>
      </c>
      <c r="T60" t="str">
        <f>IFERROR(__xludf.DUMMYFUNCTION("""COMPUTED_VALUE"""),"-")</f>
        <v>-</v>
      </c>
      <c r="U60" t="str">
        <f>IFERROR(__xludf.DUMMYFUNCTION("""COMPUTED_VALUE"""),"-")</f>
        <v>-</v>
      </c>
      <c r="V60" t="str">
        <f>IFERROR(__xludf.DUMMYFUNCTION("""COMPUTED_VALUE"""),"-")</f>
        <v>-</v>
      </c>
      <c r="W60" t="str">
        <f>IFERROR(__xludf.DUMMYFUNCTION("""COMPUTED_VALUE"""),"-")</f>
        <v>-</v>
      </c>
      <c r="X60" t="str">
        <f>IFERROR(__xludf.DUMMYFUNCTION("""COMPUTED_VALUE"""),"-")</f>
        <v>-</v>
      </c>
      <c r="Y60" t="str">
        <f>IFERROR(__xludf.DUMMYFUNCTION("""COMPUTED_VALUE"""),"-")</f>
        <v>-</v>
      </c>
      <c r="Z60" t="str">
        <f>IFERROR(__xludf.DUMMYFUNCTION("""COMPUTED_VALUE"""),"-")</f>
        <v>-</v>
      </c>
      <c r="AA60" t="str">
        <f>IFERROR(__xludf.DUMMYFUNCTION("""COMPUTED_VALUE"""),"-")</f>
        <v>-</v>
      </c>
    </row>
    <row r="61">
      <c r="A61" t="str">
        <f>IFERROR(__xludf.DUMMYFUNCTION("""COMPUTED_VALUE"""),"#60")</f>
        <v>#60</v>
      </c>
      <c r="B61" t="str">
        <f>IFERROR(__xludf.DUMMYFUNCTION("""COMPUTED_VALUE"""),"Axelle Lemaire")</f>
        <v>Axelle Lemaire</v>
      </c>
      <c r="C61">
        <f>IFERROR(__xludf.DUMMYFUNCTION("""COMPUTED_VALUE"""),175479.0)</f>
        <v>175479</v>
      </c>
      <c r="D61" t="str">
        <f>IFERROR(__xludf.DUMMYFUNCTION("""COMPUTED_VALUE"""),"-")</f>
        <v>-</v>
      </c>
      <c r="E61" t="str">
        <f>IFERROR(__xludf.DUMMYFUNCTION("""COMPUTED_VALUE"""),"-")</f>
        <v>-</v>
      </c>
      <c r="F61" t="str">
        <f>IFERROR(__xludf.DUMMYFUNCTION("""COMPUTED_VALUE"""),"-")</f>
        <v>-</v>
      </c>
      <c r="G61" t="str">
        <f>IFERROR(__xludf.DUMMYFUNCTION("""COMPUTED_VALUE"""),"-")</f>
        <v>-</v>
      </c>
      <c r="H61" t="str">
        <f>IFERROR(__xludf.DUMMYFUNCTION("""COMPUTED_VALUE"""),"-")</f>
        <v>-</v>
      </c>
      <c r="I61" t="str">
        <f>IFERROR(__xludf.DUMMYFUNCTION("""COMPUTED_VALUE"""),"-")</f>
        <v>-</v>
      </c>
      <c r="J61" t="str">
        <f>IFERROR(__xludf.DUMMYFUNCTION("""COMPUTED_VALUE"""),"-")</f>
        <v>-</v>
      </c>
      <c r="K61" t="str">
        <f>IFERROR(__xludf.DUMMYFUNCTION("""COMPUTED_VALUE"""),"-")</f>
        <v>-</v>
      </c>
      <c r="L61" t="str">
        <f>IFERROR(__xludf.DUMMYFUNCTION("""COMPUTED_VALUE"""),"-")</f>
        <v>-</v>
      </c>
      <c r="M61" t="str">
        <f>IFERROR(__xludf.DUMMYFUNCTION("""COMPUTED_VALUE"""),"-")</f>
        <v>-</v>
      </c>
      <c r="O61" t="str">
        <f>IFERROR(__xludf.DUMMYFUNCTION("""COMPUTED_VALUE"""),"#60")</f>
        <v>#60</v>
      </c>
      <c r="P61" t="str">
        <f>IFERROR(__xludf.DUMMYFUNCTION("""COMPUTED_VALUE"""),"Axelle Lemaire")</f>
        <v>Axelle Lemaire</v>
      </c>
      <c r="Q61">
        <f>IFERROR(__xludf.DUMMYFUNCTION("""COMPUTED_VALUE"""),175479.0)</f>
        <v>175479</v>
      </c>
      <c r="R61" t="str">
        <f>IFERROR(__xludf.DUMMYFUNCTION("""COMPUTED_VALUE"""),"-")</f>
        <v>-</v>
      </c>
      <c r="S61" t="str">
        <f>IFERROR(__xludf.DUMMYFUNCTION("""COMPUTED_VALUE"""),"-")</f>
        <v>-</v>
      </c>
      <c r="T61" t="str">
        <f>IFERROR(__xludf.DUMMYFUNCTION("""COMPUTED_VALUE"""),"-")</f>
        <v>-</v>
      </c>
      <c r="U61" t="str">
        <f>IFERROR(__xludf.DUMMYFUNCTION("""COMPUTED_VALUE"""),"-")</f>
        <v>-</v>
      </c>
      <c r="V61" t="str">
        <f>IFERROR(__xludf.DUMMYFUNCTION("""COMPUTED_VALUE"""),"-")</f>
        <v>-</v>
      </c>
      <c r="W61" t="str">
        <f>IFERROR(__xludf.DUMMYFUNCTION("""COMPUTED_VALUE"""),"-")</f>
        <v>-</v>
      </c>
      <c r="X61" t="str">
        <f>IFERROR(__xludf.DUMMYFUNCTION("""COMPUTED_VALUE"""),"-")</f>
        <v>-</v>
      </c>
      <c r="Y61" t="str">
        <f>IFERROR(__xludf.DUMMYFUNCTION("""COMPUTED_VALUE"""),"-")</f>
        <v>-</v>
      </c>
      <c r="Z61" t="str">
        <f>IFERROR(__xludf.DUMMYFUNCTION("""COMPUTED_VALUE"""),"-")</f>
        <v>-</v>
      </c>
      <c r="AA61" t="str">
        <f>IFERROR(__xludf.DUMMYFUNCTION("""COMPUTED_VALUE"""),"-")</f>
        <v>-</v>
      </c>
    </row>
    <row r="62">
      <c r="A62" t="str">
        <f>IFERROR(__xludf.DUMMYFUNCTION("""COMPUTED_VALUE"""),"#61")</f>
        <v>#61</v>
      </c>
      <c r="B62" t="str">
        <f>IFERROR(__xludf.DUMMYFUNCTION("""COMPUTED_VALUE"""),"Mounir Mahjoubi")</f>
        <v>Mounir Mahjoubi</v>
      </c>
      <c r="C62">
        <f>IFERROR(__xludf.DUMMYFUNCTION("""COMPUTED_VALUE"""),172352.0)</f>
        <v>172352</v>
      </c>
      <c r="D62" t="str">
        <f>IFERROR(__xludf.DUMMYFUNCTION("""COMPUTED_VALUE"""),"-")</f>
        <v>-</v>
      </c>
      <c r="E62" t="str">
        <f>IFERROR(__xludf.DUMMYFUNCTION("""COMPUTED_VALUE"""),"-")</f>
        <v>-</v>
      </c>
      <c r="F62" t="str">
        <f>IFERROR(__xludf.DUMMYFUNCTION("""COMPUTED_VALUE"""),"-")</f>
        <v>-</v>
      </c>
      <c r="G62" t="str">
        <f>IFERROR(__xludf.DUMMYFUNCTION("""COMPUTED_VALUE"""),"-")</f>
        <v>-</v>
      </c>
      <c r="H62" t="str">
        <f>IFERROR(__xludf.DUMMYFUNCTION("""COMPUTED_VALUE"""),"-")</f>
        <v>-</v>
      </c>
      <c r="I62" t="str">
        <f>IFERROR(__xludf.DUMMYFUNCTION("""COMPUTED_VALUE"""),"-")</f>
        <v>-</v>
      </c>
      <c r="J62" t="str">
        <f>IFERROR(__xludf.DUMMYFUNCTION("""COMPUTED_VALUE"""),"-")</f>
        <v>-</v>
      </c>
      <c r="K62" t="str">
        <f>IFERROR(__xludf.DUMMYFUNCTION("""COMPUTED_VALUE"""),"-")</f>
        <v>-</v>
      </c>
      <c r="L62" t="str">
        <f>IFERROR(__xludf.DUMMYFUNCTION("""COMPUTED_VALUE"""),"-")</f>
        <v>-</v>
      </c>
      <c r="M62" t="str">
        <f>IFERROR(__xludf.DUMMYFUNCTION("""COMPUTED_VALUE"""),"-")</f>
        <v>-</v>
      </c>
      <c r="O62" t="str">
        <f>IFERROR(__xludf.DUMMYFUNCTION("""COMPUTED_VALUE"""),"#61")</f>
        <v>#61</v>
      </c>
      <c r="P62" t="str">
        <f>IFERROR(__xludf.DUMMYFUNCTION("""COMPUTED_VALUE"""),"Mounir Mahjoubi")</f>
        <v>Mounir Mahjoubi</v>
      </c>
      <c r="Q62">
        <f>IFERROR(__xludf.DUMMYFUNCTION("""COMPUTED_VALUE"""),172352.0)</f>
        <v>172352</v>
      </c>
      <c r="R62" t="str">
        <f>IFERROR(__xludf.DUMMYFUNCTION("""COMPUTED_VALUE"""),"-")</f>
        <v>-</v>
      </c>
      <c r="S62" t="str">
        <f>IFERROR(__xludf.DUMMYFUNCTION("""COMPUTED_VALUE"""),"-")</f>
        <v>-</v>
      </c>
      <c r="T62" t="str">
        <f>IFERROR(__xludf.DUMMYFUNCTION("""COMPUTED_VALUE"""),"-")</f>
        <v>-</v>
      </c>
      <c r="U62" t="str">
        <f>IFERROR(__xludf.DUMMYFUNCTION("""COMPUTED_VALUE"""),"-")</f>
        <v>-</v>
      </c>
      <c r="V62" t="str">
        <f>IFERROR(__xludf.DUMMYFUNCTION("""COMPUTED_VALUE"""),"-")</f>
        <v>-</v>
      </c>
      <c r="W62" t="str">
        <f>IFERROR(__xludf.DUMMYFUNCTION("""COMPUTED_VALUE"""),"-")</f>
        <v>-</v>
      </c>
      <c r="X62" t="str">
        <f>IFERROR(__xludf.DUMMYFUNCTION("""COMPUTED_VALUE"""),"-")</f>
        <v>-</v>
      </c>
      <c r="Y62" t="str">
        <f>IFERROR(__xludf.DUMMYFUNCTION("""COMPUTED_VALUE"""),"-")</f>
        <v>-</v>
      </c>
      <c r="Z62" t="str">
        <f>IFERROR(__xludf.DUMMYFUNCTION("""COMPUTED_VALUE"""),"-")</f>
        <v>-</v>
      </c>
      <c r="AA62" t="str">
        <f>IFERROR(__xludf.DUMMYFUNCTION("""COMPUTED_VALUE"""),"-")</f>
        <v>-</v>
      </c>
    </row>
    <row r="63">
      <c r="A63" t="str">
        <f>IFERROR(__xludf.DUMMYFUNCTION("""COMPUTED_VALUE"""),"#62")</f>
        <v>#62</v>
      </c>
      <c r="B63" t="str">
        <f>IFERROR(__xludf.DUMMYFUNCTION("""COMPUTED_VALUE"""),"Martine Aubry")</f>
        <v>Martine Aubry</v>
      </c>
      <c r="C63">
        <f>IFERROR(__xludf.DUMMYFUNCTION("""COMPUTED_VALUE"""),171841.0)</f>
        <v>171841</v>
      </c>
      <c r="D63" t="str">
        <f>IFERROR(__xludf.DUMMYFUNCTION("""COMPUTED_VALUE"""),"-")</f>
        <v>-</v>
      </c>
      <c r="E63" t="str">
        <f>IFERROR(__xludf.DUMMYFUNCTION("""COMPUTED_VALUE"""),"-")</f>
        <v>-</v>
      </c>
      <c r="F63" t="str">
        <f>IFERROR(__xludf.DUMMYFUNCTION("""COMPUTED_VALUE"""),"-")</f>
        <v>-</v>
      </c>
      <c r="G63" t="str">
        <f>IFERROR(__xludf.DUMMYFUNCTION("""COMPUTED_VALUE"""),"-")</f>
        <v>-</v>
      </c>
      <c r="H63" t="str">
        <f>IFERROR(__xludf.DUMMYFUNCTION("""COMPUTED_VALUE"""),"-")</f>
        <v>-</v>
      </c>
      <c r="I63" t="str">
        <f>IFERROR(__xludf.DUMMYFUNCTION("""COMPUTED_VALUE"""),"-")</f>
        <v>-</v>
      </c>
      <c r="J63" t="str">
        <f>IFERROR(__xludf.DUMMYFUNCTION("""COMPUTED_VALUE"""),"-")</f>
        <v>-</v>
      </c>
      <c r="K63" t="str">
        <f>IFERROR(__xludf.DUMMYFUNCTION("""COMPUTED_VALUE"""),"-")</f>
        <v>-</v>
      </c>
      <c r="L63" t="str">
        <f>IFERROR(__xludf.DUMMYFUNCTION("""COMPUTED_VALUE"""),"-")</f>
        <v>-</v>
      </c>
      <c r="M63" t="str">
        <f>IFERROR(__xludf.DUMMYFUNCTION("""COMPUTED_VALUE"""),"-")</f>
        <v>-</v>
      </c>
      <c r="O63" t="str">
        <f>IFERROR(__xludf.DUMMYFUNCTION("""COMPUTED_VALUE"""),"#62")</f>
        <v>#62</v>
      </c>
      <c r="P63" t="str">
        <f>IFERROR(__xludf.DUMMYFUNCTION("""COMPUTED_VALUE"""),"Martine Aubry")</f>
        <v>Martine Aubry</v>
      </c>
      <c r="Q63">
        <f>IFERROR(__xludf.DUMMYFUNCTION("""COMPUTED_VALUE"""),171841.0)</f>
        <v>171841</v>
      </c>
      <c r="R63" t="str">
        <f>IFERROR(__xludf.DUMMYFUNCTION("""COMPUTED_VALUE"""),"-")</f>
        <v>-</v>
      </c>
      <c r="S63" t="str">
        <f>IFERROR(__xludf.DUMMYFUNCTION("""COMPUTED_VALUE"""),"-")</f>
        <v>-</v>
      </c>
      <c r="T63" t="str">
        <f>IFERROR(__xludf.DUMMYFUNCTION("""COMPUTED_VALUE"""),"-")</f>
        <v>-</v>
      </c>
      <c r="U63" t="str">
        <f>IFERROR(__xludf.DUMMYFUNCTION("""COMPUTED_VALUE"""),"-")</f>
        <v>-</v>
      </c>
      <c r="V63" t="str">
        <f>IFERROR(__xludf.DUMMYFUNCTION("""COMPUTED_VALUE"""),"-")</f>
        <v>-</v>
      </c>
      <c r="W63" t="str">
        <f>IFERROR(__xludf.DUMMYFUNCTION("""COMPUTED_VALUE"""),"-")</f>
        <v>-</v>
      </c>
      <c r="X63" t="str">
        <f>IFERROR(__xludf.DUMMYFUNCTION("""COMPUTED_VALUE"""),"-")</f>
        <v>-</v>
      </c>
      <c r="Y63" t="str">
        <f>IFERROR(__xludf.DUMMYFUNCTION("""COMPUTED_VALUE"""),"-")</f>
        <v>-</v>
      </c>
      <c r="Z63" t="str">
        <f>IFERROR(__xludf.DUMMYFUNCTION("""COMPUTED_VALUE"""),"-")</f>
        <v>-</v>
      </c>
      <c r="AA63" t="str">
        <f>IFERROR(__xludf.DUMMYFUNCTION("""COMPUTED_VALUE"""),"-")</f>
        <v>-</v>
      </c>
    </row>
    <row r="64">
      <c r="A64" t="str">
        <f>IFERROR(__xludf.DUMMYFUNCTION("""COMPUTED_VALUE"""),"#63")</f>
        <v>#63</v>
      </c>
      <c r="B64" t="str">
        <f>IFERROR(__xludf.DUMMYFUNCTION("""COMPUTED_VALUE"""),"Jean Messiha")</f>
        <v>Jean Messiha</v>
      </c>
      <c r="C64">
        <f>IFERROR(__xludf.DUMMYFUNCTION("""COMPUTED_VALUE"""),164013.0)</f>
        <v>164013</v>
      </c>
      <c r="D64" t="str">
        <f>IFERROR(__xludf.DUMMYFUNCTION("""COMPUTED_VALUE"""),"-")</f>
        <v>-</v>
      </c>
      <c r="E64" t="str">
        <f>IFERROR(__xludf.DUMMYFUNCTION("""COMPUTED_VALUE"""),"-")</f>
        <v>-</v>
      </c>
      <c r="F64" t="str">
        <f>IFERROR(__xludf.DUMMYFUNCTION("""COMPUTED_VALUE"""),"-")</f>
        <v>-</v>
      </c>
      <c r="G64" t="str">
        <f>IFERROR(__xludf.DUMMYFUNCTION("""COMPUTED_VALUE"""),"-")</f>
        <v>-</v>
      </c>
      <c r="H64" t="str">
        <f>IFERROR(__xludf.DUMMYFUNCTION("""COMPUTED_VALUE"""),"-")</f>
        <v>-</v>
      </c>
      <c r="I64" t="str">
        <f>IFERROR(__xludf.DUMMYFUNCTION("""COMPUTED_VALUE"""),"-")</f>
        <v>-</v>
      </c>
      <c r="J64" t="str">
        <f>IFERROR(__xludf.DUMMYFUNCTION("""COMPUTED_VALUE"""),"-")</f>
        <v>-</v>
      </c>
      <c r="K64" t="str">
        <f>IFERROR(__xludf.DUMMYFUNCTION("""COMPUTED_VALUE"""),"-")</f>
        <v>-</v>
      </c>
      <c r="L64" t="str">
        <f>IFERROR(__xludf.DUMMYFUNCTION("""COMPUTED_VALUE"""),"-")</f>
        <v>-</v>
      </c>
      <c r="M64" t="str">
        <f>IFERROR(__xludf.DUMMYFUNCTION("""COMPUTED_VALUE"""),"-")</f>
        <v>-</v>
      </c>
      <c r="O64" t="str">
        <f>IFERROR(__xludf.DUMMYFUNCTION("""COMPUTED_VALUE"""),"#63")</f>
        <v>#63</v>
      </c>
      <c r="P64" t="str">
        <f>IFERROR(__xludf.DUMMYFUNCTION("""COMPUTED_VALUE"""),"Jean Messiha")</f>
        <v>Jean Messiha</v>
      </c>
      <c r="Q64">
        <f>IFERROR(__xludf.DUMMYFUNCTION("""COMPUTED_VALUE"""),164013.0)</f>
        <v>164013</v>
      </c>
      <c r="R64" t="str">
        <f>IFERROR(__xludf.DUMMYFUNCTION("""COMPUTED_VALUE"""),"-")</f>
        <v>-</v>
      </c>
      <c r="S64" t="str">
        <f>IFERROR(__xludf.DUMMYFUNCTION("""COMPUTED_VALUE"""),"-")</f>
        <v>-</v>
      </c>
      <c r="T64" t="str">
        <f>IFERROR(__xludf.DUMMYFUNCTION("""COMPUTED_VALUE"""),"-")</f>
        <v>-</v>
      </c>
      <c r="U64" t="str">
        <f>IFERROR(__xludf.DUMMYFUNCTION("""COMPUTED_VALUE"""),"-")</f>
        <v>-</v>
      </c>
      <c r="V64" t="str">
        <f>IFERROR(__xludf.DUMMYFUNCTION("""COMPUTED_VALUE"""),"-")</f>
        <v>-</v>
      </c>
      <c r="W64" t="str">
        <f>IFERROR(__xludf.DUMMYFUNCTION("""COMPUTED_VALUE"""),"-")</f>
        <v>-</v>
      </c>
      <c r="X64" t="str">
        <f>IFERROR(__xludf.DUMMYFUNCTION("""COMPUTED_VALUE"""),"-")</f>
        <v>-</v>
      </c>
      <c r="Y64" t="str">
        <f>IFERROR(__xludf.DUMMYFUNCTION("""COMPUTED_VALUE"""),"-")</f>
        <v>-</v>
      </c>
      <c r="Z64" t="str">
        <f>IFERROR(__xludf.DUMMYFUNCTION("""COMPUTED_VALUE"""),"-")</f>
        <v>-</v>
      </c>
      <c r="AA64" t="str">
        <f>IFERROR(__xludf.DUMMYFUNCTION("""COMPUTED_VALUE"""),"-")</f>
        <v>-</v>
      </c>
    </row>
    <row r="65">
      <c r="A65" t="str">
        <f>IFERROR(__xludf.DUMMYFUNCTION("""COMPUTED_VALUE"""),"#64")</f>
        <v>#64</v>
      </c>
      <c r="B65" t="str">
        <f>IFERROR(__xludf.DUMMYFUNCTION("""COMPUTED_VALUE"""),"Alexis Corbière")</f>
        <v>Alexis Corbière</v>
      </c>
      <c r="C65">
        <f>IFERROR(__xludf.DUMMYFUNCTION("""COMPUTED_VALUE"""),162356.0)</f>
        <v>162356</v>
      </c>
      <c r="D65" t="str">
        <f>IFERROR(__xludf.DUMMYFUNCTION("""COMPUTED_VALUE"""),"-")</f>
        <v>-</v>
      </c>
      <c r="E65" t="str">
        <f>IFERROR(__xludf.DUMMYFUNCTION("""COMPUTED_VALUE"""),"-")</f>
        <v>-</v>
      </c>
      <c r="F65" t="str">
        <f>IFERROR(__xludf.DUMMYFUNCTION("""COMPUTED_VALUE"""),"-")</f>
        <v>-</v>
      </c>
      <c r="G65" t="str">
        <f>IFERROR(__xludf.DUMMYFUNCTION("""COMPUTED_VALUE"""),"-")</f>
        <v>-</v>
      </c>
      <c r="H65" t="str">
        <f>IFERROR(__xludf.DUMMYFUNCTION("""COMPUTED_VALUE"""),"-")</f>
        <v>-</v>
      </c>
      <c r="I65" t="str">
        <f>IFERROR(__xludf.DUMMYFUNCTION("""COMPUTED_VALUE"""),"-")</f>
        <v>-</v>
      </c>
      <c r="J65" t="str">
        <f>IFERROR(__xludf.DUMMYFUNCTION("""COMPUTED_VALUE"""),"-")</f>
        <v>-</v>
      </c>
      <c r="K65" t="str">
        <f>IFERROR(__xludf.DUMMYFUNCTION("""COMPUTED_VALUE"""),"-")</f>
        <v>-</v>
      </c>
      <c r="L65" t="str">
        <f>IFERROR(__xludf.DUMMYFUNCTION("""COMPUTED_VALUE"""),"-")</f>
        <v>-</v>
      </c>
      <c r="M65" t="str">
        <f>IFERROR(__xludf.DUMMYFUNCTION("""COMPUTED_VALUE"""),"-")</f>
        <v>-</v>
      </c>
      <c r="O65" t="str">
        <f>IFERROR(__xludf.DUMMYFUNCTION("""COMPUTED_VALUE"""),"#64")</f>
        <v>#64</v>
      </c>
      <c r="P65" t="str">
        <f>IFERROR(__xludf.DUMMYFUNCTION("""COMPUTED_VALUE"""),"Alexis Corbière")</f>
        <v>Alexis Corbière</v>
      </c>
      <c r="Q65">
        <f>IFERROR(__xludf.DUMMYFUNCTION("""COMPUTED_VALUE"""),162356.0)</f>
        <v>162356</v>
      </c>
      <c r="R65" t="str">
        <f>IFERROR(__xludf.DUMMYFUNCTION("""COMPUTED_VALUE"""),"-")</f>
        <v>-</v>
      </c>
      <c r="S65" t="str">
        <f>IFERROR(__xludf.DUMMYFUNCTION("""COMPUTED_VALUE"""),"-")</f>
        <v>-</v>
      </c>
      <c r="T65" t="str">
        <f>IFERROR(__xludf.DUMMYFUNCTION("""COMPUTED_VALUE"""),"-")</f>
        <v>-</v>
      </c>
      <c r="U65" t="str">
        <f>IFERROR(__xludf.DUMMYFUNCTION("""COMPUTED_VALUE"""),"-")</f>
        <v>-</v>
      </c>
      <c r="V65" t="str">
        <f>IFERROR(__xludf.DUMMYFUNCTION("""COMPUTED_VALUE"""),"-")</f>
        <v>-</v>
      </c>
      <c r="W65" t="str">
        <f>IFERROR(__xludf.DUMMYFUNCTION("""COMPUTED_VALUE"""),"-")</f>
        <v>-</v>
      </c>
      <c r="X65" t="str">
        <f>IFERROR(__xludf.DUMMYFUNCTION("""COMPUTED_VALUE"""),"-")</f>
        <v>-</v>
      </c>
      <c r="Y65" t="str">
        <f>IFERROR(__xludf.DUMMYFUNCTION("""COMPUTED_VALUE"""),"-")</f>
        <v>-</v>
      </c>
      <c r="Z65" t="str">
        <f>IFERROR(__xludf.DUMMYFUNCTION("""COMPUTED_VALUE"""),"-")</f>
        <v>-</v>
      </c>
      <c r="AA65" t="str">
        <f>IFERROR(__xludf.DUMMYFUNCTION("""COMPUTED_VALUE"""),"-")</f>
        <v>-</v>
      </c>
    </row>
    <row r="66">
      <c r="A66" t="str">
        <f>IFERROR(__xludf.DUMMYFUNCTION("""COMPUTED_VALUE"""),"#65")</f>
        <v>#65</v>
      </c>
      <c r="B66" t="str">
        <f>IFERROR(__xludf.DUMMYFUNCTION("""COMPUTED_VALUE"""),"Roselyne Bachelot")</f>
        <v>Roselyne Bachelot</v>
      </c>
      <c r="C66">
        <f>IFERROR(__xludf.DUMMYFUNCTION("""COMPUTED_VALUE"""),162073.0)</f>
        <v>162073</v>
      </c>
      <c r="D66" t="str">
        <f>IFERROR(__xludf.DUMMYFUNCTION("""COMPUTED_VALUE"""),"-")</f>
        <v>-</v>
      </c>
      <c r="E66" t="str">
        <f>IFERROR(__xludf.DUMMYFUNCTION("""COMPUTED_VALUE"""),"-")</f>
        <v>-</v>
      </c>
      <c r="F66" t="str">
        <f>IFERROR(__xludf.DUMMYFUNCTION("""COMPUTED_VALUE"""),"-")</f>
        <v>-</v>
      </c>
      <c r="G66" t="str">
        <f>IFERROR(__xludf.DUMMYFUNCTION("""COMPUTED_VALUE"""),"-")</f>
        <v>-</v>
      </c>
      <c r="H66" t="str">
        <f>IFERROR(__xludf.DUMMYFUNCTION("""COMPUTED_VALUE"""),"-")</f>
        <v>-</v>
      </c>
      <c r="I66" t="str">
        <f>IFERROR(__xludf.DUMMYFUNCTION("""COMPUTED_VALUE"""),"-")</f>
        <v>-</v>
      </c>
      <c r="J66" t="str">
        <f>IFERROR(__xludf.DUMMYFUNCTION("""COMPUTED_VALUE"""),"-")</f>
        <v>-</v>
      </c>
      <c r="K66" t="str">
        <f>IFERROR(__xludf.DUMMYFUNCTION("""COMPUTED_VALUE"""),"-")</f>
        <v>-</v>
      </c>
      <c r="L66" t="str">
        <f>IFERROR(__xludf.DUMMYFUNCTION("""COMPUTED_VALUE"""),"-")</f>
        <v>-</v>
      </c>
      <c r="M66" t="str">
        <f>IFERROR(__xludf.DUMMYFUNCTION("""COMPUTED_VALUE"""),"-")</f>
        <v>-</v>
      </c>
      <c r="O66" t="str">
        <f>IFERROR(__xludf.DUMMYFUNCTION("""COMPUTED_VALUE"""),"#65")</f>
        <v>#65</v>
      </c>
      <c r="P66" t="str">
        <f>IFERROR(__xludf.DUMMYFUNCTION("""COMPUTED_VALUE"""),"Roselyne Bachelot")</f>
        <v>Roselyne Bachelot</v>
      </c>
      <c r="Q66">
        <f>IFERROR(__xludf.DUMMYFUNCTION("""COMPUTED_VALUE"""),162073.0)</f>
        <v>162073</v>
      </c>
      <c r="R66" t="str">
        <f>IFERROR(__xludf.DUMMYFUNCTION("""COMPUTED_VALUE"""),"-")</f>
        <v>-</v>
      </c>
      <c r="S66" t="str">
        <f>IFERROR(__xludf.DUMMYFUNCTION("""COMPUTED_VALUE"""),"-")</f>
        <v>-</v>
      </c>
      <c r="T66" t="str">
        <f>IFERROR(__xludf.DUMMYFUNCTION("""COMPUTED_VALUE"""),"-")</f>
        <v>-</v>
      </c>
      <c r="U66" t="str">
        <f>IFERROR(__xludf.DUMMYFUNCTION("""COMPUTED_VALUE"""),"-")</f>
        <v>-</v>
      </c>
      <c r="V66" t="str">
        <f>IFERROR(__xludf.DUMMYFUNCTION("""COMPUTED_VALUE"""),"-")</f>
        <v>-</v>
      </c>
      <c r="W66" t="str">
        <f>IFERROR(__xludf.DUMMYFUNCTION("""COMPUTED_VALUE"""),"-")</f>
        <v>-</v>
      </c>
      <c r="X66" t="str">
        <f>IFERROR(__xludf.DUMMYFUNCTION("""COMPUTED_VALUE"""),"-")</f>
        <v>-</v>
      </c>
      <c r="Y66" t="str">
        <f>IFERROR(__xludf.DUMMYFUNCTION("""COMPUTED_VALUE"""),"-")</f>
        <v>-</v>
      </c>
      <c r="Z66" t="str">
        <f>IFERROR(__xludf.DUMMYFUNCTION("""COMPUTED_VALUE"""),"-")</f>
        <v>-</v>
      </c>
      <c r="AA66" t="str">
        <f>IFERROR(__xludf.DUMMYFUNCTION("""COMPUTED_VALUE"""),"-")</f>
        <v>-</v>
      </c>
    </row>
    <row r="67">
      <c r="A67" t="str">
        <f>IFERROR(__xludf.DUMMYFUNCTION("""COMPUTED_VALUE"""),"#66")</f>
        <v>#66</v>
      </c>
      <c r="B67" t="str">
        <f>IFERROR(__xludf.DUMMYFUNCTION("""COMPUTED_VALUE"""),"Gérard Collomb")</f>
        <v>Gérard Collomb</v>
      </c>
      <c r="C67">
        <f>IFERROR(__xludf.DUMMYFUNCTION("""COMPUTED_VALUE"""),161287.0)</f>
        <v>161287</v>
      </c>
      <c r="D67" t="str">
        <f>IFERROR(__xludf.DUMMYFUNCTION("""COMPUTED_VALUE"""),"-")</f>
        <v>-</v>
      </c>
      <c r="E67" t="str">
        <f>IFERROR(__xludf.DUMMYFUNCTION("""COMPUTED_VALUE"""),"-")</f>
        <v>-</v>
      </c>
      <c r="F67" t="str">
        <f>IFERROR(__xludf.DUMMYFUNCTION("""COMPUTED_VALUE"""),"-")</f>
        <v>-</v>
      </c>
      <c r="G67" t="str">
        <f>IFERROR(__xludf.DUMMYFUNCTION("""COMPUTED_VALUE"""),"-")</f>
        <v>-</v>
      </c>
      <c r="H67" t="str">
        <f>IFERROR(__xludf.DUMMYFUNCTION("""COMPUTED_VALUE"""),"-")</f>
        <v>-</v>
      </c>
      <c r="I67" t="str">
        <f>IFERROR(__xludf.DUMMYFUNCTION("""COMPUTED_VALUE"""),"-")</f>
        <v>-</v>
      </c>
      <c r="J67" t="str">
        <f>IFERROR(__xludf.DUMMYFUNCTION("""COMPUTED_VALUE"""),"-")</f>
        <v>-</v>
      </c>
      <c r="K67" t="str">
        <f>IFERROR(__xludf.DUMMYFUNCTION("""COMPUTED_VALUE"""),"-")</f>
        <v>-</v>
      </c>
      <c r="L67" t="str">
        <f>IFERROR(__xludf.DUMMYFUNCTION("""COMPUTED_VALUE"""),"-")</f>
        <v>-</v>
      </c>
      <c r="M67" t="str">
        <f>IFERROR(__xludf.DUMMYFUNCTION("""COMPUTED_VALUE"""),"-")</f>
        <v>-</v>
      </c>
      <c r="O67" t="str">
        <f>IFERROR(__xludf.DUMMYFUNCTION("""COMPUTED_VALUE"""),"#66")</f>
        <v>#66</v>
      </c>
      <c r="P67" t="str">
        <f>IFERROR(__xludf.DUMMYFUNCTION("""COMPUTED_VALUE"""),"Gérard Collomb")</f>
        <v>Gérard Collomb</v>
      </c>
      <c r="Q67">
        <f>IFERROR(__xludf.DUMMYFUNCTION("""COMPUTED_VALUE"""),161287.0)</f>
        <v>161287</v>
      </c>
      <c r="R67" t="str">
        <f>IFERROR(__xludf.DUMMYFUNCTION("""COMPUTED_VALUE"""),"-")</f>
        <v>-</v>
      </c>
      <c r="S67" t="str">
        <f>IFERROR(__xludf.DUMMYFUNCTION("""COMPUTED_VALUE"""),"-")</f>
        <v>-</v>
      </c>
      <c r="T67" t="str">
        <f>IFERROR(__xludf.DUMMYFUNCTION("""COMPUTED_VALUE"""),"-")</f>
        <v>-</v>
      </c>
      <c r="U67" t="str">
        <f>IFERROR(__xludf.DUMMYFUNCTION("""COMPUTED_VALUE"""),"-")</f>
        <v>-</v>
      </c>
      <c r="V67" t="str">
        <f>IFERROR(__xludf.DUMMYFUNCTION("""COMPUTED_VALUE"""),"-")</f>
        <v>-</v>
      </c>
      <c r="W67" t="str">
        <f>IFERROR(__xludf.DUMMYFUNCTION("""COMPUTED_VALUE"""),"-")</f>
        <v>-</v>
      </c>
      <c r="X67" t="str">
        <f>IFERROR(__xludf.DUMMYFUNCTION("""COMPUTED_VALUE"""),"-")</f>
        <v>-</v>
      </c>
      <c r="Y67" t="str">
        <f>IFERROR(__xludf.DUMMYFUNCTION("""COMPUTED_VALUE"""),"-")</f>
        <v>-</v>
      </c>
      <c r="Z67" t="str">
        <f>IFERROR(__xludf.DUMMYFUNCTION("""COMPUTED_VALUE"""),"-")</f>
        <v>-</v>
      </c>
      <c r="AA67" t="str">
        <f>IFERROR(__xludf.DUMMYFUNCTION("""COMPUTED_VALUE"""),"-")</f>
        <v>-</v>
      </c>
    </row>
    <row r="68">
      <c r="A68" t="str">
        <f>IFERROR(__xludf.DUMMYFUNCTION("""COMPUTED_VALUE"""),"#67")</f>
        <v>#67</v>
      </c>
      <c r="B68" t="str">
        <f>IFERROR(__xludf.DUMMYFUNCTION("""COMPUTED_VALUE"""),"Mathilde Panot")</f>
        <v>Mathilde Panot</v>
      </c>
      <c r="C68">
        <f>IFERROR(__xludf.DUMMYFUNCTION("""COMPUTED_VALUE"""),160947.0)</f>
        <v>160947</v>
      </c>
      <c r="D68" t="str">
        <f>IFERROR(__xludf.DUMMYFUNCTION("""COMPUTED_VALUE"""),"-")</f>
        <v>-</v>
      </c>
      <c r="E68" t="str">
        <f>IFERROR(__xludf.DUMMYFUNCTION("""COMPUTED_VALUE"""),"-")</f>
        <v>-</v>
      </c>
      <c r="F68" t="str">
        <f>IFERROR(__xludf.DUMMYFUNCTION("""COMPUTED_VALUE"""),"-")</f>
        <v>-</v>
      </c>
      <c r="G68" t="str">
        <f>IFERROR(__xludf.DUMMYFUNCTION("""COMPUTED_VALUE"""),"-")</f>
        <v>-</v>
      </c>
      <c r="H68" t="str">
        <f>IFERROR(__xludf.DUMMYFUNCTION("""COMPUTED_VALUE"""),"-")</f>
        <v>-</v>
      </c>
      <c r="I68" t="str">
        <f>IFERROR(__xludf.DUMMYFUNCTION("""COMPUTED_VALUE"""),"-")</f>
        <v>-</v>
      </c>
      <c r="J68" t="str">
        <f>IFERROR(__xludf.DUMMYFUNCTION("""COMPUTED_VALUE"""),"-")</f>
        <v>-</v>
      </c>
      <c r="K68" t="str">
        <f>IFERROR(__xludf.DUMMYFUNCTION("""COMPUTED_VALUE"""),"-")</f>
        <v>-</v>
      </c>
      <c r="L68" t="str">
        <f>IFERROR(__xludf.DUMMYFUNCTION("""COMPUTED_VALUE"""),"-")</f>
        <v>-</v>
      </c>
      <c r="M68" t="str">
        <f>IFERROR(__xludf.DUMMYFUNCTION("""COMPUTED_VALUE"""),"-")</f>
        <v>-</v>
      </c>
      <c r="O68" t="str">
        <f>IFERROR(__xludf.DUMMYFUNCTION("""COMPUTED_VALUE"""),"#67")</f>
        <v>#67</v>
      </c>
      <c r="P68" t="str">
        <f>IFERROR(__xludf.DUMMYFUNCTION("""COMPUTED_VALUE"""),"Mathilde Panot")</f>
        <v>Mathilde Panot</v>
      </c>
      <c r="Q68">
        <f>IFERROR(__xludf.DUMMYFUNCTION("""COMPUTED_VALUE"""),160947.0)</f>
        <v>160947</v>
      </c>
      <c r="R68" t="str">
        <f>IFERROR(__xludf.DUMMYFUNCTION("""COMPUTED_VALUE"""),"-")</f>
        <v>-</v>
      </c>
      <c r="S68" t="str">
        <f>IFERROR(__xludf.DUMMYFUNCTION("""COMPUTED_VALUE"""),"-")</f>
        <v>-</v>
      </c>
      <c r="T68" t="str">
        <f>IFERROR(__xludf.DUMMYFUNCTION("""COMPUTED_VALUE"""),"-")</f>
        <v>-</v>
      </c>
      <c r="U68" t="str">
        <f>IFERROR(__xludf.DUMMYFUNCTION("""COMPUTED_VALUE"""),"-")</f>
        <v>-</v>
      </c>
      <c r="V68" t="str">
        <f>IFERROR(__xludf.DUMMYFUNCTION("""COMPUTED_VALUE"""),"-")</f>
        <v>-</v>
      </c>
      <c r="W68" t="str">
        <f>IFERROR(__xludf.DUMMYFUNCTION("""COMPUTED_VALUE"""),"-")</f>
        <v>-</v>
      </c>
      <c r="X68" t="str">
        <f>IFERROR(__xludf.DUMMYFUNCTION("""COMPUTED_VALUE"""),"-")</f>
        <v>-</v>
      </c>
      <c r="Y68" t="str">
        <f>IFERROR(__xludf.DUMMYFUNCTION("""COMPUTED_VALUE"""),"-")</f>
        <v>-</v>
      </c>
      <c r="Z68" t="str">
        <f>IFERROR(__xludf.DUMMYFUNCTION("""COMPUTED_VALUE"""),"-")</f>
        <v>-</v>
      </c>
      <c r="AA68" t="str">
        <f>IFERROR(__xludf.DUMMYFUNCTION("""COMPUTED_VALUE"""),"-")</f>
        <v>-</v>
      </c>
    </row>
    <row r="69">
      <c r="A69" t="str">
        <f>IFERROR(__xludf.DUMMYFUNCTION("""COMPUTED_VALUE"""),"#68")</f>
        <v>#68</v>
      </c>
      <c r="B69" t="str">
        <f>IFERROR(__xludf.DUMMYFUNCTION("""COMPUTED_VALUE"""),"Eva Joly")</f>
        <v>Eva Joly</v>
      </c>
      <c r="C69">
        <f>IFERROR(__xludf.DUMMYFUNCTION("""COMPUTED_VALUE"""),159107.0)</f>
        <v>159107</v>
      </c>
      <c r="D69" t="str">
        <f>IFERROR(__xludf.DUMMYFUNCTION("""COMPUTED_VALUE"""),"-")</f>
        <v>-</v>
      </c>
      <c r="E69" t="str">
        <f>IFERROR(__xludf.DUMMYFUNCTION("""COMPUTED_VALUE"""),"-")</f>
        <v>-</v>
      </c>
      <c r="F69" t="str">
        <f>IFERROR(__xludf.DUMMYFUNCTION("""COMPUTED_VALUE"""),"-")</f>
        <v>-</v>
      </c>
      <c r="G69" t="str">
        <f>IFERROR(__xludf.DUMMYFUNCTION("""COMPUTED_VALUE"""),"-")</f>
        <v>-</v>
      </c>
      <c r="H69" t="str">
        <f>IFERROR(__xludf.DUMMYFUNCTION("""COMPUTED_VALUE"""),"-")</f>
        <v>-</v>
      </c>
      <c r="I69" t="str">
        <f>IFERROR(__xludf.DUMMYFUNCTION("""COMPUTED_VALUE"""),"-")</f>
        <v>-</v>
      </c>
      <c r="J69" t="str">
        <f>IFERROR(__xludf.DUMMYFUNCTION("""COMPUTED_VALUE"""),"-")</f>
        <v>-</v>
      </c>
      <c r="K69" t="str">
        <f>IFERROR(__xludf.DUMMYFUNCTION("""COMPUTED_VALUE"""),"-")</f>
        <v>-</v>
      </c>
      <c r="L69" t="str">
        <f>IFERROR(__xludf.DUMMYFUNCTION("""COMPUTED_VALUE"""),"-")</f>
        <v>-</v>
      </c>
      <c r="M69" t="str">
        <f>IFERROR(__xludf.DUMMYFUNCTION("""COMPUTED_VALUE"""),"-")</f>
        <v>-</v>
      </c>
      <c r="O69" t="str">
        <f>IFERROR(__xludf.DUMMYFUNCTION("""COMPUTED_VALUE"""),"#68")</f>
        <v>#68</v>
      </c>
      <c r="P69" t="str">
        <f>IFERROR(__xludf.DUMMYFUNCTION("""COMPUTED_VALUE"""),"Eva Joly")</f>
        <v>Eva Joly</v>
      </c>
      <c r="Q69">
        <f>IFERROR(__xludf.DUMMYFUNCTION("""COMPUTED_VALUE"""),159107.0)</f>
        <v>159107</v>
      </c>
      <c r="R69" t="str">
        <f>IFERROR(__xludf.DUMMYFUNCTION("""COMPUTED_VALUE"""),"-")</f>
        <v>-</v>
      </c>
      <c r="S69" t="str">
        <f>IFERROR(__xludf.DUMMYFUNCTION("""COMPUTED_VALUE"""),"-")</f>
        <v>-</v>
      </c>
      <c r="T69" t="str">
        <f>IFERROR(__xludf.DUMMYFUNCTION("""COMPUTED_VALUE"""),"-")</f>
        <v>-</v>
      </c>
      <c r="U69" t="str">
        <f>IFERROR(__xludf.DUMMYFUNCTION("""COMPUTED_VALUE"""),"-")</f>
        <v>-</v>
      </c>
      <c r="V69" t="str">
        <f>IFERROR(__xludf.DUMMYFUNCTION("""COMPUTED_VALUE"""),"-")</f>
        <v>-</v>
      </c>
      <c r="W69" t="str">
        <f>IFERROR(__xludf.DUMMYFUNCTION("""COMPUTED_VALUE"""),"-")</f>
        <v>-</v>
      </c>
      <c r="X69" t="str">
        <f>IFERROR(__xludf.DUMMYFUNCTION("""COMPUTED_VALUE"""),"-")</f>
        <v>-</v>
      </c>
      <c r="Y69" t="str">
        <f>IFERROR(__xludf.DUMMYFUNCTION("""COMPUTED_VALUE"""),"-")</f>
        <v>-</v>
      </c>
      <c r="Z69" t="str">
        <f>IFERROR(__xludf.DUMMYFUNCTION("""COMPUTED_VALUE"""),"-")</f>
        <v>-</v>
      </c>
      <c r="AA69" t="str">
        <f>IFERROR(__xludf.DUMMYFUNCTION("""COMPUTED_VALUE"""),"-")</f>
        <v>-</v>
      </c>
    </row>
    <row r="70">
      <c r="A70" t="str">
        <f>IFERROR(__xludf.DUMMYFUNCTION("""COMPUTED_VALUE"""),"#69")</f>
        <v>#69</v>
      </c>
      <c r="B70" t="str">
        <f>IFERROR(__xludf.DUMMYFUNCTION("""COMPUTED_VALUE"""),"Stéphane Le Foll")</f>
        <v>Stéphane Le Foll</v>
      </c>
      <c r="C70">
        <f>IFERROR(__xludf.DUMMYFUNCTION("""COMPUTED_VALUE"""),138330.0)</f>
        <v>138330</v>
      </c>
      <c r="D70" t="str">
        <f>IFERROR(__xludf.DUMMYFUNCTION("""COMPUTED_VALUE"""),"-")</f>
        <v>-</v>
      </c>
      <c r="E70" t="str">
        <f>IFERROR(__xludf.DUMMYFUNCTION("""COMPUTED_VALUE"""),"-")</f>
        <v>-</v>
      </c>
      <c r="F70" t="str">
        <f>IFERROR(__xludf.DUMMYFUNCTION("""COMPUTED_VALUE"""),"-")</f>
        <v>-</v>
      </c>
      <c r="G70" t="str">
        <f>IFERROR(__xludf.DUMMYFUNCTION("""COMPUTED_VALUE"""),"-")</f>
        <v>-</v>
      </c>
      <c r="H70" t="str">
        <f>IFERROR(__xludf.DUMMYFUNCTION("""COMPUTED_VALUE"""),"-")</f>
        <v>-</v>
      </c>
      <c r="I70" t="str">
        <f>IFERROR(__xludf.DUMMYFUNCTION("""COMPUTED_VALUE"""),"-")</f>
        <v>-</v>
      </c>
      <c r="J70" t="str">
        <f>IFERROR(__xludf.DUMMYFUNCTION("""COMPUTED_VALUE"""),"-")</f>
        <v>-</v>
      </c>
      <c r="K70" t="str">
        <f>IFERROR(__xludf.DUMMYFUNCTION("""COMPUTED_VALUE"""),"-")</f>
        <v>-</v>
      </c>
      <c r="L70" t="str">
        <f>IFERROR(__xludf.DUMMYFUNCTION("""COMPUTED_VALUE"""),"-")</f>
        <v>-</v>
      </c>
      <c r="M70" t="str">
        <f>IFERROR(__xludf.DUMMYFUNCTION("""COMPUTED_VALUE"""),"-")</f>
        <v>-</v>
      </c>
      <c r="O70" t="str">
        <f>IFERROR(__xludf.DUMMYFUNCTION("""COMPUTED_VALUE"""),"#69")</f>
        <v>#69</v>
      </c>
      <c r="P70" t="str">
        <f>IFERROR(__xludf.DUMMYFUNCTION("""COMPUTED_VALUE"""),"Stéphane Le Foll")</f>
        <v>Stéphane Le Foll</v>
      </c>
      <c r="Q70">
        <f>IFERROR(__xludf.DUMMYFUNCTION("""COMPUTED_VALUE"""),138330.0)</f>
        <v>138330</v>
      </c>
      <c r="R70" t="str">
        <f>IFERROR(__xludf.DUMMYFUNCTION("""COMPUTED_VALUE"""),"-")</f>
        <v>-</v>
      </c>
      <c r="S70" t="str">
        <f>IFERROR(__xludf.DUMMYFUNCTION("""COMPUTED_VALUE"""),"-")</f>
        <v>-</v>
      </c>
      <c r="T70" t="str">
        <f>IFERROR(__xludf.DUMMYFUNCTION("""COMPUTED_VALUE"""),"-")</f>
        <v>-</v>
      </c>
      <c r="U70" t="str">
        <f>IFERROR(__xludf.DUMMYFUNCTION("""COMPUTED_VALUE"""),"-")</f>
        <v>-</v>
      </c>
      <c r="V70" t="str">
        <f>IFERROR(__xludf.DUMMYFUNCTION("""COMPUTED_VALUE"""),"-")</f>
        <v>-</v>
      </c>
      <c r="W70" t="str">
        <f>IFERROR(__xludf.DUMMYFUNCTION("""COMPUTED_VALUE"""),"-")</f>
        <v>-</v>
      </c>
      <c r="X70" t="str">
        <f>IFERROR(__xludf.DUMMYFUNCTION("""COMPUTED_VALUE"""),"-")</f>
        <v>-</v>
      </c>
      <c r="Y70" t="str">
        <f>IFERROR(__xludf.DUMMYFUNCTION("""COMPUTED_VALUE"""),"-")</f>
        <v>-</v>
      </c>
      <c r="Z70" t="str">
        <f>IFERROR(__xludf.DUMMYFUNCTION("""COMPUTED_VALUE"""),"-")</f>
        <v>-</v>
      </c>
      <c r="AA70" t="str">
        <f>IFERROR(__xludf.DUMMYFUNCTION("""COMPUTED_VALUE"""),"-")</f>
        <v>-</v>
      </c>
    </row>
    <row r="71">
      <c r="A71" t="str">
        <f>IFERROR(__xludf.DUMMYFUNCTION("""COMPUTED_VALUE"""),"#70")</f>
        <v>#70</v>
      </c>
      <c r="B71" t="str">
        <f>IFERROR(__xludf.DUMMYFUNCTION("""COMPUTED_VALUE"""),"Florence Parly")</f>
        <v>Florence Parly</v>
      </c>
      <c r="C71">
        <f>IFERROR(__xludf.DUMMYFUNCTION("""COMPUTED_VALUE"""),134839.0)</f>
        <v>134839</v>
      </c>
      <c r="D71" t="str">
        <f>IFERROR(__xludf.DUMMYFUNCTION("""COMPUTED_VALUE"""),"-")</f>
        <v>-</v>
      </c>
      <c r="E71" t="str">
        <f>IFERROR(__xludf.DUMMYFUNCTION("""COMPUTED_VALUE"""),"-")</f>
        <v>-</v>
      </c>
      <c r="F71" t="str">
        <f>IFERROR(__xludf.DUMMYFUNCTION("""COMPUTED_VALUE"""),"-")</f>
        <v>-</v>
      </c>
      <c r="G71" t="str">
        <f>IFERROR(__xludf.DUMMYFUNCTION("""COMPUTED_VALUE"""),"-")</f>
        <v>-</v>
      </c>
      <c r="H71" t="str">
        <f>IFERROR(__xludf.DUMMYFUNCTION("""COMPUTED_VALUE"""),"-")</f>
        <v>-</v>
      </c>
      <c r="I71" t="str">
        <f>IFERROR(__xludf.DUMMYFUNCTION("""COMPUTED_VALUE"""),"-")</f>
        <v>-</v>
      </c>
      <c r="J71" t="str">
        <f>IFERROR(__xludf.DUMMYFUNCTION("""COMPUTED_VALUE"""),"-")</f>
        <v>-</v>
      </c>
      <c r="K71" t="str">
        <f>IFERROR(__xludf.DUMMYFUNCTION("""COMPUTED_VALUE"""),"-")</f>
        <v>-</v>
      </c>
      <c r="L71" t="str">
        <f>IFERROR(__xludf.DUMMYFUNCTION("""COMPUTED_VALUE"""),"-")</f>
        <v>-</v>
      </c>
      <c r="M71" t="str">
        <f>IFERROR(__xludf.DUMMYFUNCTION("""COMPUTED_VALUE"""),"-")</f>
        <v>-</v>
      </c>
      <c r="O71" t="str">
        <f>IFERROR(__xludf.DUMMYFUNCTION("""COMPUTED_VALUE"""),"#70")</f>
        <v>#70</v>
      </c>
      <c r="P71" t="str">
        <f>IFERROR(__xludf.DUMMYFUNCTION("""COMPUTED_VALUE"""),"Florence Parly")</f>
        <v>Florence Parly</v>
      </c>
      <c r="Q71">
        <f>IFERROR(__xludf.DUMMYFUNCTION("""COMPUTED_VALUE"""),134839.0)</f>
        <v>134839</v>
      </c>
      <c r="R71" t="str">
        <f>IFERROR(__xludf.DUMMYFUNCTION("""COMPUTED_VALUE"""),"-")</f>
        <v>-</v>
      </c>
      <c r="S71" t="str">
        <f>IFERROR(__xludf.DUMMYFUNCTION("""COMPUTED_VALUE"""),"-")</f>
        <v>-</v>
      </c>
      <c r="T71" t="str">
        <f>IFERROR(__xludf.DUMMYFUNCTION("""COMPUTED_VALUE"""),"-")</f>
        <v>-</v>
      </c>
      <c r="U71" t="str">
        <f>IFERROR(__xludf.DUMMYFUNCTION("""COMPUTED_VALUE"""),"-")</f>
        <v>-</v>
      </c>
      <c r="V71" t="str">
        <f>IFERROR(__xludf.DUMMYFUNCTION("""COMPUTED_VALUE"""),"-")</f>
        <v>-</v>
      </c>
      <c r="W71" t="str">
        <f>IFERROR(__xludf.DUMMYFUNCTION("""COMPUTED_VALUE"""),"-")</f>
        <v>-</v>
      </c>
      <c r="X71" t="str">
        <f>IFERROR(__xludf.DUMMYFUNCTION("""COMPUTED_VALUE"""),"-")</f>
        <v>-</v>
      </c>
      <c r="Y71" t="str">
        <f>IFERROR(__xludf.DUMMYFUNCTION("""COMPUTED_VALUE"""),"-")</f>
        <v>-</v>
      </c>
      <c r="Z71" t="str">
        <f>IFERROR(__xludf.DUMMYFUNCTION("""COMPUTED_VALUE"""),"-")</f>
        <v>-</v>
      </c>
      <c r="AA71" t="str">
        <f>IFERROR(__xludf.DUMMYFUNCTION("""COMPUTED_VALUE"""),"-")</f>
        <v>-</v>
      </c>
    </row>
    <row r="72">
      <c r="A72" t="str">
        <f>IFERROR(__xludf.DUMMYFUNCTION("""COMPUTED_VALUE"""),"#71")</f>
        <v>#71</v>
      </c>
      <c r="B72" t="str">
        <f>IFERROR(__xludf.DUMMYFUNCTION("""COMPUTED_VALUE"""),"Robert Ménard")</f>
        <v>Robert Ménard</v>
      </c>
      <c r="C72">
        <f>IFERROR(__xludf.DUMMYFUNCTION("""COMPUTED_VALUE"""),133589.0)</f>
        <v>133589</v>
      </c>
      <c r="D72" t="str">
        <f>IFERROR(__xludf.DUMMYFUNCTION("""COMPUTED_VALUE"""),"-")</f>
        <v>-</v>
      </c>
      <c r="E72" t="str">
        <f>IFERROR(__xludf.DUMMYFUNCTION("""COMPUTED_VALUE"""),"-")</f>
        <v>-</v>
      </c>
      <c r="F72" t="str">
        <f>IFERROR(__xludf.DUMMYFUNCTION("""COMPUTED_VALUE"""),"-")</f>
        <v>-</v>
      </c>
      <c r="G72" t="str">
        <f>IFERROR(__xludf.DUMMYFUNCTION("""COMPUTED_VALUE"""),"-")</f>
        <v>-</v>
      </c>
      <c r="H72" t="str">
        <f>IFERROR(__xludf.DUMMYFUNCTION("""COMPUTED_VALUE"""),"-")</f>
        <v>-</v>
      </c>
      <c r="I72" t="str">
        <f>IFERROR(__xludf.DUMMYFUNCTION("""COMPUTED_VALUE"""),"-")</f>
        <v>-</v>
      </c>
      <c r="J72" t="str">
        <f>IFERROR(__xludf.DUMMYFUNCTION("""COMPUTED_VALUE"""),"-")</f>
        <v>-</v>
      </c>
      <c r="K72" t="str">
        <f>IFERROR(__xludf.DUMMYFUNCTION("""COMPUTED_VALUE"""),"-")</f>
        <v>-</v>
      </c>
      <c r="L72" t="str">
        <f>IFERROR(__xludf.DUMMYFUNCTION("""COMPUTED_VALUE"""),"-")</f>
        <v>-</v>
      </c>
      <c r="M72" t="str">
        <f>IFERROR(__xludf.DUMMYFUNCTION("""COMPUTED_VALUE"""),"-")</f>
        <v>-</v>
      </c>
      <c r="O72" t="str">
        <f>IFERROR(__xludf.DUMMYFUNCTION("""COMPUTED_VALUE"""),"#71")</f>
        <v>#71</v>
      </c>
      <c r="P72" t="str">
        <f>IFERROR(__xludf.DUMMYFUNCTION("""COMPUTED_VALUE"""),"Robert Ménard")</f>
        <v>Robert Ménard</v>
      </c>
      <c r="Q72">
        <f>IFERROR(__xludf.DUMMYFUNCTION("""COMPUTED_VALUE"""),133589.0)</f>
        <v>133589</v>
      </c>
      <c r="R72" t="str">
        <f>IFERROR(__xludf.DUMMYFUNCTION("""COMPUTED_VALUE"""),"-")</f>
        <v>-</v>
      </c>
      <c r="S72" t="str">
        <f>IFERROR(__xludf.DUMMYFUNCTION("""COMPUTED_VALUE"""),"-")</f>
        <v>-</v>
      </c>
      <c r="T72" t="str">
        <f>IFERROR(__xludf.DUMMYFUNCTION("""COMPUTED_VALUE"""),"-")</f>
        <v>-</v>
      </c>
      <c r="U72" t="str">
        <f>IFERROR(__xludf.DUMMYFUNCTION("""COMPUTED_VALUE"""),"-")</f>
        <v>-</v>
      </c>
      <c r="V72" t="str">
        <f>IFERROR(__xludf.DUMMYFUNCTION("""COMPUTED_VALUE"""),"-")</f>
        <v>-</v>
      </c>
      <c r="W72" t="str">
        <f>IFERROR(__xludf.DUMMYFUNCTION("""COMPUTED_VALUE"""),"-")</f>
        <v>-</v>
      </c>
      <c r="X72" t="str">
        <f>IFERROR(__xludf.DUMMYFUNCTION("""COMPUTED_VALUE"""),"-")</f>
        <v>-</v>
      </c>
      <c r="Y72" t="str">
        <f>IFERROR(__xludf.DUMMYFUNCTION("""COMPUTED_VALUE"""),"-")</f>
        <v>-</v>
      </c>
      <c r="Z72" t="str">
        <f>IFERROR(__xludf.DUMMYFUNCTION("""COMPUTED_VALUE"""),"-")</f>
        <v>-</v>
      </c>
      <c r="AA72" t="str">
        <f>IFERROR(__xludf.DUMMYFUNCTION("""COMPUTED_VALUE"""),"-")</f>
        <v>-</v>
      </c>
    </row>
    <row r="73">
      <c r="A73" t="str">
        <f>IFERROR(__xludf.DUMMYFUNCTION("""COMPUTED_VALUE"""),"#72")</f>
        <v>#72</v>
      </c>
      <c r="B73" t="str">
        <f>IFERROR(__xludf.DUMMYFUNCTION("""COMPUTED_VALUE"""),"Agnès Buzyn")</f>
        <v>Agnès Buzyn</v>
      </c>
      <c r="C73">
        <f>IFERROR(__xludf.DUMMYFUNCTION("""COMPUTED_VALUE"""),127364.0)</f>
        <v>127364</v>
      </c>
      <c r="D73" t="str">
        <f>IFERROR(__xludf.DUMMYFUNCTION("""COMPUTED_VALUE"""),"-")</f>
        <v>-</v>
      </c>
      <c r="E73" t="str">
        <f>IFERROR(__xludf.DUMMYFUNCTION("""COMPUTED_VALUE"""),"-")</f>
        <v>-</v>
      </c>
      <c r="F73" t="str">
        <f>IFERROR(__xludf.DUMMYFUNCTION("""COMPUTED_VALUE"""),"-")</f>
        <v>-</v>
      </c>
      <c r="G73" t="str">
        <f>IFERROR(__xludf.DUMMYFUNCTION("""COMPUTED_VALUE"""),"-")</f>
        <v>-</v>
      </c>
      <c r="H73" t="str">
        <f>IFERROR(__xludf.DUMMYFUNCTION("""COMPUTED_VALUE"""),"-")</f>
        <v>-</v>
      </c>
      <c r="I73" t="str">
        <f>IFERROR(__xludf.DUMMYFUNCTION("""COMPUTED_VALUE"""),"-")</f>
        <v>-</v>
      </c>
      <c r="J73" t="str">
        <f>IFERROR(__xludf.DUMMYFUNCTION("""COMPUTED_VALUE"""),"-")</f>
        <v>-</v>
      </c>
      <c r="K73" t="str">
        <f>IFERROR(__xludf.DUMMYFUNCTION("""COMPUTED_VALUE"""),"-")</f>
        <v>-</v>
      </c>
      <c r="L73" t="str">
        <f>IFERROR(__xludf.DUMMYFUNCTION("""COMPUTED_VALUE"""),"-")</f>
        <v>-</v>
      </c>
      <c r="M73" t="str">
        <f>IFERROR(__xludf.DUMMYFUNCTION("""COMPUTED_VALUE"""),"-")</f>
        <v>-</v>
      </c>
      <c r="O73" t="str">
        <f>IFERROR(__xludf.DUMMYFUNCTION("""COMPUTED_VALUE"""),"#72")</f>
        <v>#72</v>
      </c>
      <c r="P73" t="str">
        <f>IFERROR(__xludf.DUMMYFUNCTION("""COMPUTED_VALUE"""),"Agnès Buzyn")</f>
        <v>Agnès Buzyn</v>
      </c>
      <c r="Q73">
        <f>IFERROR(__xludf.DUMMYFUNCTION("""COMPUTED_VALUE"""),127364.0)</f>
        <v>127364</v>
      </c>
      <c r="R73" t="str">
        <f>IFERROR(__xludf.DUMMYFUNCTION("""COMPUTED_VALUE"""),"-")</f>
        <v>-</v>
      </c>
      <c r="S73" t="str">
        <f>IFERROR(__xludf.DUMMYFUNCTION("""COMPUTED_VALUE"""),"-")</f>
        <v>-</v>
      </c>
      <c r="T73" t="str">
        <f>IFERROR(__xludf.DUMMYFUNCTION("""COMPUTED_VALUE"""),"-")</f>
        <v>-</v>
      </c>
      <c r="U73" t="str">
        <f>IFERROR(__xludf.DUMMYFUNCTION("""COMPUTED_VALUE"""),"-")</f>
        <v>-</v>
      </c>
      <c r="V73" t="str">
        <f>IFERROR(__xludf.DUMMYFUNCTION("""COMPUTED_VALUE"""),"-")</f>
        <v>-</v>
      </c>
      <c r="W73" t="str">
        <f>IFERROR(__xludf.DUMMYFUNCTION("""COMPUTED_VALUE"""),"-")</f>
        <v>-</v>
      </c>
      <c r="X73" t="str">
        <f>IFERROR(__xludf.DUMMYFUNCTION("""COMPUTED_VALUE"""),"-")</f>
        <v>-</v>
      </c>
      <c r="Y73" t="str">
        <f>IFERROR(__xludf.DUMMYFUNCTION("""COMPUTED_VALUE"""),"-")</f>
        <v>-</v>
      </c>
      <c r="Z73" t="str">
        <f>IFERROR(__xludf.DUMMYFUNCTION("""COMPUTED_VALUE"""),"-")</f>
        <v>-</v>
      </c>
      <c r="AA73" t="str">
        <f>IFERROR(__xludf.DUMMYFUNCTION("""COMPUTED_VALUE"""),"-")</f>
        <v>-</v>
      </c>
    </row>
    <row r="74">
      <c r="A74" t="str">
        <f>IFERROR(__xludf.DUMMYFUNCTION("""COMPUTED_VALUE"""),"#73")</f>
        <v>#73</v>
      </c>
      <c r="B74" t="str">
        <f>IFERROR(__xludf.DUMMYFUNCTION("""COMPUTED_VALUE"""),"François Baroin")</f>
        <v>François Baroin</v>
      </c>
      <c r="C74">
        <f>IFERROR(__xludf.DUMMYFUNCTION("""COMPUTED_VALUE"""),126821.0)</f>
        <v>126821</v>
      </c>
      <c r="D74" t="str">
        <f>IFERROR(__xludf.DUMMYFUNCTION("""COMPUTED_VALUE"""),"-")</f>
        <v>-</v>
      </c>
      <c r="E74" t="str">
        <f>IFERROR(__xludf.DUMMYFUNCTION("""COMPUTED_VALUE"""),"-")</f>
        <v>-</v>
      </c>
      <c r="F74" t="str">
        <f>IFERROR(__xludf.DUMMYFUNCTION("""COMPUTED_VALUE"""),"-")</f>
        <v>-</v>
      </c>
      <c r="G74" t="str">
        <f>IFERROR(__xludf.DUMMYFUNCTION("""COMPUTED_VALUE"""),"-")</f>
        <v>-</v>
      </c>
      <c r="H74" t="str">
        <f>IFERROR(__xludf.DUMMYFUNCTION("""COMPUTED_VALUE"""),"-")</f>
        <v>-</v>
      </c>
      <c r="I74" t="str">
        <f>IFERROR(__xludf.DUMMYFUNCTION("""COMPUTED_VALUE"""),"-")</f>
        <v>-</v>
      </c>
      <c r="J74" t="str">
        <f>IFERROR(__xludf.DUMMYFUNCTION("""COMPUTED_VALUE"""),"-")</f>
        <v>-</v>
      </c>
      <c r="K74" t="str">
        <f>IFERROR(__xludf.DUMMYFUNCTION("""COMPUTED_VALUE"""),"-")</f>
        <v>-</v>
      </c>
      <c r="L74" t="str">
        <f>IFERROR(__xludf.DUMMYFUNCTION("""COMPUTED_VALUE"""),"-")</f>
        <v>-</v>
      </c>
      <c r="M74" t="str">
        <f>IFERROR(__xludf.DUMMYFUNCTION("""COMPUTED_VALUE"""),"-")</f>
        <v>-</v>
      </c>
      <c r="O74" t="str">
        <f>IFERROR(__xludf.DUMMYFUNCTION("""COMPUTED_VALUE"""),"#73")</f>
        <v>#73</v>
      </c>
      <c r="P74" t="str">
        <f>IFERROR(__xludf.DUMMYFUNCTION("""COMPUTED_VALUE"""),"François Baroin")</f>
        <v>François Baroin</v>
      </c>
      <c r="Q74">
        <f>IFERROR(__xludf.DUMMYFUNCTION("""COMPUTED_VALUE"""),126821.0)</f>
        <v>126821</v>
      </c>
      <c r="R74" t="str">
        <f>IFERROR(__xludf.DUMMYFUNCTION("""COMPUTED_VALUE"""),"-")</f>
        <v>-</v>
      </c>
      <c r="S74" t="str">
        <f>IFERROR(__xludf.DUMMYFUNCTION("""COMPUTED_VALUE"""),"-")</f>
        <v>-</v>
      </c>
      <c r="T74" t="str">
        <f>IFERROR(__xludf.DUMMYFUNCTION("""COMPUTED_VALUE"""),"-")</f>
        <v>-</v>
      </c>
      <c r="U74" t="str">
        <f>IFERROR(__xludf.DUMMYFUNCTION("""COMPUTED_VALUE"""),"-")</f>
        <v>-</v>
      </c>
      <c r="V74" t="str">
        <f>IFERROR(__xludf.DUMMYFUNCTION("""COMPUTED_VALUE"""),"-")</f>
        <v>-</v>
      </c>
      <c r="W74" t="str">
        <f>IFERROR(__xludf.DUMMYFUNCTION("""COMPUTED_VALUE"""),"-")</f>
        <v>-</v>
      </c>
      <c r="X74" t="str">
        <f>IFERROR(__xludf.DUMMYFUNCTION("""COMPUTED_VALUE"""),"-")</f>
        <v>-</v>
      </c>
      <c r="Y74" t="str">
        <f>IFERROR(__xludf.DUMMYFUNCTION("""COMPUTED_VALUE"""),"-")</f>
        <v>-</v>
      </c>
      <c r="Z74" t="str">
        <f>IFERROR(__xludf.DUMMYFUNCTION("""COMPUTED_VALUE"""),"-")</f>
        <v>-</v>
      </c>
      <c r="AA74" t="str">
        <f>IFERROR(__xludf.DUMMYFUNCTION("""COMPUTED_VALUE"""),"-")</f>
        <v>-</v>
      </c>
    </row>
    <row r="75">
      <c r="A75" t="str">
        <f>IFERROR(__xludf.DUMMYFUNCTION("""COMPUTED_VALUE"""),"#74")</f>
        <v>#74</v>
      </c>
      <c r="B75" t="str">
        <f>IFERROR(__xludf.DUMMYFUNCTION("""COMPUTED_VALUE"""),"Sibeth Ndiaye")</f>
        <v>Sibeth Ndiaye</v>
      </c>
      <c r="C75">
        <f>IFERROR(__xludf.DUMMYFUNCTION("""COMPUTED_VALUE"""),124850.0)</f>
        <v>124850</v>
      </c>
      <c r="D75" t="str">
        <f>IFERROR(__xludf.DUMMYFUNCTION("""COMPUTED_VALUE"""),"-")</f>
        <v>-</v>
      </c>
      <c r="E75" t="str">
        <f>IFERROR(__xludf.DUMMYFUNCTION("""COMPUTED_VALUE"""),"-")</f>
        <v>-</v>
      </c>
      <c r="F75" t="str">
        <f>IFERROR(__xludf.DUMMYFUNCTION("""COMPUTED_VALUE"""),"-")</f>
        <v>-</v>
      </c>
      <c r="G75" t="str">
        <f>IFERROR(__xludf.DUMMYFUNCTION("""COMPUTED_VALUE"""),"-")</f>
        <v>-</v>
      </c>
      <c r="H75" t="str">
        <f>IFERROR(__xludf.DUMMYFUNCTION("""COMPUTED_VALUE"""),"-")</f>
        <v>-</v>
      </c>
      <c r="I75" t="str">
        <f>IFERROR(__xludf.DUMMYFUNCTION("""COMPUTED_VALUE"""),"-")</f>
        <v>-</v>
      </c>
      <c r="J75" t="str">
        <f>IFERROR(__xludf.DUMMYFUNCTION("""COMPUTED_VALUE"""),"-")</f>
        <v>-</v>
      </c>
      <c r="K75" t="str">
        <f>IFERROR(__xludf.DUMMYFUNCTION("""COMPUTED_VALUE"""),"-")</f>
        <v>-</v>
      </c>
      <c r="L75" t="str">
        <f>IFERROR(__xludf.DUMMYFUNCTION("""COMPUTED_VALUE"""),"-")</f>
        <v>-</v>
      </c>
      <c r="M75" t="str">
        <f>IFERROR(__xludf.DUMMYFUNCTION("""COMPUTED_VALUE"""),"-")</f>
        <v>-</v>
      </c>
      <c r="O75" t="str">
        <f>IFERROR(__xludf.DUMMYFUNCTION("""COMPUTED_VALUE"""),"#74")</f>
        <v>#74</v>
      </c>
      <c r="P75" t="str">
        <f>IFERROR(__xludf.DUMMYFUNCTION("""COMPUTED_VALUE"""),"Sibeth Ndiaye")</f>
        <v>Sibeth Ndiaye</v>
      </c>
      <c r="Q75">
        <f>IFERROR(__xludf.DUMMYFUNCTION("""COMPUTED_VALUE"""),124850.0)</f>
        <v>124850</v>
      </c>
      <c r="R75" t="str">
        <f>IFERROR(__xludf.DUMMYFUNCTION("""COMPUTED_VALUE"""),"-")</f>
        <v>-</v>
      </c>
      <c r="S75" t="str">
        <f>IFERROR(__xludf.DUMMYFUNCTION("""COMPUTED_VALUE"""),"-")</f>
        <v>-</v>
      </c>
      <c r="T75" t="str">
        <f>IFERROR(__xludf.DUMMYFUNCTION("""COMPUTED_VALUE"""),"-")</f>
        <v>-</v>
      </c>
      <c r="U75" t="str">
        <f>IFERROR(__xludf.DUMMYFUNCTION("""COMPUTED_VALUE"""),"-")</f>
        <v>-</v>
      </c>
      <c r="V75" t="str">
        <f>IFERROR(__xludf.DUMMYFUNCTION("""COMPUTED_VALUE"""),"-")</f>
        <v>-</v>
      </c>
      <c r="W75" t="str">
        <f>IFERROR(__xludf.DUMMYFUNCTION("""COMPUTED_VALUE"""),"-")</f>
        <v>-</v>
      </c>
      <c r="X75" t="str">
        <f>IFERROR(__xludf.DUMMYFUNCTION("""COMPUTED_VALUE"""),"-")</f>
        <v>-</v>
      </c>
      <c r="Y75" t="str">
        <f>IFERROR(__xludf.DUMMYFUNCTION("""COMPUTED_VALUE"""),"-")</f>
        <v>-</v>
      </c>
      <c r="Z75" t="str">
        <f>IFERROR(__xludf.DUMMYFUNCTION("""COMPUTED_VALUE"""),"-")</f>
        <v>-</v>
      </c>
      <c r="AA75" t="str">
        <f>IFERROR(__xludf.DUMMYFUNCTION("""COMPUTED_VALUE"""),"-")</f>
        <v>-</v>
      </c>
    </row>
    <row r="76">
      <c r="A76" t="str">
        <f>IFERROR(__xludf.DUMMYFUNCTION("""COMPUTED_VALUE"""),"#75")</f>
        <v>#75</v>
      </c>
      <c r="B76" t="str">
        <f>IFERROR(__xludf.DUMMYFUNCTION("""COMPUTED_VALUE"""),"Jean Lassalle")</f>
        <v>Jean Lassalle</v>
      </c>
      <c r="C76">
        <f>IFERROR(__xludf.DUMMYFUNCTION("""COMPUTED_VALUE"""),124650.0)</f>
        <v>124650</v>
      </c>
      <c r="D76" t="str">
        <f>IFERROR(__xludf.DUMMYFUNCTION("""COMPUTED_VALUE"""),"-")</f>
        <v>-</v>
      </c>
      <c r="E76" t="str">
        <f>IFERROR(__xludf.DUMMYFUNCTION("""COMPUTED_VALUE"""),"-")</f>
        <v>-</v>
      </c>
      <c r="F76" t="str">
        <f>IFERROR(__xludf.DUMMYFUNCTION("""COMPUTED_VALUE"""),"-")</f>
        <v>-</v>
      </c>
      <c r="G76" t="str">
        <f>IFERROR(__xludf.DUMMYFUNCTION("""COMPUTED_VALUE"""),"-")</f>
        <v>-</v>
      </c>
      <c r="H76" t="str">
        <f>IFERROR(__xludf.DUMMYFUNCTION("""COMPUTED_VALUE"""),"-")</f>
        <v>-</v>
      </c>
      <c r="I76" t="str">
        <f>IFERROR(__xludf.DUMMYFUNCTION("""COMPUTED_VALUE"""),"-")</f>
        <v>-</v>
      </c>
      <c r="J76" t="str">
        <f>IFERROR(__xludf.DUMMYFUNCTION("""COMPUTED_VALUE"""),"-")</f>
        <v>-</v>
      </c>
      <c r="K76" t="str">
        <f>IFERROR(__xludf.DUMMYFUNCTION("""COMPUTED_VALUE"""),"-")</f>
        <v>-</v>
      </c>
      <c r="L76" t="str">
        <f>IFERROR(__xludf.DUMMYFUNCTION("""COMPUTED_VALUE"""),"-")</f>
        <v>-</v>
      </c>
      <c r="M76" t="str">
        <f>IFERROR(__xludf.DUMMYFUNCTION("""COMPUTED_VALUE"""),"-")</f>
        <v>-</v>
      </c>
      <c r="O76" t="str">
        <f>IFERROR(__xludf.DUMMYFUNCTION("""COMPUTED_VALUE"""),"#75")</f>
        <v>#75</v>
      </c>
      <c r="P76" t="str">
        <f>IFERROR(__xludf.DUMMYFUNCTION("""COMPUTED_VALUE"""),"Jean Lassalle")</f>
        <v>Jean Lassalle</v>
      </c>
      <c r="Q76">
        <f>IFERROR(__xludf.DUMMYFUNCTION("""COMPUTED_VALUE"""),124650.0)</f>
        <v>124650</v>
      </c>
      <c r="R76" t="str">
        <f>IFERROR(__xludf.DUMMYFUNCTION("""COMPUTED_VALUE"""),"-")</f>
        <v>-</v>
      </c>
      <c r="S76" t="str">
        <f>IFERROR(__xludf.DUMMYFUNCTION("""COMPUTED_VALUE"""),"-")</f>
        <v>-</v>
      </c>
      <c r="T76" t="str">
        <f>IFERROR(__xludf.DUMMYFUNCTION("""COMPUTED_VALUE"""),"-")</f>
        <v>-</v>
      </c>
      <c r="U76" t="str">
        <f>IFERROR(__xludf.DUMMYFUNCTION("""COMPUTED_VALUE"""),"-")</f>
        <v>-</v>
      </c>
      <c r="V76" t="str">
        <f>IFERROR(__xludf.DUMMYFUNCTION("""COMPUTED_VALUE"""),"-")</f>
        <v>-</v>
      </c>
      <c r="W76" t="str">
        <f>IFERROR(__xludf.DUMMYFUNCTION("""COMPUTED_VALUE"""),"-")</f>
        <v>-</v>
      </c>
      <c r="X76" t="str">
        <f>IFERROR(__xludf.DUMMYFUNCTION("""COMPUTED_VALUE"""),"-")</f>
        <v>-</v>
      </c>
      <c r="Y76" t="str">
        <f>IFERROR(__xludf.DUMMYFUNCTION("""COMPUTED_VALUE"""),"-")</f>
        <v>-</v>
      </c>
      <c r="Z76" t="str">
        <f>IFERROR(__xludf.DUMMYFUNCTION("""COMPUTED_VALUE"""),"-")</f>
        <v>-</v>
      </c>
      <c r="AA76" t="str">
        <f>IFERROR(__xludf.DUMMYFUNCTION("""COMPUTED_VALUE"""),"-")</f>
        <v>-</v>
      </c>
    </row>
    <row r="77">
      <c r="A77" t="str">
        <f>IFERROR(__xludf.DUMMYFUNCTION("""COMPUTED_VALUE"""),"#76")</f>
        <v>#76</v>
      </c>
      <c r="B77" t="str">
        <f>IFERROR(__xludf.DUMMYFUNCTION("""COMPUTED_VALUE"""),"Olivier Faure")</f>
        <v>Olivier Faure</v>
      </c>
      <c r="C77">
        <f>IFERROR(__xludf.DUMMYFUNCTION("""COMPUTED_VALUE"""),120650.0)</f>
        <v>120650</v>
      </c>
      <c r="D77" t="str">
        <f>IFERROR(__xludf.DUMMYFUNCTION("""COMPUTED_VALUE"""),"-")</f>
        <v>-</v>
      </c>
      <c r="E77" t="str">
        <f>IFERROR(__xludf.DUMMYFUNCTION("""COMPUTED_VALUE"""),"-")</f>
        <v>-</v>
      </c>
      <c r="F77" t="str">
        <f>IFERROR(__xludf.DUMMYFUNCTION("""COMPUTED_VALUE"""),"-")</f>
        <v>-</v>
      </c>
      <c r="G77" t="str">
        <f>IFERROR(__xludf.DUMMYFUNCTION("""COMPUTED_VALUE"""),"-")</f>
        <v>-</v>
      </c>
      <c r="H77" t="str">
        <f>IFERROR(__xludf.DUMMYFUNCTION("""COMPUTED_VALUE"""),"-")</f>
        <v>-</v>
      </c>
      <c r="I77" t="str">
        <f>IFERROR(__xludf.DUMMYFUNCTION("""COMPUTED_VALUE"""),"-")</f>
        <v>-</v>
      </c>
      <c r="J77" t="str">
        <f>IFERROR(__xludf.DUMMYFUNCTION("""COMPUTED_VALUE"""),"-")</f>
        <v>-</v>
      </c>
      <c r="K77" t="str">
        <f>IFERROR(__xludf.DUMMYFUNCTION("""COMPUTED_VALUE"""),"-")</f>
        <v>-</v>
      </c>
      <c r="L77" t="str">
        <f>IFERROR(__xludf.DUMMYFUNCTION("""COMPUTED_VALUE"""),"-")</f>
        <v>-</v>
      </c>
      <c r="M77" t="str">
        <f>IFERROR(__xludf.DUMMYFUNCTION("""COMPUTED_VALUE"""),"-")</f>
        <v>-</v>
      </c>
      <c r="O77" t="str">
        <f>IFERROR(__xludf.DUMMYFUNCTION("""COMPUTED_VALUE"""),"#76")</f>
        <v>#76</v>
      </c>
      <c r="P77" t="str">
        <f>IFERROR(__xludf.DUMMYFUNCTION("""COMPUTED_VALUE"""),"Olivier Faure")</f>
        <v>Olivier Faure</v>
      </c>
      <c r="Q77">
        <f>IFERROR(__xludf.DUMMYFUNCTION("""COMPUTED_VALUE"""),120650.0)</f>
        <v>120650</v>
      </c>
      <c r="R77" t="str">
        <f>IFERROR(__xludf.DUMMYFUNCTION("""COMPUTED_VALUE"""),"-")</f>
        <v>-</v>
      </c>
      <c r="S77" t="str">
        <f>IFERROR(__xludf.DUMMYFUNCTION("""COMPUTED_VALUE"""),"-")</f>
        <v>-</v>
      </c>
      <c r="T77" t="str">
        <f>IFERROR(__xludf.DUMMYFUNCTION("""COMPUTED_VALUE"""),"-")</f>
        <v>-</v>
      </c>
      <c r="U77" t="str">
        <f>IFERROR(__xludf.DUMMYFUNCTION("""COMPUTED_VALUE"""),"-")</f>
        <v>-</v>
      </c>
      <c r="V77" t="str">
        <f>IFERROR(__xludf.DUMMYFUNCTION("""COMPUTED_VALUE"""),"-")</f>
        <v>-</v>
      </c>
      <c r="W77" t="str">
        <f>IFERROR(__xludf.DUMMYFUNCTION("""COMPUTED_VALUE"""),"-")</f>
        <v>-</v>
      </c>
      <c r="X77" t="str">
        <f>IFERROR(__xludf.DUMMYFUNCTION("""COMPUTED_VALUE"""),"-")</f>
        <v>-</v>
      </c>
      <c r="Y77" t="str">
        <f>IFERROR(__xludf.DUMMYFUNCTION("""COMPUTED_VALUE"""),"-")</f>
        <v>-</v>
      </c>
      <c r="Z77" t="str">
        <f>IFERROR(__xludf.DUMMYFUNCTION("""COMPUTED_VALUE"""),"-")</f>
        <v>-</v>
      </c>
      <c r="AA77" t="str">
        <f>IFERROR(__xludf.DUMMYFUNCTION("""COMPUTED_VALUE"""),"-")</f>
        <v>-</v>
      </c>
    </row>
    <row r="78">
      <c r="A78" t="str">
        <f>IFERROR(__xludf.DUMMYFUNCTION("""COMPUTED_VALUE"""),"#77")</f>
        <v>#77</v>
      </c>
      <c r="B78" t="str">
        <f>IFERROR(__xludf.DUMMYFUNCTION("""COMPUTED_VALUE"""),"Jean-Christophe Lagarde")</f>
        <v>Jean-Christophe Lagarde</v>
      </c>
      <c r="C78">
        <f>IFERROR(__xludf.DUMMYFUNCTION("""COMPUTED_VALUE"""),120379.0)</f>
        <v>120379</v>
      </c>
      <c r="D78" t="str">
        <f>IFERROR(__xludf.DUMMYFUNCTION("""COMPUTED_VALUE"""),"-")</f>
        <v>-</v>
      </c>
      <c r="E78" t="str">
        <f>IFERROR(__xludf.DUMMYFUNCTION("""COMPUTED_VALUE"""),"-")</f>
        <v>-</v>
      </c>
      <c r="F78" t="str">
        <f>IFERROR(__xludf.DUMMYFUNCTION("""COMPUTED_VALUE"""),"-")</f>
        <v>-</v>
      </c>
      <c r="G78" t="str">
        <f>IFERROR(__xludf.DUMMYFUNCTION("""COMPUTED_VALUE"""),"-")</f>
        <v>-</v>
      </c>
      <c r="H78" t="str">
        <f>IFERROR(__xludf.DUMMYFUNCTION("""COMPUTED_VALUE"""),"-")</f>
        <v>-</v>
      </c>
      <c r="I78" t="str">
        <f>IFERROR(__xludf.DUMMYFUNCTION("""COMPUTED_VALUE"""),"-")</f>
        <v>-</v>
      </c>
      <c r="J78" t="str">
        <f>IFERROR(__xludf.DUMMYFUNCTION("""COMPUTED_VALUE"""),"-")</f>
        <v>-</v>
      </c>
      <c r="K78" t="str">
        <f>IFERROR(__xludf.DUMMYFUNCTION("""COMPUTED_VALUE"""),"-")</f>
        <v>-</v>
      </c>
      <c r="L78" t="str">
        <f>IFERROR(__xludf.DUMMYFUNCTION("""COMPUTED_VALUE"""),"-")</f>
        <v>-</v>
      </c>
      <c r="M78" t="str">
        <f>IFERROR(__xludf.DUMMYFUNCTION("""COMPUTED_VALUE"""),"-")</f>
        <v>-</v>
      </c>
      <c r="O78" t="str">
        <f>IFERROR(__xludf.DUMMYFUNCTION("""COMPUTED_VALUE"""),"#77")</f>
        <v>#77</v>
      </c>
      <c r="P78" t="str">
        <f>IFERROR(__xludf.DUMMYFUNCTION("""COMPUTED_VALUE"""),"Jean-Christophe Lagarde")</f>
        <v>Jean-Christophe Lagarde</v>
      </c>
      <c r="Q78">
        <f>IFERROR(__xludf.DUMMYFUNCTION("""COMPUTED_VALUE"""),120379.0)</f>
        <v>120379</v>
      </c>
      <c r="R78" t="str">
        <f>IFERROR(__xludf.DUMMYFUNCTION("""COMPUTED_VALUE"""),"-")</f>
        <v>-</v>
      </c>
      <c r="S78" t="str">
        <f>IFERROR(__xludf.DUMMYFUNCTION("""COMPUTED_VALUE"""),"-")</f>
        <v>-</v>
      </c>
      <c r="T78" t="str">
        <f>IFERROR(__xludf.DUMMYFUNCTION("""COMPUTED_VALUE"""),"-")</f>
        <v>-</v>
      </c>
      <c r="U78" t="str">
        <f>IFERROR(__xludf.DUMMYFUNCTION("""COMPUTED_VALUE"""),"-")</f>
        <v>-</v>
      </c>
      <c r="V78" t="str">
        <f>IFERROR(__xludf.DUMMYFUNCTION("""COMPUTED_VALUE"""),"-")</f>
        <v>-</v>
      </c>
      <c r="W78" t="str">
        <f>IFERROR(__xludf.DUMMYFUNCTION("""COMPUTED_VALUE"""),"-")</f>
        <v>-</v>
      </c>
      <c r="X78" t="str">
        <f>IFERROR(__xludf.DUMMYFUNCTION("""COMPUTED_VALUE"""),"-")</f>
        <v>-</v>
      </c>
      <c r="Y78" t="str">
        <f>IFERROR(__xludf.DUMMYFUNCTION("""COMPUTED_VALUE"""),"-")</f>
        <v>-</v>
      </c>
      <c r="Z78" t="str">
        <f>IFERROR(__xludf.DUMMYFUNCTION("""COMPUTED_VALUE"""),"-")</f>
        <v>-</v>
      </c>
      <c r="AA78" t="str">
        <f>IFERROR(__xludf.DUMMYFUNCTION("""COMPUTED_VALUE"""),"-")</f>
        <v>-</v>
      </c>
    </row>
    <row r="79">
      <c r="A79" t="str">
        <f>IFERROR(__xludf.DUMMYFUNCTION("""COMPUTED_VALUE"""),"#78")</f>
        <v>#78</v>
      </c>
      <c r="B79" t="str">
        <f>IFERROR(__xludf.DUMMYFUNCTION("""COMPUTED_VALUE"""),"Valérie Boyer")</f>
        <v>Valérie Boyer</v>
      </c>
      <c r="C79">
        <f>IFERROR(__xludf.DUMMYFUNCTION("""COMPUTED_VALUE"""),118893.0)</f>
        <v>118893</v>
      </c>
      <c r="D79" t="str">
        <f>IFERROR(__xludf.DUMMYFUNCTION("""COMPUTED_VALUE"""),"-")</f>
        <v>-</v>
      </c>
      <c r="E79" t="str">
        <f>IFERROR(__xludf.DUMMYFUNCTION("""COMPUTED_VALUE"""),"-")</f>
        <v>-</v>
      </c>
      <c r="F79" t="str">
        <f>IFERROR(__xludf.DUMMYFUNCTION("""COMPUTED_VALUE"""),"-")</f>
        <v>-</v>
      </c>
      <c r="G79" t="str">
        <f>IFERROR(__xludf.DUMMYFUNCTION("""COMPUTED_VALUE"""),"-")</f>
        <v>-</v>
      </c>
      <c r="H79" t="str">
        <f>IFERROR(__xludf.DUMMYFUNCTION("""COMPUTED_VALUE"""),"-")</f>
        <v>-</v>
      </c>
      <c r="I79" t="str">
        <f>IFERROR(__xludf.DUMMYFUNCTION("""COMPUTED_VALUE"""),"-")</f>
        <v>-</v>
      </c>
      <c r="J79" t="str">
        <f>IFERROR(__xludf.DUMMYFUNCTION("""COMPUTED_VALUE"""),"-")</f>
        <v>-</v>
      </c>
      <c r="K79" t="str">
        <f>IFERROR(__xludf.DUMMYFUNCTION("""COMPUTED_VALUE"""),"-")</f>
        <v>-</v>
      </c>
      <c r="L79" t="str">
        <f>IFERROR(__xludf.DUMMYFUNCTION("""COMPUTED_VALUE"""),"-")</f>
        <v>-</v>
      </c>
      <c r="M79" t="str">
        <f>IFERROR(__xludf.DUMMYFUNCTION("""COMPUTED_VALUE"""),"-")</f>
        <v>-</v>
      </c>
      <c r="O79" t="str">
        <f>IFERROR(__xludf.DUMMYFUNCTION("""COMPUTED_VALUE"""),"#78")</f>
        <v>#78</v>
      </c>
      <c r="P79" t="str">
        <f>IFERROR(__xludf.DUMMYFUNCTION("""COMPUTED_VALUE"""),"Valérie Boyer")</f>
        <v>Valérie Boyer</v>
      </c>
      <c r="Q79">
        <f>IFERROR(__xludf.DUMMYFUNCTION("""COMPUTED_VALUE"""),118893.0)</f>
        <v>118893</v>
      </c>
      <c r="R79" t="str">
        <f>IFERROR(__xludf.DUMMYFUNCTION("""COMPUTED_VALUE"""),"-")</f>
        <v>-</v>
      </c>
      <c r="S79" t="str">
        <f>IFERROR(__xludf.DUMMYFUNCTION("""COMPUTED_VALUE"""),"-")</f>
        <v>-</v>
      </c>
      <c r="T79" t="str">
        <f>IFERROR(__xludf.DUMMYFUNCTION("""COMPUTED_VALUE"""),"-")</f>
        <v>-</v>
      </c>
      <c r="U79" t="str">
        <f>IFERROR(__xludf.DUMMYFUNCTION("""COMPUTED_VALUE"""),"-")</f>
        <v>-</v>
      </c>
      <c r="V79" t="str">
        <f>IFERROR(__xludf.DUMMYFUNCTION("""COMPUTED_VALUE"""),"-")</f>
        <v>-</v>
      </c>
      <c r="W79" t="str">
        <f>IFERROR(__xludf.DUMMYFUNCTION("""COMPUTED_VALUE"""),"-")</f>
        <v>-</v>
      </c>
      <c r="X79" t="str">
        <f>IFERROR(__xludf.DUMMYFUNCTION("""COMPUTED_VALUE"""),"-")</f>
        <v>-</v>
      </c>
      <c r="Y79" t="str">
        <f>IFERROR(__xludf.DUMMYFUNCTION("""COMPUTED_VALUE"""),"-")</f>
        <v>-</v>
      </c>
      <c r="Z79" t="str">
        <f>IFERROR(__xludf.DUMMYFUNCTION("""COMPUTED_VALUE"""),"-")</f>
        <v>-</v>
      </c>
      <c r="AA79" t="str">
        <f>IFERROR(__xludf.DUMMYFUNCTION("""COMPUTED_VALUE"""),"-")</f>
        <v>-</v>
      </c>
    </row>
    <row r="80">
      <c r="A80" t="str">
        <f>IFERROR(__xludf.DUMMYFUNCTION("""COMPUTED_VALUE"""),"#79")</f>
        <v>#79</v>
      </c>
      <c r="B80" t="str">
        <f>IFERROR(__xludf.DUMMYFUNCTION("""COMPUTED_VALUE"""),"Manon Aubry")</f>
        <v>Manon Aubry</v>
      </c>
      <c r="C80">
        <f>IFERROR(__xludf.DUMMYFUNCTION("""COMPUTED_VALUE"""),115761.0)</f>
        <v>115761</v>
      </c>
      <c r="D80" t="str">
        <f>IFERROR(__xludf.DUMMYFUNCTION("""COMPUTED_VALUE"""),"-")</f>
        <v>-</v>
      </c>
      <c r="E80" t="str">
        <f>IFERROR(__xludf.DUMMYFUNCTION("""COMPUTED_VALUE"""),"-")</f>
        <v>-</v>
      </c>
      <c r="F80" t="str">
        <f>IFERROR(__xludf.DUMMYFUNCTION("""COMPUTED_VALUE"""),"-")</f>
        <v>-</v>
      </c>
      <c r="G80" t="str">
        <f>IFERROR(__xludf.DUMMYFUNCTION("""COMPUTED_VALUE"""),"-")</f>
        <v>-</v>
      </c>
      <c r="H80" t="str">
        <f>IFERROR(__xludf.DUMMYFUNCTION("""COMPUTED_VALUE"""),"-")</f>
        <v>-</v>
      </c>
      <c r="I80" t="str">
        <f>IFERROR(__xludf.DUMMYFUNCTION("""COMPUTED_VALUE"""),"-")</f>
        <v>-</v>
      </c>
      <c r="J80" t="str">
        <f>IFERROR(__xludf.DUMMYFUNCTION("""COMPUTED_VALUE"""),"-")</f>
        <v>-</v>
      </c>
      <c r="K80" t="str">
        <f>IFERROR(__xludf.DUMMYFUNCTION("""COMPUTED_VALUE"""),"-")</f>
        <v>-</v>
      </c>
      <c r="L80" t="str">
        <f>IFERROR(__xludf.DUMMYFUNCTION("""COMPUTED_VALUE"""),"-")</f>
        <v>-</v>
      </c>
      <c r="M80" t="str">
        <f>IFERROR(__xludf.DUMMYFUNCTION("""COMPUTED_VALUE"""),"-")</f>
        <v>-</v>
      </c>
      <c r="O80" t="str">
        <f>IFERROR(__xludf.DUMMYFUNCTION("""COMPUTED_VALUE"""),"#79")</f>
        <v>#79</v>
      </c>
      <c r="P80" t="str">
        <f>IFERROR(__xludf.DUMMYFUNCTION("""COMPUTED_VALUE"""),"Manon Aubry")</f>
        <v>Manon Aubry</v>
      </c>
      <c r="Q80">
        <f>IFERROR(__xludf.DUMMYFUNCTION("""COMPUTED_VALUE"""),115761.0)</f>
        <v>115761</v>
      </c>
      <c r="R80" t="str">
        <f>IFERROR(__xludf.DUMMYFUNCTION("""COMPUTED_VALUE"""),"-")</f>
        <v>-</v>
      </c>
      <c r="S80" t="str">
        <f>IFERROR(__xludf.DUMMYFUNCTION("""COMPUTED_VALUE"""),"-")</f>
        <v>-</v>
      </c>
      <c r="T80" t="str">
        <f>IFERROR(__xludf.DUMMYFUNCTION("""COMPUTED_VALUE"""),"-")</f>
        <v>-</v>
      </c>
      <c r="U80" t="str">
        <f>IFERROR(__xludf.DUMMYFUNCTION("""COMPUTED_VALUE"""),"-")</f>
        <v>-</v>
      </c>
      <c r="V80" t="str">
        <f>IFERROR(__xludf.DUMMYFUNCTION("""COMPUTED_VALUE"""),"-")</f>
        <v>-</v>
      </c>
      <c r="W80" t="str">
        <f>IFERROR(__xludf.DUMMYFUNCTION("""COMPUTED_VALUE"""),"-")</f>
        <v>-</v>
      </c>
      <c r="X80" t="str">
        <f>IFERROR(__xludf.DUMMYFUNCTION("""COMPUTED_VALUE"""),"-")</f>
        <v>-</v>
      </c>
      <c r="Y80" t="str">
        <f>IFERROR(__xludf.DUMMYFUNCTION("""COMPUTED_VALUE"""),"-")</f>
        <v>-</v>
      </c>
      <c r="Z80" t="str">
        <f>IFERROR(__xludf.DUMMYFUNCTION("""COMPUTED_VALUE"""),"-")</f>
        <v>-</v>
      </c>
      <c r="AA80" t="str">
        <f>IFERROR(__xludf.DUMMYFUNCTION("""COMPUTED_VALUE"""),"-")</f>
        <v>-</v>
      </c>
    </row>
    <row r="81">
      <c r="A81" t="str">
        <f>IFERROR(__xludf.DUMMYFUNCTION("""COMPUTED_VALUE"""),"#80")</f>
        <v>#80</v>
      </c>
      <c r="B81" t="str">
        <f>IFERROR(__xludf.DUMMYFUNCTION("""COMPUTED_VALUE"""),"François-Xavier Bellamy")</f>
        <v>François-Xavier Bellamy</v>
      </c>
      <c r="C81">
        <f>IFERROR(__xludf.DUMMYFUNCTION("""COMPUTED_VALUE"""),114355.0)</f>
        <v>114355</v>
      </c>
      <c r="D81" t="str">
        <f>IFERROR(__xludf.DUMMYFUNCTION("""COMPUTED_VALUE"""),"-")</f>
        <v>-</v>
      </c>
      <c r="E81" t="str">
        <f>IFERROR(__xludf.DUMMYFUNCTION("""COMPUTED_VALUE"""),"-")</f>
        <v>-</v>
      </c>
      <c r="F81" t="str">
        <f>IFERROR(__xludf.DUMMYFUNCTION("""COMPUTED_VALUE"""),"-")</f>
        <v>-</v>
      </c>
      <c r="G81" t="str">
        <f>IFERROR(__xludf.DUMMYFUNCTION("""COMPUTED_VALUE"""),"-")</f>
        <v>-</v>
      </c>
      <c r="H81" t="str">
        <f>IFERROR(__xludf.DUMMYFUNCTION("""COMPUTED_VALUE"""),"-")</f>
        <v>-</v>
      </c>
      <c r="I81" t="str">
        <f>IFERROR(__xludf.DUMMYFUNCTION("""COMPUTED_VALUE"""),"-")</f>
        <v>-</v>
      </c>
      <c r="J81" t="str">
        <f>IFERROR(__xludf.DUMMYFUNCTION("""COMPUTED_VALUE"""),"-")</f>
        <v>-</v>
      </c>
      <c r="K81" t="str">
        <f>IFERROR(__xludf.DUMMYFUNCTION("""COMPUTED_VALUE"""),"-")</f>
        <v>-</v>
      </c>
      <c r="L81" t="str">
        <f>IFERROR(__xludf.DUMMYFUNCTION("""COMPUTED_VALUE"""),"-")</f>
        <v>-</v>
      </c>
      <c r="M81" t="str">
        <f>IFERROR(__xludf.DUMMYFUNCTION("""COMPUTED_VALUE"""),"-")</f>
        <v>-</v>
      </c>
      <c r="O81" t="str">
        <f>IFERROR(__xludf.DUMMYFUNCTION("""COMPUTED_VALUE"""),"#80")</f>
        <v>#80</v>
      </c>
      <c r="P81" t="str">
        <f>IFERROR(__xludf.DUMMYFUNCTION("""COMPUTED_VALUE"""),"François-Xavier Bellamy")</f>
        <v>François-Xavier Bellamy</v>
      </c>
      <c r="Q81">
        <f>IFERROR(__xludf.DUMMYFUNCTION("""COMPUTED_VALUE"""),114355.0)</f>
        <v>114355</v>
      </c>
      <c r="R81" t="str">
        <f>IFERROR(__xludf.DUMMYFUNCTION("""COMPUTED_VALUE"""),"-")</f>
        <v>-</v>
      </c>
      <c r="S81" t="str">
        <f>IFERROR(__xludf.DUMMYFUNCTION("""COMPUTED_VALUE"""),"-")</f>
        <v>-</v>
      </c>
      <c r="T81" t="str">
        <f>IFERROR(__xludf.DUMMYFUNCTION("""COMPUTED_VALUE"""),"-")</f>
        <v>-</v>
      </c>
      <c r="U81" t="str">
        <f>IFERROR(__xludf.DUMMYFUNCTION("""COMPUTED_VALUE"""),"-")</f>
        <v>-</v>
      </c>
      <c r="V81" t="str">
        <f>IFERROR(__xludf.DUMMYFUNCTION("""COMPUTED_VALUE"""),"-")</f>
        <v>-</v>
      </c>
      <c r="W81" t="str">
        <f>IFERROR(__xludf.DUMMYFUNCTION("""COMPUTED_VALUE"""),"-")</f>
        <v>-</v>
      </c>
      <c r="X81" t="str">
        <f>IFERROR(__xludf.DUMMYFUNCTION("""COMPUTED_VALUE"""),"-")</f>
        <v>-</v>
      </c>
      <c r="Y81" t="str">
        <f>IFERROR(__xludf.DUMMYFUNCTION("""COMPUTED_VALUE"""),"-")</f>
        <v>-</v>
      </c>
      <c r="Z81" t="str">
        <f>IFERROR(__xludf.DUMMYFUNCTION("""COMPUTED_VALUE"""),"-")</f>
        <v>-</v>
      </c>
      <c r="AA81" t="str">
        <f>IFERROR(__xludf.DUMMYFUNCTION("""COMPUTED_VALUE"""),"-")</f>
        <v>-</v>
      </c>
    </row>
    <row r="82">
      <c r="A82" t="str">
        <f>IFERROR(__xludf.DUMMYFUNCTION("""COMPUTED_VALUE"""),"#81")</f>
        <v>#81</v>
      </c>
      <c r="B82" t="str">
        <f>IFERROR(__xludf.DUMMYFUNCTION("""COMPUTED_VALUE"""),"Stéphane Ravier")</f>
        <v>Stéphane Ravier</v>
      </c>
      <c r="C82">
        <f>IFERROR(__xludf.DUMMYFUNCTION("""COMPUTED_VALUE"""),113133.0)</f>
        <v>113133</v>
      </c>
      <c r="D82" t="str">
        <f>IFERROR(__xludf.DUMMYFUNCTION("""COMPUTED_VALUE"""),"-")</f>
        <v>-</v>
      </c>
      <c r="E82" t="str">
        <f>IFERROR(__xludf.DUMMYFUNCTION("""COMPUTED_VALUE"""),"-")</f>
        <v>-</v>
      </c>
      <c r="F82" t="str">
        <f>IFERROR(__xludf.DUMMYFUNCTION("""COMPUTED_VALUE"""),"-")</f>
        <v>-</v>
      </c>
      <c r="G82" t="str">
        <f>IFERROR(__xludf.DUMMYFUNCTION("""COMPUTED_VALUE"""),"-")</f>
        <v>-</v>
      </c>
      <c r="H82" t="str">
        <f>IFERROR(__xludf.DUMMYFUNCTION("""COMPUTED_VALUE"""),"-")</f>
        <v>-</v>
      </c>
      <c r="I82" t="str">
        <f>IFERROR(__xludf.DUMMYFUNCTION("""COMPUTED_VALUE"""),"-")</f>
        <v>-</v>
      </c>
      <c r="J82" t="str">
        <f>IFERROR(__xludf.DUMMYFUNCTION("""COMPUTED_VALUE"""),"-")</f>
        <v>-</v>
      </c>
      <c r="K82" t="str">
        <f>IFERROR(__xludf.DUMMYFUNCTION("""COMPUTED_VALUE"""),"-")</f>
        <v>-</v>
      </c>
      <c r="L82" t="str">
        <f>IFERROR(__xludf.DUMMYFUNCTION("""COMPUTED_VALUE"""),"-")</f>
        <v>-</v>
      </c>
      <c r="M82" t="str">
        <f>IFERROR(__xludf.DUMMYFUNCTION("""COMPUTED_VALUE"""),"-")</f>
        <v>-</v>
      </c>
      <c r="O82" t="str">
        <f>IFERROR(__xludf.DUMMYFUNCTION("""COMPUTED_VALUE"""),"#81")</f>
        <v>#81</v>
      </c>
      <c r="P82" t="str">
        <f>IFERROR(__xludf.DUMMYFUNCTION("""COMPUTED_VALUE"""),"Stéphane Ravier")</f>
        <v>Stéphane Ravier</v>
      </c>
      <c r="Q82">
        <f>IFERROR(__xludf.DUMMYFUNCTION("""COMPUTED_VALUE"""),113133.0)</f>
        <v>113133</v>
      </c>
      <c r="R82" t="str">
        <f>IFERROR(__xludf.DUMMYFUNCTION("""COMPUTED_VALUE"""),"-")</f>
        <v>-</v>
      </c>
      <c r="S82" t="str">
        <f>IFERROR(__xludf.DUMMYFUNCTION("""COMPUTED_VALUE"""),"-")</f>
        <v>-</v>
      </c>
      <c r="T82" t="str">
        <f>IFERROR(__xludf.DUMMYFUNCTION("""COMPUTED_VALUE"""),"-")</f>
        <v>-</v>
      </c>
      <c r="U82" t="str">
        <f>IFERROR(__xludf.DUMMYFUNCTION("""COMPUTED_VALUE"""),"-")</f>
        <v>-</v>
      </c>
      <c r="V82" t="str">
        <f>IFERROR(__xludf.DUMMYFUNCTION("""COMPUTED_VALUE"""),"-")</f>
        <v>-</v>
      </c>
      <c r="W82" t="str">
        <f>IFERROR(__xludf.DUMMYFUNCTION("""COMPUTED_VALUE"""),"-")</f>
        <v>-</v>
      </c>
      <c r="X82" t="str">
        <f>IFERROR(__xludf.DUMMYFUNCTION("""COMPUTED_VALUE"""),"-")</f>
        <v>-</v>
      </c>
      <c r="Y82" t="str">
        <f>IFERROR(__xludf.DUMMYFUNCTION("""COMPUTED_VALUE"""),"-")</f>
        <v>-</v>
      </c>
      <c r="Z82" t="str">
        <f>IFERROR(__xludf.DUMMYFUNCTION("""COMPUTED_VALUE"""),"-")</f>
        <v>-</v>
      </c>
      <c r="AA82" t="str">
        <f>IFERROR(__xludf.DUMMYFUNCTION("""COMPUTED_VALUE"""),"-")</f>
        <v>-</v>
      </c>
    </row>
    <row r="83">
      <c r="A83" t="str">
        <f>IFERROR(__xludf.DUMMYFUNCTION("""COMPUTED_VALUE"""),"#82")</f>
        <v>#82</v>
      </c>
      <c r="B83" t="str">
        <f>IFERROR(__xludf.DUMMYFUNCTION("""COMPUTED_VALUE"""),"Yannick Jadot")</f>
        <v>Yannick Jadot</v>
      </c>
      <c r="C83">
        <f>IFERROR(__xludf.DUMMYFUNCTION("""COMPUTED_VALUE"""),112110.0)</f>
        <v>112110</v>
      </c>
      <c r="D83" t="str">
        <f>IFERROR(__xludf.DUMMYFUNCTION("""COMPUTED_VALUE"""),"-")</f>
        <v>-</v>
      </c>
      <c r="E83" t="str">
        <f>IFERROR(__xludf.DUMMYFUNCTION("""COMPUTED_VALUE"""),"-")</f>
        <v>-</v>
      </c>
      <c r="F83" t="str">
        <f>IFERROR(__xludf.DUMMYFUNCTION("""COMPUTED_VALUE"""),"-")</f>
        <v>-</v>
      </c>
      <c r="G83" t="str">
        <f>IFERROR(__xludf.DUMMYFUNCTION("""COMPUTED_VALUE"""),"-")</f>
        <v>-</v>
      </c>
      <c r="H83" t="str">
        <f>IFERROR(__xludf.DUMMYFUNCTION("""COMPUTED_VALUE"""),"-")</f>
        <v>-</v>
      </c>
      <c r="I83" t="str">
        <f>IFERROR(__xludf.DUMMYFUNCTION("""COMPUTED_VALUE"""),"-")</f>
        <v>-</v>
      </c>
      <c r="J83" t="str">
        <f>IFERROR(__xludf.DUMMYFUNCTION("""COMPUTED_VALUE"""),"-")</f>
        <v>-</v>
      </c>
      <c r="K83" t="str">
        <f>IFERROR(__xludf.DUMMYFUNCTION("""COMPUTED_VALUE"""),"-")</f>
        <v>-</v>
      </c>
      <c r="L83" t="str">
        <f>IFERROR(__xludf.DUMMYFUNCTION("""COMPUTED_VALUE"""),"-")</f>
        <v>-</v>
      </c>
      <c r="M83" t="str">
        <f>IFERROR(__xludf.DUMMYFUNCTION("""COMPUTED_VALUE"""),"-")</f>
        <v>-</v>
      </c>
      <c r="O83" t="str">
        <f>IFERROR(__xludf.DUMMYFUNCTION("""COMPUTED_VALUE"""),"#82")</f>
        <v>#82</v>
      </c>
      <c r="P83" t="str">
        <f>IFERROR(__xludf.DUMMYFUNCTION("""COMPUTED_VALUE"""),"Yannick Jadot")</f>
        <v>Yannick Jadot</v>
      </c>
      <c r="Q83">
        <f>IFERROR(__xludf.DUMMYFUNCTION("""COMPUTED_VALUE"""),112110.0)</f>
        <v>112110</v>
      </c>
      <c r="R83" t="str">
        <f>IFERROR(__xludf.DUMMYFUNCTION("""COMPUTED_VALUE"""),"-")</f>
        <v>-</v>
      </c>
      <c r="S83" t="str">
        <f>IFERROR(__xludf.DUMMYFUNCTION("""COMPUTED_VALUE"""),"-")</f>
        <v>-</v>
      </c>
      <c r="T83" t="str">
        <f>IFERROR(__xludf.DUMMYFUNCTION("""COMPUTED_VALUE"""),"-")</f>
        <v>-</v>
      </c>
      <c r="U83" t="str">
        <f>IFERROR(__xludf.DUMMYFUNCTION("""COMPUTED_VALUE"""),"-")</f>
        <v>-</v>
      </c>
      <c r="V83" t="str">
        <f>IFERROR(__xludf.DUMMYFUNCTION("""COMPUTED_VALUE"""),"-")</f>
        <v>-</v>
      </c>
      <c r="W83" t="str">
        <f>IFERROR(__xludf.DUMMYFUNCTION("""COMPUTED_VALUE"""),"-")</f>
        <v>-</v>
      </c>
      <c r="X83" t="str">
        <f>IFERROR(__xludf.DUMMYFUNCTION("""COMPUTED_VALUE"""),"-")</f>
        <v>-</v>
      </c>
      <c r="Y83" t="str">
        <f>IFERROR(__xludf.DUMMYFUNCTION("""COMPUTED_VALUE"""),"-")</f>
        <v>-</v>
      </c>
      <c r="Z83" t="str">
        <f>IFERROR(__xludf.DUMMYFUNCTION("""COMPUTED_VALUE"""),"-")</f>
        <v>-</v>
      </c>
      <c r="AA83" t="str">
        <f>IFERROR(__xludf.DUMMYFUNCTION("""COMPUTED_VALUE"""),"-")</f>
        <v>-</v>
      </c>
    </row>
    <row r="84">
      <c r="A84" t="str">
        <f>IFERROR(__xludf.DUMMYFUNCTION("""COMPUTED_VALUE"""),"#83")</f>
        <v>#83</v>
      </c>
      <c r="B84" t="str">
        <f>IFERROR(__xludf.DUMMYFUNCTION("""COMPUTED_VALUE"""),"Eric Coquerel")</f>
        <v>Eric Coquerel</v>
      </c>
      <c r="C84">
        <f>IFERROR(__xludf.DUMMYFUNCTION("""COMPUTED_VALUE"""),111129.0)</f>
        <v>111129</v>
      </c>
      <c r="D84" t="str">
        <f>IFERROR(__xludf.DUMMYFUNCTION("""COMPUTED_VALUE"""),"-")</f>
        <v>-</v>
      </c>
      <c r="E84" t="str">
        <f>IFERROR(__xludf.DUMMYFUNCTION("""COMPUTED_VALUE"""),"-")</f>
        <v>-</v>
      </c>
      <c r="F84" t="str">
        <f>IFERROR(__xludf.DUMMYFUNCTION("""COMPUTED_VALUE"""),"-")</f>
        <v>-</v>
      </c>
      <c r="G84" t="str">
        <f>IFERROR(__xludf.DUMMYFUNCTION("""COMPUTED_VALUE"""),"-")</f>
        <v>-</v>
      </c>
      <c r="H84" t="str">
        <f>IFERROR(__xludf.DUMMYFUNCTION("""COMPUTED_VALUE"""),"-")</f>
        <v>-</v>
      </c>
      <c r="I84" t="str">
        <f>IFERROR(__xludf.DUMMYFUNCTION("""COMPUTED_VALUE"""),"-")</f>
        <v>-</v>
      </c>
      <c r="J84" t="str">
        <f>IFERROR(__xludf.DUMMYFUNCTION("""COMPUTED_VALUE"""),"-")</f>
        <v>-</v>
      </c>
      <c r="K84" t="str">
        <f>IFERROR(__xludf.DUMMYFUNCTION("""COMPUTED_VALUE"""),"-")</f>
        <v>-</v>
      </c>
      <c r="L84" t="str">
        <f>IFERROR(__xludf.DUMMYFUNCTION("""COMPUTED_VALUE"""),"-")</f>
        <v>-</v>
      </c>
      <c r="M84" t="str">
        <f>IFERROR(__xludf.DUMMYFUNCTION("""COMPUTED_VALUE"""),"-")</f>
        <v>-</v>
      </c>
      <c r="O84" t="str">
        <f>IFERROR(__xludf.DUMMYFUNCTION("""COMPUTED_VALUE"""),"#83")</f>
        <v>#83</v>
      </c>
      <c r="P84" t="str">
        <f>IFERROR(__xludf.DUMMYFUNCTION("""COMPUTED_VALUE"""),"Eric Coquerel")</f>
        <v>Eric Coquerel</v>
      </c>
      <c r="Q84">
        <f>IFERROR(__xludf.DUMMYFUNCTION("""COMPUTED_VALUE"""),111129.0)</f>
        <v>111129</v>
      </c>
      <c r="R84" t="str">
        <f>IFERROR(__xludf.DUMMYFUNCTION("""COMPUTED_VALUE"""),"-")</f>
        <v>-</v>
      </c>
      <c r="S84" t="str">
        <f>IFERROR(__xludf.DUMMYFUNCTION("""COMPUTED_VALUE"""),"-")</f>
        <v>-</v>
      </c>
      <c r="T84" t="str">
        <f>IFERROR(__xludf.DUMMYFUNCTION("""COMPUTED_VALUE"""),"-")</f>
        <v>-</v>
      </c>
      <c r="U84" t="str">
        <f>IFERROR(__xludf.DUMMYFUNCTION("""COMPUTED_VALUE"""),"-")</f>
        <v>-</v>
      </c>
      <c r="V84" t="str">
        <f>IFERROR(__xludf.DUMMYFUNCTION("""COMPUTED_VALUE"""),"-")</f>
        <v>-</v>
      </c>
      <c r="W84" t="str">
        <f>IFERROR(__xludf.DUMMYFUNCTION("""COMPUTED_VALUE"""),"-")</f>
        <v>-</v>
      </c>
      <c r="X84" t="str">
        <f>IFERROR(__xludf.DUMMYFUNCTION("""COMPUTED_VALUE"""),"-")</f>
        <v>-</v>
      </c>
      <c r="Y84" t="str">
        <f>IFERROR(__xludf.DUMMYFUNCTION("""COMPUTED_VALUE"""),"-")</f>
        <v>-</v>
      </c>
      <c r="Z84" t="str">
        <f>IFERROR(__xludf.DUMMYFUNCTION("""COMPUTED_VALUE"""),"-")</f>
        <v>-</v>
      </c>
      <c r="AA84" t="str">
        <f>IFERROR(__xludf.DUMMYFUNCTION("""COMPUTED_VALUE"""),"-")</f>
        <v>-</v>
      </c>
    </row>
    <row r="85">
      <c r="A85" t="str">
        <f>IFERROR(__xludf.DUMMYFUNCTION("""COMPUTED_VALUE"""),"#84")</f>
        <v>#84</v>
      </c>
      <c r="B85" t="str">
        <f>IFERROR(__xludf.DUMMYFUNCTION("""COMPUTED_VALUE"""),"Manuel Bompard")</f>
        <v>Manuel Bompard</v>
      </c>
      <c r="C85">
        <f>IFERROR(__xludf.DUMMYFUNCTION("""COMPUTED_VALUE"""),110006.0)</f>
        <v>110006</v>
      </c>
      <c r="D85" t="str">
        <f>IFERROR(__xludf.DUMMYFUNCTION("""COMPUTED_VALUE"""),"-")</f>
        <v>-</v>
      </c>
      <c r="E85" t="str">
        <f>IFERROR(__xludf.DUMMYFUNCTION("""COMPUTED_VALUE"""),"-")</f>
        <v>-</v>
      </c>
      <c r="F85" t="str">
        <f>IFERROR(__xludf.DUMMYFUNCTION("""COMPUTED_VALUE"""),"-")</f>
        <v>-</v>
      </c>
      <c r="G85" t="str">
        <f>IFERROR(__xludf.DUMMYFUNCTION("""COMPUTED_VALUE"""),"-")</f>
        <v>-</v>
      </c>
      <c r="H85" t="str">
        <f>IFERROR(__xludf.DUMMYFUNCTION("""COMPUTED_VALUE"""),"-")</f>
        <v>-</v>
      </c>
      <c r="I85" t="str">
        <f>IFERROR(__xludf.DUMMYFUNCTION("""COMPUTED_VALUE"""),"-")</f>
        <v>-</v>
      </c>
      <c r="J85" t="str">
        <f>IFERROR(__xludf.DUMMYFUNCTION("""COMPUTED_VALUE"""),"-")</f>
        <v>-</v>
      </c>
      <c r="K85" t="str">
        <f>IFERROR(__xludf.DUMMYFUNCTION("""COMPUTED_VALUE"""),"-")</f>
        <v>-</v>
      </c>
      <c r="L85" t="str">
        <f>IFERROR(__xludf.DUMMYFUNCTION("""COMPUTED_VALUE"""),"-")</f>
        <v>-</v>
      </c>
      <c r="M85" t="str">
        <f>IFERROR(__xludf.DUMMYFUNCTION("""COMPUTED_VALUE"""),"-")</f>
        <v>-</v>
      </c>
      <c r="O85" t="str">
        <f>IFERROR(__xludf.DUMMYFUNCTION("""COMPUTED_VALUE"""),"#84")</f>
        <v>#84</v>
      </c>
      <c r="P85" t="str">
        <f>IFERROR(__xludf.DUMMYFUNCTION("""COMPUTED_VALUE"""),"Manuel Bompard")</f>
        <v>Manuel Bompard</v>
      </c>
      <c r="Q85">
        <f>IFERROR(__xludf.DUMMYFUNCTION("""COMPUTED_VALUE"""),110006.0)</f>
        <v>110006</v>
      </c>
      <c r="R85" t="str">
        <f>IFERROR(__xludf.DUMMYFUNCTION("""COMPUTED_VALUE"""),"-")</f>
        <v>-</v>
      </c>
      <c r="S85" t="str">
        <f>IFERROR(__xludf.DUMMYFUNCTION("""COMPUTED_VALUE"""),"-")</f>
        <v>-</v>
      </c>
      <c r="T85" t="str">
        <f>IFERROR(__xludf.DUMMYFUNCTION("""COMPUTED_VALUE"""),"-")</f>
        <v>-</v>
      </c>
      <c r="U85" t="str">
        <f>IFERROR(__xludf.DUMMYFUNCTION("""COMPUTED_VALUE"""),"-")</f>
        <v>-</v>
      </c>
      <c r="V85" t="str">
        <f>IFERROR(__xludf.DUMMYFUNCTION("""COMPUTED_VALUE"""),"-")</f>
        <v>-</v>
      </c>
      <c r="W85" t="str">
        <f>IFERROR(__xludf.DUMMYFUNCTION("""COMPUTED_VALUE"""),"-")</f>
        <v>-</v>
      </c>
      <c r="X85" t="str">
        <f>IFERROR(__xludf.DUMMYFUNCTION("""COMPUTED_VALUE"""),"-")</f>
        <v>-</v>
      </c>
      <c r="Y85" t="str">
        <f>IFERROR(__xludf.DUMMYFUNCTION("""COMPUTED_VALUE"""),"-")</f>
        <v>-</v>
      </c>
      <c r="Z85" t="str">
        <f>IFERROR(__xludf.DUMMYFUNCTION("""COMPUTED_VALUE"""),"-")</f>
        <v>-</v>
      </c>
      <c r="AA85" t="str">
        <f>IFERROR(__xludf.DUMMYFUNCTION("""COMPUTED_VALUE"""),"-")</f>
        <v>-</v>
      </c>
    </row>
    <row r="86">
      <c r="A86" t="str">
        <f>IFERROR(__xludf.DUMMYFUNCTION("""COMPUTED_VALUE"""),"#85")</f>
        <v>#85</v>
      </c>
      <c r="B86" t="str">
        <f>IFERROR(__xludf.DUMMYFUNCTION("""COMPUTED_VALUE"""),"Cédric Villani")</f>
        <v>Cédric Villani</v>
      </c>
      <c r="C86">
        <f>IFERROR(__xludf.DUMMYFUNCTION("""COMPUTED_VALUE"""),108911.0)</f>
        <v>108911</v>
      </c>
      <c r="D86" t="str">
        <f>IFERROR(__xludf.DUMMYFUNCTION("""COMPUTED_VALUE"""),"-")</f>
        <v>-</v>
      </c>
      <c r="E86" t="str">
        <f>IFERROR(__xludf.DUMMYFUNCTION("""COMPUTED_VALUE"""),"-")</f>
        <v>-</v>
      </c>
      <c r="F86" t="str">
        <f>IFERROR(__xludf.DUMMYFUNCTION("""COMPUTED_VALUE"""),"-")</f>
        <v>-</v>
      </c>
      <c r="G86" t="str">
        <f>IFERROR(__xludf.DUMMYFUNCTION("""COMPUTED_VALUE"""),"-")</f>
        <v>-</v>
      </c>
      <c r="H86" t="str">
        <f>IFERROR(__xludf.DUMMYFUNCTION("""COMPUTED_VALUE"""),"-")</f>
        <v>-</v>
      </c>
      <c r="I86" t="str">
        <f>IFERROR(__xludf.DUMMYFUNCTION("""COMPUTED_VALUE"""),"-")</f>
        <v>-</v>
      </c>
      <c r="J86" t="str">
        <f>IFERROR(__xludf.DUMMYFUNCTION("""COMPUTED_VALUE"""),"-")</f>
        <v>-</v>
      </c>
      <c r="K86" t="str">
        <f>IFERROR(__xludf.DUMMYFUNCTION("""COMPUTED_VALUE"""),"-")</f>
        <v>-</v>
      </c>
      <c r="L86" t="str">
        <f>IFERROR(__xludf.DUMMYFUNCTION("""COMPUTED_VALUE"""),"-")</f>
        <v>-</v>
      </c>
      <c r="M86" t="str">
        <f>IFERROR(__xludf.DUMMYFUNCTION("""COMPUTED_VALUE"""),"-")</f>
        <v>-</v>
      </c>
      <c r="O86" t="str">
        <f>IFERROR(__xludf.DUMMYFUNCTION("""COMPUTED_VALUE"""),"#85")</f>
        <v>#85</v>
      </c>
      <c r="P86" t="str">
        <f>IFERROR(__xludf.DUMMYFUNCTION("""COMPUTED_VALUE"""),"Cédric Villani")</f>
        <v>Cédric Villani</v>
      </c>
      <c r="Q86">
        <f>IFERROR(__xludf.DUMMYFUNCTION("""COMPUTED_VALUE"""),108911.0)</f>
        <v>108911</v>
      </c>
      <c r="R86" t="str">
        <f>IFERROR(__xludf.DUMMYFUNCTION("""COMPUTED_VALUE"""),"-")</f>
        <v>-</v>
      </c>
      <c r="S86" t="str">
        <f>IFERROR(__xludf.DUMMYFUNCTION("""COMPUTED_VALUE"""),"-")</f>
        <v>-</v>
      </c>
      <c r="T86" t="str">
        <f>IFERROR(__xludf.DUMMYFUNCTION("""COMPUTED_VALUE"""),"-")</f>
        <v>-</v>
      </c>
      <c r="U86" t="str">
        <f>IFERROR(__xludf.DUMMYFUNCTION("""COMPUTED_VALUE"""),"-")</f>
        <v>-</v>
      </c>
      <c r="V86" t="str">
        <f>IFERROR(__xludf.DUMMYFUNCTION("""COMPUTED_VALUE"""),"-")</f>
        <v>-</v>
      </c>
      <c r="W86" t="str">
        <f>IFERROR(__xludf.DUMMYFUNCTION("""COMPUTED_VALUE"""),"-")</f>
        <v>-</v>
      </c>
      <c r="X86" t="str">
        <f>IFERROR(__xludf.DUMMYFUNCTION("""COMPUTED_VALUE"""),"-")</f>
        <v>-</v>
      </c>
      <c r="Y86" t="str">
        <f>IFERROR(__xludf.DUMMYFUNCTION("""COMPUTED_VALUE"""),"-")</f>
        <v>-</v>
      </c>
      <c r="Z86" t="str">
        <f>IFERROR(__xludf.DUMMYFUNCTION("""COMPUTED_VALUE"""),"-")</f>
        <v>-</v>
      </c>
      <c r="AA86" t="str">
        <f>IFERROR(__xludf.DUMMYFUNCTION("""COMPUTED_VALUE"""),"-")</f>
        <v>-</v>
      </c>
    </row>
    <row r="87">
      <c r="A87" t="str">
        <f>IFERROR(__xludf.DUMMYFUNCTION("""COMPUTED_VALUE"""),"#86")</f>
        <v>#86</v>
      </c>
      <c r="B87" t="str">
        <f>IFERROR(__xludf.DUMMYFUNCTION("""COMPUTED_VALUE"""),"Richard Ferrand")</f>
        <v>Richard Ferrand</v>
      </c>
      <c r="C87">
        <f>IFERROR(__xludf.DUMMYFUNCTION("""COMPUTED_VALUE"""),108353.0)</f>
        <v>108353</v>
      </c>
      <c r="D87" t="str">
        <f>IFERROR(__xludf.DUMMYFUNCTION("""COMPUTED_VALUE"""),"-")</f>
        <v>-</v>
      </c>
      <c r="E87" t="str">
        <f>IFERROR(__xludf.DUMMYFUNCTION("""COMPUTED_VALUE"""),"-")</f>
        <v>-</v>
      </c>
      <c r="F87" t="str">
        <f>IFERROR(__xludf.DUMMYFUNCTION("""COMPUTED_VALUE"""),"-")</f>
        <v>-</v>
      </c>
      <c r="G87" t="str">
        <f>IFERROR(__xludf.DUMMYFUNCTION("""COMPUTED_VALUE"""),"-")</f>
        <v>-</v>
      </c>
      <c r="H87" t="str">
        <f>IFERROR(__xludf.DUMMYFUNCTION("""COMPUTED_VALUE"""),"-")</f>
        <v>-</v>
      </c>
      <c r="I87" t="str">
        <f>IFERROR(__xludf.DUMMYFUNCTION("""COMPUTED_VALUE"""),"-")</f>
        <v>-</v>
      </c>
      <c r="J87" t="str">
        <f>IFERROR(__xludf.DUMMYFUNCTION("""COMPUTED_VALUE"""),"-")</f>
        <v>-</v>
      </c>
      <c r="K87" t="str">
        <f>IFERROR(__xludf.DUMMYFUNCTION("""COMPUTED_VALUE"""),"-")</f>
        <v>-</v>
      </c>
      <c r="L87" t="str">
        <f>IFERROR(__xludf.DUMMYFUNCTION("""COMPUTED_VALUE"""),"-")</f>
        <v>-</v>
      </c>
      <c r="M87" t="str">
        <f>IFERROR(__xludf.DUMMYFUNCTION("""COMPUTED_VALUE"""),"-")</f>
        <v>-</v>
      </c>
      <c r="O87" t="str">
        <f>IFERROR(__xludf.DUMMYFUNCTION("""COMPUTED_VALUE"""),"#86")</f>
        <v>#86</v>
      </c>
      <c r="P87" t="str">
        <f>IFERROR(__xludf.DUMMYFUNCTION("""COMPUTED_VALUE"""),"Richard Ferrand")</f>
        <v>Richard Ferrand</v>
      </c>
      <c r="Q87">
        <f>IFERROR(__xludf.DUMMYFUNCTION("""COMPUTED_VALUE"""),108353.0)</f>
        <v>108353</v>
      </c>
      <c r="R87" t="str">
        <f>IFERROR(__xludf.DUMMYFUNCTION("""COMPUTED_VALUE"""),"-")</f>
        <v>-</v>
      </c>
      <c r="S87" t="str">
        <f>IFERROR(__xludf.DUMMYFUNCTION("""COMPUTED_VALUE"""),"-")</f>
        <v>-</v>
      </c>
      <c r="T87" t="str">
        <f>IFERROR(__xludf.DUMMYFUNCTION("""COMPUTED_VALUE"""),"-")</f>
        <v>-</v>
      </c>
      <c r="U87" t="str">
        <f>IFERROR(__xludf.DUMMYFUNCTION("""COMPUTED_VALUE"""),"-")</f>
        <v>-</v>
      </c>
      <c r="V87" t="str">
        <f>IFERROR(__xludf.DUMMYFUNCTION("""COMPUTED_VALUE"""),"-")</f>
        <v>-</v>
      </c>
      <c r="W87" t="str">
        <f>IFERROR(__xludf.DUMMYFUNCTION("""COMPUTED_VALUE"""),"-")</f>
        <v>-</v>
      </c>
      <c r="X87" t="str">
        <f>IFERROR(__xludf.DUMMYFUNCTION("""COMPUTED_VALUE"""),"-")</f>
        <v>-</v>
      </c>
      <c r="Y87" t="str">
        <f>IFERROR(__xludf.DUMMYFUNCTION("""COMPUTED_VALUE"""),"-")</f>
        <v>-</v>
      </c>
      <c r="Z87" t="str">
        <f>IFERROR(__xludf.DUMMYFUNCTION("""COMPUTED_VALUE"""),"-")</f>
        <v>-</v>
      </c>
      <c r="AA87" t="str">
        <f>IFERROR(__xludf.DUMMYFUNCTION("""COMPUTED_VALUE"""),"-")</f>
        <v>-</v>
      </c>
    </row>
    <row r="88">
      <c r="A88" t="str">
        <f>IFERROR(__xludf.DUMMYFUNCTION("""COMPUTED_VALUE"""),"#87")</f>
        <v>#87</v>
      </c>
      <c r="B88" t="str">
        <f>IFERROR(__xludf.DUMMYFUNCTION("""COMPUTED_VALUE"""),"Nicolas Bay")</f>
        <v>Nicolas Bay</v>
      </c>
      <c r="C88">
        <f>IFERROR(__xludf.DUMMYFUNCTION("""COMPUTED_VALUE"""),107959.0)</f>
        <v>107959</v>
      </c>
      <c r="D88" t="str">
        <f>IFERROR(__xludf.DUMMYFUNCTION("""COMPUTED_VALUE"""),"-")</f>
        <v>-</v>
      </c>
      <c r="E88" t="str">
        <f>IFERROR(__xludf.DUMMYFUNCTION("""COMPUTED_VALUE"""),"-")</f>
        <v>-</v>
      </c>
      <c r="F88" t="str">
        <f>IFERROR(__xludf.DUMMYFUNCTION("""COMPUTED_VALUE"""),"-")</f>
        <v>-</v>
      </c>
      <c r="G88" t="str">
        <f>IFERROR(__xludf.DUMMYFUNCTION("""COMPUTED_VALUE"""),"-")</f>
        <v>-</v>
      </c>
      <c r="H88" t="str">
        <f>IFERROR(__xludf.DUMMYFUNCTION("""COMPUTED_VALUE"""),"-")</f>
        <v>-</v>
      </c>
      <c r="I88" t="str">
        <f>IFERROR(__xludf.DUMMYFUNCTION("""COMPUTED_VALUE"""),"-")</f>
        <v>-</v>
      </c>
      <c r="J88" t="str">
        <f>IFERROR(__xludf.DUMMYFUNCTION("""COMPUTED_VALUE"""),"-")</f>
        <v>-</v>
      </c>
      <c r="K88" t="str">
        <f>IFERROR(__xludf.DUMMYFUNCTION("""COMPUTED_VALUE"""),"-")</f>
        <v>-</v>
      </c>
      <c r="L88" t="str">
        <f>IFERROR(__xludf.DUMMYFUNCTION("""COMPUTED_VALUE"""),"-")</f>
        <v>-</v>
      </c>
      <c r="M88" t="str">
        <f>IFERROR(__xludf.DUMMYFUNCTION("""COMPUTED_VALUE"""),"-")</f>
        <v>-</v>
      </c>
      <c r="O88" t="str">
        <f>IFERROR(__xludf.DUMMYFUNCTION("""COMPUTED_VALUE"""),"#87")</f>
        <v>#87</v>
      </c>
      <c r="P88" t="str">
        <f>IFERROR(__xludf.DUMMYFUNCTION("""COMPUTED_VALUE"""),"Nicolas Bay")</f>
        <v>Nicolas Bay</v>
      </c>
      <c r="Q88">
        <f>IFERROR(__xludf.DUMMYFUNCTION("""COMPUTED_VALUE"""),107959.0)</f>
        <v>107959</v>
      </c>
      <c r="R88" t="str">
        <f>IFERROR(__xludf.DUMMYFUNCTION("""COMPUTED_VALUE"""),"-")</f>
        <v>-</v>
      </c>
      <c r="S88" t="str">
        <f>IFERROR(__xludf.DUMMYFUNCTION("""COMPUTED_VALUE"""),"-")</f>
        <v>-</v>
      </c>
      <c r="T88" t="str">
        <f>IFERROR(__xludf.DUMMYFUNCTION("""COMPUTED_VALUE"""),"-")</f>
        <v>-</v>
      </c>
      <c r="U88" t="str">
        <f>IFERROR(__xludf.DUMMYFUNCTION("""COMPUTED_VALUE"""),"-")</f>
        <v>-</v>
      </c>
      <c r="V88" t="str">
        <f>IFERROR(__xludf.DUMMYFUNCTION("""COMPUTED_VALUE"""),"-")</f>
        <v>-</v>
      </c>
      <c r="W88" t="str">
        <f>IFERROR(__xludf.DUMMYFUNCTION("""COMPUTED_VALUE"""),"-")</f>
        <v>-</v>
      </c>
      <c r="X88" t="str">
        <f>IFERROR(__xludf.DUMMYFUNCTION("""COMPUTED_VALUE"""),"-")</f>
        <v>-</v>
      </c>
      <c r="Y88" t="str">
        <f>IFERROR(__xludf.DUMMYFUNCTION("""COMPUTED_VALUE"""),"-")</f>
        <v>-</v>
      </c>
      <c r="Z88" t="str">
        <f>IFERROR(__xludf.DUMMYFUNCTION("""COMPUTED_VALUE"""),"-")</f>
        <v>-</v>
      </c>
      <c r="AA88" t="str">
        <f>IFERROR(__xludf.DUMMYFUNCTION("""COMPUTED_VALUE"""),"-")</f>
        <v>-</v>
      </c>
    </row>
    <row r="89">
      <c r="A89" t="str">
        <f>IFERROR(__xludf.DUMMYFUNCTION("""COMPUTED_VALUE"""),"#88")</f>
        <v>#88</v>
      </c>
      <c r="B89" t="str">
        <f>IFERROR(__xludf.DUMMYFUNCTION("""COMPUTED_VALUE"""),"Bruno Retailleau")</f>
        <v>Bruno Retailleau</v>
      </c>
      <c r="C89">
        <f>IFERROR(__xludf.DUMMYFUNCTION("""COMPUTED_VALUE"""),104088.0)</f>
        <v>104088</v>
      </c>
      <c r="D89" t="str">
        <f>IFERROR(__xludf.DUMMYFUNCTION("""COMPUTED_VALUE"""),"-")</f>
        <v>-</v>
      </c>
      <c r="E89" t="str">
        <f>IFERROR(__xludf.DUMMYFUNCTION("""COMPUTED_VALUE"""),"-")</f>
        <v>-</v>
      </c>
      <c r="F89" t="str">
        <f>IFERROR(__xludf.DUMMYFUNCTION("""COMPUTED_VALUE"""),"-")</f>
        <v>-</v>
      </c>
      <c r="G89" t="str">
        <f>IFERROR(__xludf.DUMMYFUNCTION("""COMPUTED_VALUE"""),"-")</f>
        <v>-</v>
      </c>
      <c r="H89" t="str">
        <f>IFERROR(__xludf.DUMMYFUNCTION("""COMPUTED_VALUE"""),"-")</f>
        <v>-</v>
      </c>
      <c r="I89" t="str">
        <f>IFERROR(__xludf.DUMMYFUNCTION("""COMPUTED_VALUE"""),"-")</f>
        <v>-</v>
      </c>
      <c r="J89" t="str">
        <f>IFERROR(__xludf.DUMMYFUNCTION("""COMPUTED_VALUE"""),"-")</f>
        <v>-</v>
      </c>
      <c r="K89" t="str">
        <f>IFERROR(__xludf.DUMMYFUNCTION("""COMPUTED_VALUE"""),"-")</f>
        <v>-</v>
      </c>
      <c r="L89" t="str">
        <f>IFERROR(__xludf.DUMMYFUNCTION("""COMPUTED_VALUE"""),"-")</f>
        <v>-</v>
      </c>
      <c r="M89" t="str">
        <f>IFERROR(__xludf.DUMMYFUNCTION("""COMPUTED_VALUE"""),"-")</f>
        <v>-</v>
      </c>
      <c r="O89" t="str">
        <f>IFERROR(__xludf.DUMMYFUNCTION("""COMPUTED_VALUE"""),"#88")</f>
        <v>#88</v>
      </c>
      <c r="P89" t="str">
        <f>IFERROR(__xludf.DUMMYFUNCTION("""COMPUTED_VALUE"""),"Bruno Retailleau")</f>
        <v>Bruno Retailleau</v>
      </c>
      <c r="Q89">
        <f>IFERROR(__xludf.DUMMYFUNCTION("""COMPUTED_VALUE"""),104088.0)</f>
        <v>104088</v>
      </c>
      <c r="R89" t="str">
        <f>IFERROR(__xludf.DUMMYFUNCTION("""COMPUTED_VALUE"""),"-")</f>
        <v>-</v>
      </c>
      <c r="S89" t="str">
        <f>IFERROR(__xludf.DUMMYFUNCTION("""COMPUTED_VALUE"""),"-")</f>
        <v>-</v>
      </c>
      <c r="T89" t="str">
        <f>IFERROR(__xludf.DUMMYFUNCTION("""COMPUTED_VALUE"""),"-")</f>
        <v>-</v>
      </c>
      <c r="U89" t="str">
        <f>IFERROR(__xludf.DUMMYFUNCTION("""COMPUTED_VALUE"""),"-")</f>
        <v>-</v>
      </c>
      <c r="V89" t="str">
        <f>IFERROR(__xludf.DUMMYFUNCTION("""COMPUTED_VALUE"""),"-")</f>
        <v>-</v>
      </c>
      <c r="W89" t="str">
        <f>IFERROR(__xludf.DUMMYFUNCTION("""COMPUTED_VALUE"""),"-")</f>
        <v>-</v>
      </c>
      <c r="X89" t="str">
        <f>IFERROR(__xludf.DUMMYFUNCTION("""COMPUTED_VALUE"""),"-")</f>
        <v>-</v>
      </c>
      <c r="Y89" t="str">
        <f>IFERROR(__xludf.DUMMYFUNCTION("""COMPUTED_VALUE"""),"-")</f>
        <v>-</v>
      </c>
      <c r="Z89" t="str">
        <f>IFERROR(__xludf.DUMMYFUNCTION("""COMPUTED_VALUE"""),"-")</f>
        <v>-</v>
      </c>
      <c r="AA89" t="str">
        <f>IFERROR(__xludf.DUMMYFUNCTION("""COMPUTED_VALUE"""),"-")</f>
        <v>-</v>
      </c>
    </row>
    <row r="90">
      <c r="A90" t="str">
        <f>IFERROR(__xludf.DUMMYFUNCTION("""COMPUTED_VALUE"""),"#89")</f>
        <v>#89</v>
      </c>
      <c r="B90" t="str">
        <f>IFERROR(__xludf.DUMMYFUNCTION("""COMPUTED_VALUE"""),"Danièle Obono")</f>
        <v>Danièle Obono</v>
      </c>
      <c r="C90">
        <f>IFERROR(__xludf.DUMMYFUNCTION("""COMPUTED_VALUE"""),104034.0)</f>
        <v>104034</v>
      </c>
      <c r="D90" t="str">
        <f>IFERROR(__xludf.DUMMYFUNCTION("""COMPUTED_VALUE"""),"-")</f>
        <v>-</v>
      </c>
      <c r="E90" t="str">
        <f>IFERROR(__xludf.DUMMYFUNCTION("""COMPUTED_VALUE"""),"-")</f>
        <v>-</v>
      </c>
      <c r="F90" t="str">
        <f>IFERROR(__xludf.DUMMYFUNCTION("""COMPUTED_VALUE"""),"-")</f>
        <v>-</v>
      </c>
      <c r="G90" t="str">
        <f>IFERROR(__xludf.DUMMYFUNCTION("""COMPUTED_VALUE"""),"-")</f>
        <v>-</v>
      </c>
      <c r="H90" t="str">
        <f>IFERROR(__xludf.DUMMYFUNCTION("""COMPUTED_VALUE"""),"-")</f>
        <v>-</v>
      </c>
      <c r="I90" t="str">
        <f>IFERROR(__xludf.DUMMYFUNCTION("""COMPUTED_VALUE"""),"-")</f>
        <v>-</v>
      </c>
      <c r="J90" t="str">
        <f>IFERROR(__xludf.DUMMYFUNCTION("""COMPUTED_VALUE"""),"-")</f>
        <v>-</v>
      </c>
      <c r="K90" t="str">
        <f>IFERROR(__xludf.DUMMYFUNCTION("""COMPUTED_VALUE"""),"-")</f>
        <v>-</v>
      </c>
      <c r="L90" t="str">
        <f>IFERROR(__xludf.DUMMYFUNCTION("""COMPUTED_VALUE"""),"-")</f>
        <v>-</v>
      </c>
      <c r="M90" t="str">
        <f>IFERROR(__xludf.DUMMYFUNCTION("""COMPUTED_VALUE"""),"-")</f>
        <v>-</v>
      </c>
      <c r="O90" t="str">
        <f>IFERROR(__xludf.DUMMYFUNCTION("""COMPUTED_VALUE"""),"#89")</f>
        <v>#89</v>
      </c>
      <c r="P90" t="str">
        <f>IFERROR(__xludf.DUMMYFUNCTION("""COMPUTED_VALUE"""),"Danièle Obono")</f>
        <v>Danièle Obono</v>
      </c>
      <c r="Q90">
        <f>IFERROR(__xludf.DUMMYFUNCTION("""COMPUTED_VALUE"""),104034.0)</f>
        <v>104034</v>
      </c>
      <c r="R90" t="str">
        <f>IFERROR(__xludf.DUMMYFUNCTION("""COMPUTED_VALUE"""),"-")</f>
        <v>-</v>
      </c>
      <c r="S90" t="str">
        <f>IFERROR(__xludf.DUMMYFUNCTION("""COMPUTED_VALUE"""),"-")</f>
        <v>-</v>
      </c>
      <c r="T90" t="str">
        <f>IFERROR(__xludf.DUMMYFUNCTION("""COMPUTED_VALUE"""),"-")</f>
        <v>-</v>
      </c>
      <c r="U90" t="str">
        <f>IFERROR(__xludf.DUMMYFUNCTION("""COMPUTED_VALUE"""),"-")</f>
        <v>-</v>
      </c>
      <c r="V90" t="str">
        <f>IFERROR(__xludf.DUMMYFUNCTION("""COMPUTED_VALUE"""),"-")</f>
        <v>-</v>
      </c>
      <c r="W90" t="str">
        <f>IFERROR(__xludf.DUMMYFUNCTION("""COMPUTED_VALUE"""),"-")</f>
        <v>-</v>
      </c>
      <c r="X90" t="str">
        <f>IFERROR(__xludf.DUMMYFUNCTION("""COMPUTED_VALUE"""),"-")</f>
        <v>-</v>
      </c>
      <c r="Y90" t="str">
        <f>IFERROR(__xludf.DUMMYFUNCTION("""COMPUTED_VALUE"""),"-")</f>
        <v>-</v>
      </c>
      <c r="Z90" t="str">
        <f>IFERROR(__xludf.DUMMYFUNCTION("""COMPUTED_VALUE"""),"-")</f>
        <v>-</v>
      </c>
      <c r="AA90" t="str">
        <f>IFERROR(__xludf.DUMMYFUNCTION("""COMPUTED_VALUE"""),"-")</f>
        <v>-</v>
      </c>
    </row>
    <row r="91">
      <c r="A91" t="str">
        <f>IFERROR(__xludf.DUMMYFUNCTION("""COMPUTED_VALUE"""),"#90")</f>
        <v>#90</v>
      </c>
      <c r="B91" t="str">
        <f>IFERROR(__xludf.DUMMYFUNCTION("""COMPUTED_VALUE"""),"Thierry Mariani")</f>
        <v>Thierry Mariani</v>
      </c>
      <c r="C91">
        <f>IFERROR(__xludf.DUMMYFUNCTION("""COMPUTED_VALUE"""),103872.0)</f>
        <v>103872</v>
      </c>
      <c r="D91" t="str">
        <f>IFERROR(__xludf.DUMMYFUNCTION("""COMPUTED_VALUE"""),"-")</f>
        <v>-</v>
      </c>
      <c r="E91" t="str">
        <f>IFERROR(__xludf.DUMMYFUNCTION("""COMPUTED_VALUE"""),"-")</f>
        <v>-</v>
      </c>
      <c r="F91" t="str">
        <f>IFERROR(__xludf.DUMMYFUNCTION("""COMPUTED_VALUE"""),"-")</f>
        <v>-</v>
      </c>
      <c r="G91" t="str">
        <f>IFERROR(__xludf.DUMMYFUNCTION("""COMPUTED_VALUE"""),"-")</f>
        <v>-</v>
      </c>
      <c r="H91" t="str">
        <f>IFERROR(__xludf.DUMMYFUNCTION("""COMPUTED_VALUE"""),"-")</f>
        <v>-</v>
      </c>
      <c r="I91" t="str">
        <f>IFERROR(__xludf.DUMMYFUNCTION("""COMPUTED_VALUE"""),"-")</f>
        <v>-</v>
      </c>
      <c r="J91" t="str">
        <f>IFERROR(__xludf.DUMMYFUNCTION("""COMPUTED_VALUE"""),"-")</f>
        <v>-</v>
      </c>
      <c r="K91" t="str">
        <f>IFERROR(__xludf.DUMMYFUNCTION("""COMPUTED_VALUE"""),"-")</f>
        <v>-</v>
      </c>
      <c r="L91" t="str">
        <f>IFERROR(__xludf.DUMMYFUNCTION("""COMPUTED_VALUE"""),"-")</f>
        <v>-</v>
      </c>
      <c r="M91" t="str">
        <f>IFERROR(__xludf.DUMMYFUNCTION("""COMPUTED_VALUE"""),"-")</f>
        <v>-</v>
      </c>
      <c r="O91" t="str">
        <f>IFERROR(__xludf.DUMMYFUNCTION("""COMPUTED_VALUE"""),"#90")</f>
        <v>#90</v>
      </c>
      <c r="P91" t="str">
        <f>IFERROR(__xludf.DUMMYFUNCTION("""COMPUTED_VALUE"""),"Thierry Mariani")</f>
        <v>Thierry Mariani</v>
      </c>
      <c r="Q91">
        <f>IFERROR(__xludf.DUMMYFUNCTION("""COMPUTED_VALUE"""),103872.0)</f>
        <v>103872</v>
      </c>
      <c r="R91" t="str">
        <f>IFERROR(__xludf.DUMMYFUNCTION("""COMPUTED_VALUE"""),"-")</f>
        <v>-</v>
      </c>
      <c r="S91" t="str">
        <f>IFERROR(__xludf.DUMMYFUNCTION("""COMPUTED_VALUE"""),"-")</f>
        <v>-</v>
      </c>
      <c r="T91" t="str">
        <f>IFERROR(__xludf.DUMMYFUNCTION("""COMPUTED_VALUE"""),"-")</f>
        <v>-</v>
      </c>
      <c r="U91" t="str">
        <f>IFERROR(__xludf.DUMMYFUNCTION("""COMPUTED_VALUE"""),"-")</f>
        <v>-</v>
      </c>
      <c r="V91" t="str">
        <f>IFERROR(__xludf.DUMMYFUNCTION("""COMPUTED_VALUE"""),"-")</f>
        <v>-</v>
      </c>
      <c r="W91" t="str">
        <f>IFERROR(__xludf.DUMMYFUNCTION("""COMPUTED_VALUE"""),"-")</f>
        <v>-</v>
      </c>
      <c r="X91" t="str">
        <f>IFERROR(__xludf.DUMMYFUNCTION("""COMPUTED_VALUE"""),"-")</f>
        <v>-</v>
      </c>
      <c r="Y91" t="str">
        <f>IFERROR(__xludf.DUMMYFUNCTION("""COMPUTED_VALUE"""),"-")</f>
        <v>-</v>
      </c>
      <c r="Z91" t="str">
        <f>IFERROR(__xludf.DUMMYFUNCTION("""COMPUTED_VALUE"""),"-")</f>
        <v>-</v>
      </c>
      <c r="AA91" t="str">
        <f>IFERROR(__xludf.DUMMYFUNCTION("""COMPUTED_VALUE"""),"-")</f>
        <v>-</v>
      </c>
    </row>
    <row r="92">
      <c r="A92" t="str">
        <f>IFERROR(__xludf.DUMMYFUNCTION("""COMPUTED_VALUE"""),"#91")</f>
        <v>#91</v>
      </c>
      <c r="B92" t="str">
        <f>IFERROR(__xludf.DUMMYFUNCTION("""COMPUTED_VALUE"""),"Olivier Besancenot")</f>
        <v>Olivier Besancenot</v>
      </c>
      <c r="C92">
        <f>IFERROR(__xludf.DUMMYFUNCTION("""COMPUTED_VALUE"""),101233.0)</f>
        <v>101233</v>
      </c>
      <c r="D92" t="str">
        <f>IFERROR(__xludf.DUMMYFUNCTION("""COMPUTED_VALUE"""),"-")</f>
        <v>-</v>
      </c>
      <c r="E92" t="str">
        <f>IFERROR(__xludf.DUMMYFUNCTION("""COMPUTED_VALUE"""),"-")</f>
        <v>-</v>
      </c>
      <c r="F92" t="str">
        <f>IFERROR(__xludf.DUMMYFUNCTION("""COMPUTED_VALUE"""),"-")</f>
        <v>-</v>
      </c>
      <c r="G92" t="str">
        <f>IFERROR(__xludf.DUMMYFUNCTION("""COMPUTED_VALUE"""),"-")</f>
        <v>-</v>
      </c>
      <c r="H92" t="str">
        <f>IFERROR(__xludf.DUMMYFUNCTION("""COMPUTED_VALUE"""),"-")</f>
        <v>-</v>
      </c>
      <c r="I92" t="str">
        <f>IFERROR(__xludf.DUMMYFUNCTION("""COMPUTED_VALUE"""),"-")</f>
        <v>-</v>
      </c>
      <c r="J92" t="str">
        <f>IFERROR(__xludf.DUMMYFUNCTION("""COMPUTED_VALUE"""),"-")</f>
        <v>-</v>
      </c>
      <c r="K92" t="str">
        <f>IFERROR(__xludf.DUMMYFUNCTION("""COMPUTED_VALUE"""),"-")</f>
        <v>-</v>
      </c>
      <c r="L92" t="str">
        <f>IFERROR(__xludf.DUMMYFUNCTION("""COMPUTED_VALUE"""),"-")</f>
        <v>-</v>
      </c>
      <c r="M92" t="str">
        <f>IFERROR(__xludf.DUMMYFUNCTION("""COMPUTED_VALUE"""),"-")</f>
        <v>-</v>
      </c>
      <c r="O92" t="str">
        <f>IFERROR(__xludf.DUMMYFUNCTION("""COMPUTED_VALUE"""),"#91")</f>
        <v>#91</v>
      </c>
      <c r="P92" t="str">
        <f>IFERROR(__xludf.DUMMYFUNCTION("""COMPUTED_VALUE"""),"Olivier Besancenot")</f>
        <v>Olivier Besancenot</v>
      </c>
      <c r="Q92">
        <f>IFERROR(__xludf.DUMMYFUNCTION("""COMPUTED_VALUE"""),101233.0)</f>
        <v>101233</v>
      </c>
      <c r="R92" t="str">
        <f>IFERROR(__xludf.DUMMYFUNCTION("""COMPUTED_VALUE"""),"-")</f>
        <v>-</v>
      </c>
      <c r="S92" t="str">
        <f>IFERROR(__xludf.DUMMYFUNCTION("""COMPUTED_VALUE"""),"-")</f>
        <v>-</v>
      </c>
      <c r="T92" t="str">
        <f>IFERROR(__xludf.DUMMYFUNCTION("""COMPUTED_VALUE"""),"-")</f>
        <v>-</v>
      </c>
      <c r="U92" t="str">
        <f>IFERROR(__xludf.DUMMYFUNCTION("""COMPUTED_VALUE"""),"-")</f>
        <v>-</v>
      </c>
      <c r="V92" t="str">
        <f>IFERROR(__xludf.DUMMYFUNCTION("""COMPUTED_VALUE"""),"-")</f>
        <v>-</v>
      </c>
      <c r="W92" t="str">
        <f>IFERROR(__xludf.DUMMYFUNCTION("""COMPUTED_VALUE"""),"-")</f>
        <v>-</v>
      </c>
      <c r="X92" t="str">
        <f>IFERROR(__xludf.DUMMYFUNCTION("""COMPUTED_VALUE"""),"-")</f>
        <v>-</v>
      </c>
      <c r="Y92" t="str">
        <f>IFERROR(__xludf.DUMMYFUNCTION("""COMPUTED_VALUE"""),"-")</f>
        <v>-</v>
      </c>
      <c r="Z92" t="str">
        <f>IFERROR(__xludf.DUMMYFUNCTION("""COMPUTED_VALUE"""),"-")</f>
        <v>-</v>
      </c>
      <c r="AA92" t="str">
        <f>IFERROR(__xludf.DUMMYFUNCTION("""COMPUTED_VALUE"""),"-")</f>
        <v>-</v>
      </c>
    </row>
    <row r="93">
      <c r="A93" t="str">
        <f>IFERROR(__xludf.DUMMYFUNCTION("""COMPUTED_VALUE"""),"#92")</f>
        <v>#92</v>
      </c>
      <c r="B93" t="str">
        <f>IFERROR(__xludf.DUMMYFUNCTION("""COMPUTED_VALUE"""),"Barbara Pompili")</f>
        <v>Barbara Pompili</v>
      </c>
      <c r="C93">
        <f>IFERROR(__xludf.DUMMYFUNCTION("""COMPUTED_VALUE"""),98849.0)</f>
        <v>98849</v>
      </c>
      <c r="D93" t="str">
        <f>IFERROR(__xludf.DUMMYFUNCTION("""COMPUTED_VALUE"""),"-")</f>
        <v>-</v>
      </c>
      <c r="E93" t="str">
        <f>IFERROR(__xludf.DUMMYFUNCTION("""COMPUTED_VALUE"""),"-")</f>
        <v>-</v>
      </c>
      <c r="F93" t="str">
        <f>IFERROR(__xludf.DUMMYFUNCTION("""COMPUTED_VALUE"""),"-")</f>
        <v>-</v>
      </c>
      <c r="G93" t="str">
        <f>IFERROR(__xludf.DUMMYFUNCTION("""COMPUTED_VALUE"""),"-")</f>
        <v>-</v>
      </c>
      <c r="H93" t="str">
        <f>IFERROR(__xludf.DUMMYFUNCTION("""COMPUTED_VALUE"""),"-")</f>
        <v>-</v>
      </c>
      <c r="I93" t="str">
        <f>IFERROR(__xludf.DUMMYFUNCTION("""COMPUTED_VALUE"""),"-")</f>
        <v>-</v>
      </c>
      <c r="J93" t="str">
        <f>IFERROR(__xludf.DUMMYFUNCTION("""COMPUTED_VALUE"""),"-")</f>
        <v>-</v>
      </c>
      <c r="K93" t="str">
        <f>IFERROR(__xludf.DUMMYFUNCTION("""COMPUTED_VALUE"""),"-")</f>
        <v>-</v>
      </c>
      <c r="L93" t="str">
        <f>IFERROR(__xludf.DUMMYFUNCTION("""COMPUTED_VALUE"""),"-")</f>
        <v>-</v>
      </c>
      <c r="M93" t="str">
        <f>IFERROR(__xludf.DUMMYFUNCTION("""COMPUTED_VALUE"""),"-")</f>
        <v>-</v>
      </c>
      <c r="O93" t="str">
        <f>IFERROR(__xludf.DUMMYFUNCTION("""COMPUTED_VALUE"""),"#92")</f>
        <v>#92</v>
      </c>
      <c r="P93" t="str">
        <f>IFERROR(__xludf.DUMMYFUNCTION("""COMPUTED_VALUE"""),"Barbara Pompili")</f>
        <v>Barbara Pompili</v>
      </c>
      <c r="Q93">
        <f>IFERROR(__xludf.DUMMYFUNCTION("""COMPUTED_VALUE"""),98849.0)</f>
        <v>98849</v>
      </c>
      <c r="R93" t="str">
        <f>IFERROR(__xludf.DUMMYFUNCTION("""COMPUTED_VALUE"""),"-")</f>
        <v>-</v>
      </c>
      <c r="S93" t="str">
        <f>IFERROR(__xludf.DUMMYFUNCTION("""COMPUTED_VALUE"""),"-")</f>
        <v>-</v>
      </c>
      <c r="T93" t="str">
        <f>IFERROR(__xludf.DUMMYFUNCTION("""COMPUTED_VALUE"""),"-")</f>
        <v>-</v>
      </c>
      <c r="U93" t="str">
        <f>IFERROR(__xludf.DUMMYFUNCTION("""COMPUTED_VALUE"""),"-")</f>
        <v>-</v>
      </c>
      <c r="V93" t="str">
        <f>IFERROR(__xludf.DUMMYFUNCTION("""COMPUTED_VALUE"""),"-")</f>
        <v>-</v>
      </c>
      <c r="W93" t="str">
        <f>IFERROR(__xludf.DUMMYFUNCTION("""COMPUTED_VALUE"""),"-")</f>
        <v>-</v>
      </c>
      <c r="X93" t="str">
        <f>IFERROR(__xludf.DUMMYFUNCTION("""COMPUTED_VALUE"""),"-")</f>
        <v>-</v>
      </c>
      <c r="Y93" t="str">
        <f>IFERROR(__xludf.DUMMYFUNCTION("""COMPUTED_VALUE"""),"-")</f>
        <v>-</v>
      </c>
      <c r="Z93" t="str">
        <f>IFERROR(__xludf.DUMMYFUNCTION("""COMPUTED_VALUE"""),"-")</f>
        <v>-</v>
      </c>
      <c r="AA93" t="str">
        <f>IFERROR(__xludf.DUMMYFUNCTION("""COMPUTED_VALUE"""),"-")</f>
        <v>-</v>
      </c>
    </row>
    <row r="94">
      <c r="A94" t="str">
        <f>IFERROR(__xludf.DUMMYFUNCTION("""COMPUTED_VALUE"""),"#93")</f>
        <v>#93</v>
      </c>
      <c r="B94" t="str">
        <f>IFERROR(__xludf.DUMMYFUNCTION("""COMPUTED_VALUE"""),"Guillaume Peltier")</f>
        <v>Guillaume Peltier</v>
      </c>
      <c r="C94">
        <f>IFERROR(__xludf.DUMMYFUNCTION("""COMPUTED_VALUE"""),97860.0)</f>
        <v>97860</v>
      </c>
      <c r="D94" t="str">
        <f>IFERROR(__xludf.DUMMYFUNCTION("""COMPUTED_VALUE"""),"-")</f>
        <v>-</v>
      </c>
      <c r="E94" t="str">
        <f>IFERROR(__xludf.DUMMYFUNCTION("""COMPUTED_VALUE"""),"-")</f>
        <v>-</v>
      </c>
      <c r="F94" t="str">
        <f>IFERROR(__xludf.DUMMYFUNCTION("""COMPUTED_VALUE"""),"-")</f>
        <v>-</v>
      </c>
      <c r="G94" t="str">
        <f>IFERROR(__xludf.DUMMYFUNCTION("""COMPUTED_VALUE"""),"-")</f>
        <v>-</v>
      </c>
      <c r="H94" t="str">
        <f>IFERROR(__xludf.DUMMYFUNCTION("""COMPUTED_VALUE"""),"-")</f>
        <v>-</v>
      </c>
      <c r="I94" t="str">
        <f>IFERROR(__xludf.DUMMYFUNCTION("""COMPUTED_VALUE"""),"-")</f>
        <v>-</v>
      </c>
      <c r="J94" t="str">
        <f>IFERROR(__xludf.DUMMYFUNCTION("""COMPUTED_VALUE"""),"-")</f>
        <v>-</v>
      </c>
      <c r="K94" t="str">
        <f>IFERROR(__xludf.DUMMYFUNCTION("""COMPUTED_VALUE"""),"-")</f>
        <v>-</v>
      </c>
      <c r="L94" t="str">
        <f>IFERROR(__xludf.DUMMYFUNCTION("""COMPUTED_VALUE"""),"-")</f>
        <v>-</v>
      </c>
      <c r="M94" t="str">
        <f>IFERROR(__xludf.DUMMYFUNCTION("""COMPUTED_VALUE"""),"-")</f>
        <v>-</v>
      </c>
      <c r="O94" t="str">
        <f>IFERROR(__xludf.DUMMYFUNCTION("""COMPUTED_VALUE"""),"#93")</f>
        <v>#93</v>
      </c>
      <c r="P94" t="str">
        <f>IFERROR(__xludf.DUMMYFUNCTION("""COMPUTED_VALUE"""),"Guillaume Peltier")</f>
        <v>Guillaume Peltier</v>
      </c>
      <c r="Q94">
        <f>IFERROR(__xludf.DUMMYFUNCTION("""COMPUTED_VALUE"""),97860.0)</f>
        <v>97860</v>
      </c>
      <c r="R94" t="str">
        <f>IFERROR(__xludf.DUMMYFUNCTION("""COMPUTED_VALUE"""),"-")</f>
        <v>-</v>
      </c>
      <c r="S94" t="str">
        <f>IFERROR(__xludf.DUMMYFUNCTION("""COMPUTED_VALUE"""),"-")</f>
        <v>-</v>
      </c>
      <c r="T94" t="str">
        <f>IFERROR(__xludf.DUMMYFUNCTION("""COMPUTED_VALUE"""),"-")</f>
        <v>-</v>
      </c>
      <c r="U94" t="str">
        <f>IFERROR(__xludf.DUMMYFUNCTION("""COMPUTED_VALUE"""),"-")</f>
        <v>-</v>
      </c>
      <c r="V94" t="str">
        <f>IFERROR(__xludf.DUMMYFUNCTION("""COMPUTED_VALUE"""),"-")</f>
        <v>-</v>
      </c>
      <c r="W94" t="str">
        <f>IFERROR(__xludf.DUMMYFUNCTION("""COMPUTED_VALUE"""),"-")</f>
        <v>-</v>
      </c>
      <c r="X94" t="str">
        <f>IFERROR(__xludf.DUMMYFUNCTION("""COMPUTED_VALUE"""),"-")</f>
        <v>-</v>
      </c>
      <c r="Y94" t="str">
        <f>IFERROR(__xludf.DUMMYFUNCTION("""COMPUTED_VALUE"""),"-")</f>
        <v>-</v>
      </c>
      <c r="Z94" t="str">
        <f>IFERROR(__xludf.DUMMYFUNCTION("""COMPUTED_VALUE"""),"-")</f>
        <v>-</v>
      </c>
      <c r="AA94" t="str">
        <f>IFERROR(__xludf.DUMMYFUNCTION("""COMPUTED_VALUE"""),"-")</f>
        <v>-</v>
      </c>
    </row>
    <row r="95">
      <c r="A95" t="str">
        <f>IFERROR(__xludf.DUMMYFUNCTION("""COMPUTED_VALUE"""),"#94")</f>
        <v>#94</v>
      </c>
      <c r="B95" t="str">
        <f>IFERROR(__xludf.DUMMYFUNCTION("""COMPUTED_VALUE"""),"Hervé Morin")</f>
        <v>Hervé Morin</v>
      </c>
      <c r="C95">
        <f>IFERROR(__xludf.DUMMYFUNCTION("""COMPUTED_VALUE"""),97634.0)</f>
        <v>97634</v>
      </c>
      <c r="D95" t="str">
        <f>IFERROR(__xludf.DUMMYFUNCTION("""COMPUTED_VALUE"""),"-")</f>
        <v>-</v>
      </c>
      <c r="E95" t="str">
        <f>IFERROR(__xludf.DUMMYFUNCTION("""COMPUTED_VALUE"""),"-")</f>
        <v>-</v>
      </c>
      <c r="F95" t="str">
        <f>IFERROR(__xludf.DUMMYFUNCTION("""COMPUTED_VALUE"""),"-")</f>
        <v>-</v>
      </c>
      <c r="G95" t="str">
        <f>IFERROR(__xludf.DUMMYFUNCTION("""COMPUTED_VALUE"""),"-")</f>
        <v>-</v>
      </c>
      <c r="H95" t="str">
        <f>IFERROR(__xludf.DUMMYFUNCTION("""COMPUTED_VALUE"""),"-")</f>
        <v>-</v>
      </c>
      <c r="I95" t="str">
        <f>IFERROR(__xludf.DUMMYFUNCTION("""COMPUTED_VALUE"""),"-")</f>
        <v>-</v>
      </c>
      <c r="J95" t="str">
        <f>IFERROR(__xludf.DUMMYFUNCTION("""COMPUTED_VALUE"""),"-")</f>
        <v>-</v>
      </c>
      <c r="K95" t="str">
        <f>IFERROR(__xludf.DUMMYFUNCTION("""COMPUTED_VALUE"""),"-")</f>
        <v>-</v>
      </c>
      <c r="L95" t="str">
        <f>IFERROR(__xludf.DUMMYFUNCTION("""COMPUTED_VALUE"""),"-")</f>
        <v>-</v>
      </c>
      <c r="M95" t="str">
        <f>IFERROR(__xludf.DUMMYFUNCTION("""COMPUTED_VALUE"""),"-")</f>
        <v>-</v>
      </c>
      <c r="O95" t="str">
        <f>IFERROR(__xludf.DUMMYFUNCTION("""COMPUTED_VALUE"""),"#94")</f>
        <v>#94</v>
      </c>
      <c r="P95" t="str">
        <f>IFERROR(__xludf.DUMMYFUNCTION("""COMPUTED_VALUE"""),"Hervé Morin")</f>
        <v>Hervé Morin</v>
      </c>
      <c r="Q95">
        <f>IFERROR(__xludf.DUMMYFUNCTION("""COMPUTED_VALUE"""),97634.0)</f>
        <v>97634</v>
      </c>
      <c r="R95" t="str">
        <f>IFERROR(__xludf.DUMMYFUNCTION("""COMPUTED_VALUE"""),"-")</f>
        <v>-</v>
      </c>
      <c r="S95" t="str">
        <f>IFERROR(__xludf.DUMMYFUNCTION("""COMPUTED_VALUE"""),"-")</f>
        <v>-</v>
      </c>
      <c r="T95" t="str">
        <f>IFERROR(__xludf.DUMMYFUNCTION("""COMPUTED_VALUE"""),"-")</f>
        <v>-</v>
      </c>
      <c r="U95" t="str">
        <f>IFERROR(__xludf.DUMMYFUNCTION("""COMPUTED_VALUE"""),"-")</f>
        <v>-</v>
      </c>
      <c r="V95" t="str">
        <f>IFERROR(__xludf.DUMMYFUNCTION("""COMPUTED_VALUE"""),"-")</f>
        <v>-</v>
      </c>
      <c r="W95" t="str">
        <f>IFERROR(__xludf.DUMMYFUNCTION("""COMPUTED_VALUE"""),"-")</f>
        <v>-</v>
      </c>
      <c r="X95" t="str">
        <f>IFERROR(__xludf.DUMMYFUNCTION("""COMPUTED_VALUE"""),"-")</f>
        <v>-</v>
      </c>
      <c r="Y95" t="str">
        <f>IFERROR(__xludf.DUMMYFUNCTION("""COMPUTED_VALUE"""),"-")</f>
        <v>-</v>
      </c>
      <c r="Z95" t="str">
        <f>IFERROR(__xludf.DUMMYFUNCTION("""COMPUTED_VALUE"""),"-")</f>
        <v>-</v>
      </c>
      <c r="AA95" t="str">
        <f>IFERROR(__xludf.DUMMYFUNCTION("""COMPUTED_VALUE"""),"-")</f>
        <v>-</v>
      </c>
    </row>
    <row r="96">
      <c r="A96" t="str">
        <f>IFERROR(__xludf.DUMMYFUNCTION("""COMPUTED_VALUE"""),"#95")</f>
        <v>#95</v>
      </c>
      <c r="B96" t="str">
        <f>IFERROR(__xludf.DUMMYFUNCTION("""COMPUTED_VALUE"""),"Muriel Pénicaud")</f>
        <v>Muriel Pénicaud</v>
      </c>
      <c r="C96">
        <f>IFERROR(__xludf.DUMMYFUNCTION("""COMPUTED_VALUE"""),97015.0)</f>
        <v>97015</v>
      </c>
      <c r="D96" t="str">
        <f>IFERROR(__xludf.DUMMYFUNCTION("""COMPUTED_VALUE"""),"-")</f>
        <v>-</v>
      </c>
      <c r="E96" t="str">
        <f>IFERROR(__xludf.DUMMYFUNCTION("""COMPUTED_VALUE"""),"-")</f>
        <v>-</v>
      </c>
      <c r="F96" t="str">
        <f>IFERROR(__xludf.DUMMYFUNCTION("""COMPUTED_VALUE"""),"-")</f>
        <v>-</v>
      </c>
      <c r="G96" t="str">
        <f>IFERROR(__xludf.DUMMYFUNCTION("""COMPUTED_VALUE"""),"-")</f>
        <v>-</v>
      </c>
      <c r="H96" t="str">
        <f>IFERROR(__xludf.DUMMYFUNCTION("""COMPUTED_VALUE"""),"-")</f>
        <v>-</v>
      </c>
      <c r="I96" t="str">
        <f>IFERROR(__xludf.DUMMYFUNCTION("""COMPUTED_VALUE"""),"-")</f>
        <v>-</v>
      </c>
      <c r="J96" t="str">
        <f>IFERROR(__xludf.DUMMYFUNCTION("""COMPUTED_VALUE"""),"-")</f>
        <v>-</v>
      </c>
      <c r="K96" t="str">
        <f>IFERROR(__xludf.DUMMYFUNCTION("""COMPUTED_VALUE"""),"-")</f>
        <v>-</v>
      </c>
      <c r="L96" t="str">
        <f>IFERROR(__xludf.DUMMYFUNCTION("""COMPUTED_VALUE"""),"-")</f>
        <v>-</v>
      </c>
      <c r="M96" t="str">
        <f>IFERROR(__xludf.DUMMYFUNCTION("""COMPUTED_VALUE"""),"-")</f>
        <v>-</v>
      </c>
      <c r="O96" t="str">
        <f>IFERROR(__xludf.DUMMYFUNCTION("""COMPUTED_VALUE"""),"#95")</f>
        <v>#95</v>
      </c>
      <c r="P96" t="str">
        <f>IFERROR(__xludf.DUMMYFUNCTION("""COMPUTED_VALUE"""),"Muriel Pénicaud")</f>
        <v>Muriel Pénicaud</v>
      </c>
      <c r="Q96">
        <f>IFERROR(__xludf.DUMMYFUNCTION("""COMPUTED_VALUE"""),97015.0)</f>
        <v>97015</v>
      </c>
      <c r="R96" t="str">
        <f>IFERROR(__xludf.DUMMYFUNCTION("""COMPUTED_VALUE"""),"-")</f>
        <v>-</v>
      </c>
      <c r="S96" t="str">
        <f>IFERROR(__xludf.DUMMYFUNCTION("""COMPUTED_VALUE"""),"-")</f>
        <v>-</v>
      </c>
      <c r="T96" t="str">
        <f>IFERROR(__xludf.DUMMYFUNCTION("""COMPUTED_VALUE"""),"-")</f>
        <v>-</v>
      </c>
      <c r="U96" t="str">
        <f>IFERROR(__xludf.DUMMYFUNCTION("""COMPUTED_VALUE"""),"-")</f>
        <v>-</v>
      </c>
      <c r="V96" t="str">
        <f>IFERROR(__xludf.DUMMYFUNCTION("""COMPUTED_VALUE"""),"-")</f>
        <v>-</v>
      </c>
      <c r="W96" t="str">
        <f>IFERROR(__xludf.DUMMYFUNCTION("""COMPUTED_VALUE"""),"-")</f>
        <v>-</v>
      </c>
      <c r="X96" t="str">
        <f>IFERROR(__xludf.DUMMYFUNCTION("""COMPUTED_VALUE"""),"-")</f>
        <v>-</v>
      </c>
      <c r="Y96" t="str">
        <f>IFERROR(__xludf.DUMMYFUNCTION("""COMPUTED_VALUE"""),"-")</f>
        <v>-</v>
      </c>
      <c r="Z96" t="str">
        <f>IFERROR(__xludf.DUMMYFUNCTION("""COMPUTED_VALUE"""),"-")</f>
        <v>-</v>
      </c>
      <c r="AA96" t="str">
        <f>IFERROR(__xludf.DUMMYFUNCTION("""COMPUTED_VALUE"""),"-")</f>
        <v>-</v>
      </c>
    </row>
    <row r="97">
      <c r="A97" t="str">
        <f>IFERROR(__xludf.DUMMYFUNCTION("""COMPUTED_VALUE"""),"#96")</f>
        <v>#96</v>
      </c>
      <c r="B97" t="str">
        <f>IFERROR(__xludf.DUMMYFUNCTION("""COMPUTED_VALUE"""),"Brune Poirson")</f>
        <v>Brune Poirson</v>
      </c>
      <c r="C97">
        <f>IFERROR(__xludf.DUMMYFUNCTION("""COMPUTED_VALUE"""),96632.0)</f>
        <v>96632</v>
      </c>
      <c r="D97" t="str">
        <f>IFERROR(__xludf.DUMMYFUNCTION("""COMPUTED_VALUE"""),"-")</f>
        <v>-</v>
      </c>
      <c r="E97" t="str">
        <f>IFERROR(__xludf.DUMMYFUNCTION("""COMPUTED_VALUE"""),"-")</f>
        <v>-</v>
      </c>
      <c r="F97" t="str">
        <f>IFERROR(__xludf.DUMMYFUNCTION("""COMPUTED_VALUE"""),"-")</f>
        <v>-</v>
      </c>
      <c r="G97" t="str">
        <f>IFERROR(__xludf.DUMMYFUNCTION("""COMPUTED_VALUE"""),"-")</f>
        <v>-</v>
      </c>
      <c r="H97" t="str">
        <f>IFERROR(__xludf.DUMMYFUNCTION("""COMPUTED_VALUE"""),"-")</f>
        <v>-</v>
      </c>
      <c r="I97" t="str">
        <f>IFERROR(__xludf.DUMMYFUNCTION("""COMPUTED_VALUE"""),"-")</f>
        <v>-</v>
      </c>
      <c r="J97" t="str">
        <f>IFERROR(__xludf.DUMMYFUNCTION("""COMPUTED_VALUE"""),"-")</f>
        <v>-</v>
      </c>
      <c r="K97" t="str">
        <f>IFERROR(__xludf.DUMMYFUNCTION("""COMPUTED_VALUE"""),"-")</f>
        <v>-</v>
      </c>
      <c r="L97" t="str">
        <f>IFERROR(__xludf.DUMMYFUNCTION("""COMPUTED_VALUE"""),"-")</f>
        <v>-</v>
      </c>
      <c r="M97" t="str">
        <f>IFERROR(__xludf.DUMMYFUNCTION("""COMPUTED_VALUE"""),"-")</f>
        <v>-</v>
      </c>
      <c r="O97" t="str">
        <f>IFERROR(__xludf.DUMMYFUNCTION("""COMPUTED_VALUE"""),"#96")</f>
        <v>#96</v>
      </c>
      <c r="P97" t="str">
        <f>IFERROR(__xludf.DUMMYFUNCTION("""COMPUTED_VALUE"""),"Brune Poirson")</f>
        <v>Brune Poirson</v>
      </c>
      <c r="Q97">
        <f>IFERROR(__xludf.DUMMYFUNCTION("""COMPUTED_VALUE"""),96632.0)</f>
        <v>96632</v>
      </c>
      <c r="R97" t="str">
        <f>IFERROR(__xludf.DUMMYFUNCTION("""COMPUTED_VALUE"""),"-")</f>
        <v>-</v>
      </c>
      <c r="S97" t="str">
        <f>IFERROR(__xludf.DUMMYFUNCTION("""COMPUTED_VALUE"""),"-")</f>
        <v>-</v>
      </c>
      <c r="T97" t="str">
        <f>IFERROR(__xludf.DUMMYFUNCTION("""COMPUTED_VALUE"""),"-")</f>
        <v>-</v>
      </c>
      <c r="U97" t="str">
        <f>IFERROR(__xludf.DUMMYFUNCTION("""COMPUTED_VALUE"""),"-")</f>
        <v>-</v>
      </c>
      <c r="V97" t="str">
        <f>IFERROR(__xludf.DUMMYFUNCTION("""COMPUTED_VALUE"""),"-")</f>
        <v>-</v>
      </c>
      <c r="W97" t="str">
        <f>IFERROR(__xludf.DUMMYFUNCTION("""COMPUTED_VALUE"""),"-")</f>
        <v>-</v>
      </c>
      <c r="X97" t="str">
        <f>IFERROR(__xludf.DUMMYFUNCTION("""COMPUTED_VALUE"""),"-")</f>
        <v>-</v>
      </c>
      <c r="Y97" t="str">
        <f>IFERROR(__xludf.DUMMYFUNCTION("""COMPUTED_VALUE"""),"-")</f>
        <v>-</v>
      </c>
      <c r="Z97" t="str">
        <f>IFERROR(__xludf.DUMMYFUNCTION("""COMPUTED_VALUE"""),"-")</f>
        <v>-</v>
      </c>
      <c r="AA97" t="str">
        <f>IFERROR(__xludf.DUMMYFUNCTION("""COMPUTED_VALUE"""),"-")</f>
        <v>-</v>
      </c>
    </row>
    <row r="98">
      <c r="A98" t="str">
        <f>IFERROR(__xludf.DUMMYFUNCTION("""COMPUTED_VALUE"""),"#97")</f>
        <v>#97</v>
      </c>
      <c r="B98" t="str">
        <f>IFERROR(__xludf.DUMMYFUNCTION("""COMPUTED_VALUE"""),"Raquel Garrido")</f>
        <v>Raquel Garrido</v>
      </c>
      <c r="C98">
        <f>IFERROR(__xludf.DUMMYFUNCTION("""COMPUTED_VALUE"""),96601.0)</f>
        <v>96601</v>
      </c>
      <c r="D98" t="str">
        <f>IFERROR(__xludf.DUMMYFUNCTION("""COMPUTED_VALUE"""),"-")</f>
        <v>-</v>
      </c>
      <c r="E98" t="str">
        <f>IFERROR(__xludf.DUMMYFUNCTION("""COMPUTED_VALUE"""),"-")</f>
        <v>-</v>
      </c>
      <c r="F98" t="str">
        <f>IFERROR(__xludf.DUMMYFUNCTION("""COMPUTED_VALUE"""),"-")</f>
        <v>-</v>
      </c>
      <c r="G98" t="str">
        <f>IFERROR(__xludf.DUMMYFUNCTION("""COMPUTED_VALUE"""),"-")</f>
        <v>-</v>
      </c>
      <c r="H98" t="str">
        <f>IFERROR(__xludf.DUMMYFUNCTION("""COMPUTED_VALUE"""),"-")</f>
        <v>-</v>
      </c>
      <c r="I98" t="str">
        <f>IFERROR(__xludf.DUMMYFUNCTION("""COMPUTED_VALUE"""),"-")</f>
        <v>-</v>
      </c>
      <c r="J98" t="str">
        <f>IFERROR(__xludf.DUMMYFUNCTION("""COMPUTED_VALUE"""),"-")</f>
        <v>-</v>
      </c>
      <c r="K98" t="str">
        <f>IFERROR(__xludf.DUMMYFUNCTION("""COMPUTED_VALUE"""),"-")</f>
        <v>-</v>
      </c>
      <c r="L98" t="str">
        <f>IFERROR(__xludf.DUMMYFUNCTION("""COMPUTED_VALUE"""),"-")</f>
        <v>-</v>
      </c>
      <c r="M98" t="str">
        <f>IFERROR(__xludf.DUMMYFUNCTION("""COMPUTED_VALUE"""),"-")</f>
        <v>-</v>
      </c>
      <c r="O98" t="str">
        <f>IFERROR(__xludf.DUMMYFUNCTION("""COMPUTED_VALUE"""),"#97")</f>
        <v>#97</v>
      </c>
      <c r="P98" t="str">
        <f>IFERROR(__xludf.DUMMYFUNCTION("""COMPUTED_VALUE"""),"Raquel Garrido")</f>
        <v>Raquel Garrido</v>
      </c>
      <c r="Q98">
        <f>IFERROR(__xludf.DUMMYFUNCTION("""COMPUTED_VALUE"""),96601.0)</f>
        <v>96601</v>
      </c>
      <c r="R98" t="str">
        <f>IFERROR(__xludf.DUMMYFUNCTION("""COMPUTED_VALUE"""),"-")</f>
        <v>-</v>
      </c>
      <c r="S98" t="str">
        <f>IFERROR(__xludf.DUMMYFUNCTION("""COMPUTED_VALUE"""),"-")</f>
        <v>-</v>
      </c>
      <c r="T98" t="str">
        <f>IFERROR(__xludf.DUMMYFUNCTION("""COMPUTED_VALUE"""),"-")</f>
        <v>-</v>
      </c>
      <c r="U98" t="str">
        <f>IFERROR(__xludf.DUMMYFUNCTION("""COMPUTED_VALUE"""),"-")</f>
        <v>-</v>
      </c>
      <c r="V98" t="str">
        <f>IFERROR(__xludf.DUMMYFUNCTION("""COMPUTED_VALUE"""),"-")</f>
        <v>-</v>
      </c>
      <c r="W98" t="str">
        <f>IFERROR(__xludf.DUMMYFUNCTION("""COMPUTED_VALUE"""),"-")</f>
        <v>-</v>
      </c>
      <c r="X98" t="str">
        <f>IFERROR(__xludf.DUMMYFUNCTION("""COMPUTED_VALUE"""),"-")</f>
        <v>-</v>
      </c>
      <c r="Y98" t="str">
        <f>IFERROR(__xludf.DUMMYFUNCTION("""COMPUTED_VALUE"""),"-")</f>
        <v>-</v>
      </c>
      <c r="Z98" t="str">
        <f>IFERROR(__xludf.DUMMYFUNCTION("""COMPUTED_VALUE"""),"-")</f>
        <v>-</v>
      </c>
      <c r="AA98" t="str">
        <f>IFERROR(__xludf.DUMMYFUNCTION("""COMPUTED_VALUE"""),"-")</f>
        <v>-</v>
      </c>
    </row>
    <row r="99">
      <c r="A99" t="str">
        <f>IFERROR(__xludf.DUMMYFUNCTION("""COMPUTED_VALUE"""),"#98")</f>
        <v>#98</v>
      </c>
      <c r="B99" t="str">
        <f>IFERROR(__xludf.DUMMYFUNCTION("""COMPUTED_VALUE"""),"Jean-Vincent Placé")</f>
        <v>Jean-Vincent Placé</v>
      </c>
      <c r="C99">
        <f>IFERROR(__xludf.DUMMYFUNCTION("""COMPUTED_VALUE"""),96101.0)</f>
        <v>96101</v>
      </c>
      <c r="D99" t="str">
        <f>IFERROR(__xludf.DUMMYFUNCTION("""COMPUTED_VALUE"""),"-")</f>
        <v>-</v>
      </c>
      <c r="E99" t="str">
        <f>IFERROR(__xludf.DUMMYFUNCTION("""COMPUTED_VALUE"""),"-")</f>
        <v>-</v>
      </c>
      <c r="F99" t="str">
        <f>IFERROR(__xludf.DUMMYFUNCTION("""COMPUTED_VALUE"""),"-")</f>
        <v>-</v>
      </c>
      <c r="G99" t="str">
        <f>IFERROR(__xludf.DUMMYFUNCTION("""COMPUTED_VALUE"""),"-")</f>
        <v>-</v>
      </c>
      <c r="H99" t="str">
        <f>IFERROR(__xludf.DUMMYFUNCTION("""COMPUTED_VALUE"""),"-")</f>
        <v>-</v>
      </c>
      <c r="I99" t="str">
        <f>IFERROR(__xludf.DUMMYFUNCTION("""COMPUTED_VALUE"""),"-")</f>
        <v>-</v>
      </c>
      <c r="J99" t="str">
        <f>IFERROR(__xludf.DUMMYFUNCTION("""COMPUTED_VALUE"""),"-")</f>
        <v>-</v>
      </c>
      <c r="K99" t="str">
        <f>IFERROR(__xludf.DUMMYFUNCTION("""COMPUTED_VALUE"""),"-")</f>
        <v>-</v>
      </c>
      <c r="L99" t="str">
        <f>IFERROR(__xludf.DUMMYFUNCTION("""COMPUTED_VALUE"""),"-")</f>
        <v>-</v>
      </c>
      <c r="M99" t="str">
        <f>IFERROR(__xludf.DUMMYFUNCTION("""COMPUTED_VALUE"""),"-")</f>
        <v>-</v>
      </c>
      <c r="O99" t="str">
        <f>IFERROR(__xludf.DUMMYFUNCTION("""COMPUTED_VALUE"""),"#98")</f>
        <v>#98</v>
      </c>
      <c r="P99" t="str">
        <f>IFERROR(__xludf.DUMMYFUNCTION("""COMPUTED_VALUE"""),"Jean-Vincent Placé")</f>
        <v>Jean-Vincent Placé</v>
      </c>
      <c r="Q99">
        <f>IFERROR(__xludf.DUMMYFUNCTION("""COMPUTED_VALUE"""),96101.0)</f>
        <v>96101</v>
      </c>
      <c r="R99" t="str">
        <f>IFERROR(__xludf.DUMMYFUNCTION("""COMPUTED_VALUE"""),"-")</f>
        <v>-</v>
      </c>
      <c r="S99" t="str">
        <f>IFERROR(__xludf.DUMMYFUNCTION("""COMPUTED_VALUE"""),"-")</f>
        <v>-</v>
      </c>
      <c r="T99" t="str">
        <f>IFERROR(__xludf.DUMMYFUNCTION("""COMPUTED_VALUE"""),"-")</f>
        <v>-</v>
      </c>
      <c r="U99" t="str">
        <f>IFERROR(__xludf.DUMMYFUNCTION("""COMPUTED_VALUE"""),"-")</f>
        <v>-</v>
      </c>
      <c r="V99" t="str">
        <f>IFERROR(__xludf.DUMMYFUNCTION("""COMPUTED_VALUE"""),"-")</f>
        <v>-</v>
      </c>
      <c r="W99" t="str">
        <f>IFERROR(__xludf.DUMMYFUNCTION("""COMPUTED_VALUE"""),"-")</f>
        <v>-</v>
      </c>
      <c r="X99" t="str">
        <f>IFERROR(__xludf.DUMMYFUNCTION("""COMPUTED_VALUE"""),"-")</f>
        <v>-</v>
      </c>
      <c r="Y99" t="str">
        <f>IFERROR(__xludf.DUMMYFUNCTION("""COMPUTED_VALUE"""),"-")</f>
        <v>-</v>
      </c>
      <c r="Z99" t="str">
        <f>IFERROR(__xludf.DUMMYFUNCTION("""COMPUTED_VALUE"""),"-")</f>
        <v>-</v>
      </c>
      <c r="AA99" t="str">
        <f>IFERROR(__xludf.DUMMYFUNCTION("""COMPUTED_VALUE"""),"-")</f>
        <v>-</v>
      </c>
    </row>
    <row r="100">
      <c r="A100" t="str">
        <f>IFERROR(__xludf.DUMMYFUNCTION("""COMPUTED_VALUE"""),"#99")</f>
        <v>#99</v>
      </c>
      <c r="B100" t="str">
        <f>IFERROR(__xludf.DUMMYFUNCTION("""COMPUTED_VALUE"""),"Aurore Bergé")</f>
        <v>Aurore Bergé</v>
      </c>
      <c r="C100">
        <f>IFERROR(__xludf.DUMMYFUNCTION("""COMPUTED_VALUE"""),94689.0)</f>
        <v>94689</v>
      </c>
      <c r="D100" t="str">
        <f>IFERROR(__xludf.DUMMYFUNCTION("""COMPUTED_VALUE"""),"-")</f>
        <v>-</v>
      </c>
      <c r="E100" t="str">
        <f>IFERROR(__xludf.DUMMYFUNCTION("""COMPUTED_VALUE"""),"-")</f>
        <v>-</v>
      </c>
      <c r="F100" t="str">
        <f>IFERROR(__xludf.DUMMYFUNCTION("""COMPUTED_VALUE"""),"-")</f>
        <v>-</v>
      </c>
      <c r="G100" t="str">
        <f>IFERROR(__xludf.DUMMYFUNCTION("""COMPUTED_VALUE"""),"-")</f>
        <v>-</v>
      </c>
      <c r="H100" t="str">
        <f>IFERROR(__xludf.DUMMYFUNCTION("""COMPUTED_VALUE"""),"-")</f>
        <v>-</v>
      </c>
      <c r="I100" t="str">
        <f>IFERROR(__xludf.DUMMYFUNCTION("""COMPUTED_VALUE"""),"-")</f>
        <v>-</v>
      </c>
      <c r="J100" t="str">
        <f>IFERROR(__xludf.DUMMYFUNCTION("""COMPUTED_VALUE"""),"-")</f>
        <v>-</v>
      </c>
      <c r="K100" t="str">
        <f>IFERROR(__xludf.DUMMYFUNCTION("""COMPUTED_VALUE"""),"-")</f>
        <v>-</v>
      </c>
      <c r="L100" t="str">
        <f>IFERROR(__xludf.DUMMYFUNCTION("""COMPUTED_VALUE"""),"-")</f>
        <v>-</v>
      </c>
      <c r="M100" t="str">
        <f>IFERROR(__xludf.DUMMYFUNCTION("""COMPUTED_VALUE"""),"-")</f>
        <v>-</v>
      </c>
      <c r="O100" t="str">
        <f>IFERROR(__xludf.DUMMYFUNCTION("""COMPUTED_VALUE"""),"#99")</f>
        <v>#99</v>
      </c>
      <c r="P100" t="str">
        <f>IFERROR(__xludf.DUMMYFUNCTION("""COMPUTED_VALUE"""),"Aurore Bergé")</f>
        <v>Aurore Bergé</v>
      </c>
      <c r="Q100">
        <f>IFERROR(__xludf.DUMMYFUNCTION("""COMPUTED_VALUE"""),94689.0)</f>
        <v>94689</v>
      </c>
      <c r="R100" t="str">
        <f>IFERROR(__xludf.DUMMYFUNCTION("""COMPUTED_VALUE"""),"-")</f>
        <v>-</v>
      </c>
      <c r="S100" t="str">
        <f>IFERROR(__xludf.DUMMYFUNCTION("""COMPUTED_VALUE"""),"-")</f>
        <v>-</v>
      </c>
      <c r="T100" t="str">
        <f>IFERROR(__xludf.DUMMYFUNCTION("""COMPUTED_VALUE"""),"-")</f>
        <v>-</v>
      </c>
      <c r="U100" t="str">
        <f>IFERROR(__xludf.DUMMYFUNCTION("""COMPUTED_VALUE"""),"-")</f>
        <v>-</v>
      </c>
      <c r="V100" t="str">
        <f>IFERROR(__xludf.DUMMYFUNCTION("""COMPUTED_VALUE"""),"-")</f>
        <v>-</v>
      </c>
      <c r="W100" t="str">
        <f>IFERROR(__xludf.DUMMYFUNCTION("""COMPUTED_VALUE"""),"-")</f>
        <v>-</v>
      </c>
      <c r="X100" t="str">
        <f>IFERROR(__xludf.DUMMYFUNCTION("""COMPUTED_VALUE"""),"-")</f>
        <v>-</v>
      </c>
      <c r="Y100" t="str">
        <f>IFERROR(__xludf.DUMMYFUNCTION("""COMPUTED_VALUE"""),"-")</f>
        <v>-</v>
      </c>
      <c r="Z100" t="str">
        <f>IFERROR(__xludf.DUMMYFUNCTION("""COMPUTED_VALUE"""),"-")</f>
        <v>-</v>
      </c>
      <c r="AA100" t="str">
        <f>IFERROR(__xludf.DUMMYFUNCTION("""COMPUTED_VALUE"""),"-")</f>
        <v>-</v>
      </c>
    </row>
    <row r="101">
      <c r="A101" t="str">
        <f>IFERROR(__xludf.DUMMYFUNCTION("""COMPUTED_VALUE"""),"#100")</f>
        <v>#100</v>
      </c>
      <c r="B101" t="str">
        <f>IFERROR(__xludf.DUMMYFUNCTION("""COMPUTED_VALUE"""),"Louis Aliot")</f>
        <v>Louis Aliot</v>
      </c>
      <c r="C101">
        <f>IFERROR(__xludf.DUMMYFUNCTION("""COMPUTED_VALUE"""),94520.0)</f>
        <v>94520</v>
      </c>
      <c r="D101" t="str">
        <f>IFERROR(__xludf.DUMMYFUNCTION("""COMPUTED_VALUE"""),"-")</f>
        <v>-</v>
      </c>
      <c r="E101" t="str">
        <f>IFERROR(__xludf.DUMMYFUNCTION("""COMPUTED_VALUE"""),"-")</f>
        <v>-</v>
      </c>
      <c r="F101" t="str">
        <f>IFERROR(__xludf.DUMMYFUNCTION("""COMPUTED_VALUE"""),"-")</f>
        <v>-</v>
      </c>
      <c r="G101" t="str">
        <f>IFERROR(__xludf.DUMMYFUNCTION("""COMPUTED_VALUE"""),"-")</f>
        <v>-</v>
      </c>
      <c r="H101" t="str">
        <f>IFERROR(__xludf.DUMMYFUNCTION("""COMPUTED_VALUE"""),"-")</f>
        <v>-</v>
      </c>
      <c r="I101" t="str">
        <f>IFERROR(__xludf.DUMMYFUNCTION("""COMPUTED_VALUE"""),"-")</f>
        <v>-</v>
      </c>
      <c r="J101" t="str">
        <f>IFERROR(__xludf.DUMMYFUNCTION("""COMPUTED_VALUE"""),"-")</f>
        <v>-</v>
      </c>
      <c r="K101" t="str">
        <f>IFERROR(__xludf.DUMMYFUNCTION("""COMPUTED_VALUE"""),"-")</f>
        <v>-</v>
      </c>
      <c r="L101" t="str">
        <f>IFERROR(__xludf.DUMMYFUNCTION("""COMPUTED_VALUE"""),"-")</f>
        <v>-</v>
      </c>
      <c r="M101" t="str">
        <f>IFERROR(__xludf.DUMMYFUNCTION("""COMPUTED_VALUE"""),"-")</f>
        <v>-</v>
      </c>
      <c r="O101" t="str">
        <f>IFERROR(__xludf.DUMMYFUNCTION("""COMPUTED_VALUE"""),"#100")</f>
        <v>#100</v>
      </c>
      <c r="P101" t="str">
        <f>IFERROR(__xludf.DUMMYFUNCTION("""COMPUTED_VALUE"""),"Louis Aliot")</f>
        <v>Louis Aliot</v>
      </c>
      <c r="Q101">
        <f>IFERROR(__xludf.DUMMYFUNCTION("""COMPUTED_VALUE"""),94520.0)</f>
        <v>94520</v>
      </c>
      <c r="R101" t="str">
        <f>IFERROR(__xludf.DUMMYFUNCTION("""COMPUTED_VALUE"""),"-")</f>
        <v>-</v>
      </c>
      <c r="S101" t="str">
        <f>IFERROR(__xludf.DUMMYFUNCTION("""COMPUTED_VALUE"""),"-")</f>
        <v>-</v>
      </c>
      <c r="T101" t="str">
        <f>IFERROR(__xludf.DUMMYFUNCTION("""COMPUTED_VALUE"""),"-")</f>
        <v>-</v>
      </c>
      <c r="U101" t="str">
        <f>IFERROR(__xludf.DUMMYFUNCTION("""COMPUTED_VALUE"""),"-")</f>
        <v>-</v>
      </c>
      <c r="V101" t="str">
        <f>IFERROR(__xludf.DUMMYFUNCTION("""COMPUTED_VALUE"""),"-")</f>
        <v>-</v>
      </c>
      <c r="W101" t="str">
        <f>IFERROR(__xludf.DUMMYFUNCTION("""COMPUTED_VALUE"""),"-")</f>
        <v>-</v>
      </c>
      <c r="X101" t="str">
        <f>IFERROR(__xludf.DUMMYFUNCTION("""COMPUTED_VALUE"""),"-")</f>
        <v>-</v>
      </c>
      <c r="Y101" t="str">
        <f>IFERROR(__xludf.DUMMYFUNCTION("""COMPUTED_VALUE"""),"-")</f>
        <v>-</v>
      </c>
      <c r="Z101" t="str">
        <f>IFERROR(__xludf.DUMMYFUNCTION("""COMPUTED_VALUE"""),"-")</f>
        <v>-</v>
      </c>
      <c r="AA101" t="str">
        <f>IFERROR(__xludf.DUMMYFUNCTION("""COMPUTED_VALUE"""),"-")</f>
        <v>-</v>
      </c>
    </row>
    <row r="102">
      <c r="A102" t="str">
        <f>IFERROR(__xludf.DUMMYFUNCTION("""COMPUTED_VALUE"""),"#101")</f>
        <v>#101</v>
      </c>
      <c r="B102" t="str">
        <f>IFERROR(__xludf.DUMMYFUNCTION("""COMPUTED_VALUE"""),"Ian Brossat")</f>
        <v>Ian Brossat</v>
      </c>
      <c r="C102">
        <f>IFERROR(__xludf.DUMMYFUNCTION("""COMPUTED_VALUE"""),94005.0)</f>
        <v>94005</v>
      </c>
      <c r="D102" t="str">
        <f>IFERROR(__xludf.DUMMYFUNCTION("""COMPUTED_VALUE"""),"-")</f>
        <v>-</v>
      </c>
      <c r="E102" t="str">
        <f>IFERROR(__xludf.DUMMYFUNCTION("""COMPUTED_VALUE"""),"-")</f>
        <v>-</v>
      </c>
      <c r="F102" t="str">
        <f>IFERROR(__xludf.DUMMYFUNCTION("""COMPUTED_VALUE"""),"-")</f>
        <v>-</v>
      </c>
      <c r="G102" t="str">
        <f>IFERROR(__xludf.DUMMYFUNCTION("""COMPUTED_VALUE"""),"-")</f>
        <v>-</v>
      </c>
      <c r="H102" t="str">
        <f>IFERROR(__xludf.DUMMYFUNCTION("""COMPUTED_VALUE"""),"-")</f>
        <v>-</v>
      </c>
      <c r="I102" t="str">
        <f>IFERROR(__xludf.DUMMYFUNCTION("""COMPUTED_VALUE"""),"-")</f>
        <v>-</v>
      </c>
      <c r="J102" t="str">
        <f>IFERROR(__xludf.DUMMYFUNCTION("""COMPUTED_VALUE"""),"-")</f>
        <v>-</v>
      </c>
      <c r="K102" t="str">
        <f>IFERROR(__xludf.DUMMYFUNCTION("""COMPUTED_VALUE"""),"-")</f>
        <v>-</v>
      </c>
      <c r="L102" t="str">
        <f>IFERROR(__xludf.DUMMYFUNCTION("""COMPUTED_VALUE"""),"-")</f>
        <v>-</v>
      </c>
      <c r="M102" t="str">
        <f>IFERROR(__xludf.DUMMYFUNCTION("""COMPUTED_VALUE"""),"-")</f>
        <v>-</v>
      </c>
      <c r="O102" t="str">
        <f>IFERROR(__xludf.DUMMYFUNCTION("""COMPUTED_VALUE"""),"#101")</f>
        <v>#101</v>
      </c>
      <c r="P102" t="str">
        <f>IFERROR(__xludf.DUMMYFUNCTION("""COMPUTED_VALUE"""),"Ian Brossat")</f>
        <v>Ian Brossat</v>
      </c>
      <c r="Q102">
        <f>IFERROR(__xludf.DUMMYFUNCTION("""COMPUTED_VALUE"""),94005.0)</f>
        <v>94005</v>
      </c>
      <c r="R102" t="str">
        <f>IFERROR(__xludf.DUMMYFUNCTION("""COMPUTED_VALUE"""),"-")</f>
        <v>-</v>
      </c>
      <c r="S102" t="str">
        <f>IFERROR(__xludf.DUMMYFUNCTION("""COMPUTED_VALUE"""),"-")</f>
        <v>-</v>
      </c>
      <c r="T102" t="str">
        <f>IFERROR(__xludf.DUMMYFUNCTION("""COMPUTED_VALUE"""),"-")</f>
        <v>-</v>
      </c>
      <c r="U102" t="str">
        <f>IFERROR(__xludf.DUMMYFUNCTION("""COMPUTED_VALUE"""),"-")</f>
        <v>-</v>
      </c>
      <c r="V102" t="str">
        <f>IFERROR(__xludf.DUMMYFUNCTION("""COMPUTED_VALUE"""),"-")</f>
        <v>-</v>
      </c>
      <c r="W102" t="str">
        <f>IFERROR(__xludf.DUMMYFUNCTION("""COMPUTED_VALUE"""),"-")</f>
        <v>-</v>
      </c>
      <c r="X102" t="str">
        <f>IFERROR(__xludf.DUMMYFUNCTION("""COMPUTED_VALUE"""),"-")</f>
        <v>-</v>
      </c>
      <c r="Y102" t="str">
        <f>IFERROR(__xludf.DUMMYFUNCTION("""COMPUTED_VALUE"""),"-")</f>
        <v>-</v>
      </c>
      <c r="Z102" t="str">
        <f>IFERROR(__xludf.DUMMYFUNCTION("""COMPUTED_VALUE"""),"-")</f>
        <v>-</v>
      </c>
      <c r="AA102" t="str">
        <f>IFERROR(__xludf.DUMMYFUNCTION("""COMPUTED_VALUE"""),"-")</f>
        <v>-</v>
      </c>
    </row>
    <row r="103">
      <c r="A103" t="str">
        <f>IFERROR(__xludf.DUMMYFUNCTION("""COMPUTED_VALUE"""),"#102")</f>
        <v>#102</v>
      </c>
      <c r="B103" t="str">
        <f>IFERROR(__xludf.DUMMYFUNCTION("""COMPUTED_VALUE"""),"Alexandre Jardin")</f>
        <v>Alexandre Jardin</v>
      </c>
      <c r="C103">
        <f>IFERROR(__xludf.DUMMYFUNCTION("""COMPUTED_VALUE"""),92199.0)</f>
        <v>92199</v>
      </c>
      <c r="D103" t="str">
        <f>IFERROR(__xludf.DUMMYFUNCTION("""COMPUTED_VALUE"""),"-")</f>
        <v>-</v>
      </c>
      <c r="E103" t="str">
        <f>IFERROR(__xludf.DUMMYFUNCTION("""COMPUTED_VALUE"""),"-")</f>
        <v>-</v>
      </c>
      <c r="F103" t="str">
        <f>IFERROR(__xludf.DUMMYFUNCTION("""COMPUTED_VALUE"""),"-")</f>
        <v>-</v>
      </c>
      <c r="G103" t="str">
        <f>IFERROR(__xludf.DUMMYFUNCTION("""COMPUTED_VALUE"""),"-")</f>
        <v>-</v>
      </c>
      <c r="H103" t="str">
        <f>IFERROR(__xludf.DUMMYFUNCTION("""COMPUTED_VALUE"""),"-")</f>
        <v>-</v>
      </c>
      <c r="I103" t="str">
        <f>IFERROR(__xludf.DUMMYFUNCTION("""COMPUTED_VALUE"""),"-")</f>
        <v>-</v>
      </c>
      <c r="J103" t="str">
        <f>IFERROR(__xludf.DUMMYFUNCTION("""COMPUTED_VALUE"""),"-")</f>
        <v>-</v>
      </c>
      <c r="K103" t="str">
        <f>IFERROR(__xludf.DUMMYFUNCTION("""COMPUTED_VALUE"""),"-")</f>
        <v>-</v>
      </c>
      <c r="L103" t="str">
        <f>IFERROR(__xludf.DUMMYFUNCTION("""COMPUTED_VALUE"""),"-")</f>
        <v>-</v>
      </c>
      <c r="M103" t="str">
        <f>IFERROR(__xludf.DUMMYFUNCTION("""COMPUTED_VALUE"""),"-")</f>
        <v>-</v>
      </c>
      <c r="O103" t="str">
        <f>IFERROR(__xludf.DUMMYFUNCTION("""COMPUTED_VALUE"""),"#102")</f>
        <v>#102</v>
      </c>
      <c r="P103" t="str">
        <f>IFERROR(__xludf.DUMMYFUNCTION("""COMPUTED_VALUE"""),"Alexandre Jardin")</f>
        <v>Alexandre Jardin</v>
      </c>
      <c r="Q103">
        <f>IFERROR(__xludf.DUMMYFUNCTION("""COMPUTED_VALUE"""),92199.0)</f>
        <v>92199</v>
      </c>
      <c r="R103" t="str">
        <f>IFERROR(__xludf.DUMMYFUNCTION("""COMPUTED_VALUE"""),"-")</f>
        <v>-</v>
      </c>
      <c r="S103" t="str">
        <f>IFERROR(__xludf.DUMMYFUNCTION("""COMPUTED_VALUE"""),"-")</f>
        <v>-</v>
      </c>
      <c r="T103" t="str">
        <f>IFERROR(__xludf.DUMMYFUNCTION("""COMPUTED_VALUE"""),"-")</f>
        <v>-</v>
      </c>
      <c r="U103" t="str">
        <f>IFERROR(__xludf.DUMMYFUNCTION("""COMPUTED_VALUE"""),"-")</f>
        <v>-</v>
      </c>
      <c r="V103" t="str">
        <f>IFERROR(__xludf.DUMMYFUNCTION("""COMPUTED_VALUE"""),"-")</f>
        <v>-</v>
      </c>
      <c r="W103" t="str">
        <f>IFERROR(__xludf.DUMMYFUNCTION("""COMPUTED_VALUE"""),"-")</f>
        <v>-</v>
      </c>
      <c r="X103" t="str">
        <f>IFERROR(__xludf.DUMMYFUNCTION("""COMPUTED_VALUE"""),"-")</f>
        <v>-</v>
      </c>
      <c r="Y103" t="str">
        <f>IFERROR(__xludf.DUMMYFUNCTION("""COMPUTED_VALUE"""),"-")</f>
        <v>-</v>
      </c>
      <c r="Z103" t="str">
        <f>IFERROR(__xludf.DUMMYFUNCTION("""COMPUTED_VALUE"""),"-")</f>
        <v>-</v>
      </c>
      <c r="AA103" t="str">
        <f>IFERROR(__xludf.DUMMYFUNCTION("""COMPUTED_VALUE"""),"-")</f>
        <v>-</v>
      </c>
    </row>
    <row r="104">
      <c r="A104" t="str">
        <f>IFERROR(__xludf.DUMMYFUNCTION("""COMPUTED_VALUE"""),"#103")</f>
        <v>#103</v>
      </c>
      <c r="B104" t="str">
        <f>IFERROR(__xludf.DUMMYFUNCTION("""COMPUTED_VALUE"""),"Sébastien Lecornu")</f>
        <v>Sébastien Lecornu</v>
      </c>
      <c r="C104">
        <f>IFERROR(__xludf.DUMMYFUNCTION("""COMPUTED_VALUE"""),90371.0)</f>
        <v>90371</v>
      </c>
      <c r="D104" t="str">
        <f>IFERROR(__xludf.DUMMYFUNCTION("""COMPUTED_VALUE"""),"-")</f>
        <v>-</v>
      </c>
      <c r="E104" t="str">
        <f>IFERROR(__xludf.DUMMYFUNCTION("""COMPUTED_VALUE"""),"-")</f>
        <v>-</v>
      </c>
      <c r="F104" t="str">
        <f>IFERROR(__xludf.DUMMYFUNCTION("""COMPUTED_VALUE"""),"-")</f>
        <v>-</v>
      </c>
      <c r="G104" t="str">
        <f>IFERROR(__xludf.DUMMYFUNCTION("""COMPUTED_VALUE"""),"-")</f>
        <v>-</v>
      </c>
      <c r="H104" t="str">
        <f>IFERROR(__xludf.DUMMYFUNCTION("""COMPUTED_VALUE"""),"-")</f>
        <v>-</v>
      </c>
      <c r="I104" t="str">
        <f>IFERROR(__xludf.DUMMYFUNCTION("""COMPUTED_VALUE"""),"-")</f>
        <v>-</v>
      </c>
      <c r="J104" t="str">
        <f>IFERROR(__xludf.DUMMYFUNCTION("""COMPUTED_VALUE"""),"-")</f>
        <v>-</v>
      </c>
      <c r="K104" t="str">
        <f>IFERROR(__xludf.DUMMYFUNCTION("""COMPUTED_VALUE"""),"-")</f>
        <v>-</v>
      </c>
      <c r="L104" t="str">
        <f>IFERROR(__xludf.DUMMYFUNCTION("""COMPUTED_VALUE"""),"-")</f>
        <v>-</v>
      </c>
      <c r="M104" t="str">
        <f>IFERROR(__xludf.DUMMYFUNCTION("""COMPUTED_VALUE"""),"-")</f>
        <v>-</v>
      </c>
      <c r="O104" t="str">
        <f>IFERROR(__xludf.DUMMYFUNCTION("""COMPUTED_VALUE"""),"#103")</f>
        <v>#103</v>
      </c>
      <c r="P104" t="str">
        <f>IFERROR(__xludf.DUMMYFUNCTION("""COMPUTED_VALUE"""),"Sébastien Lecornu")</f>
        <v>Sébastien Lecornu</v>
      </c>
      <c r="Q104">
        <f>IFERROR(__xludf.DUMMYFUNCTION("""COMPUTED_VALUE"""),90371.0)</f>
        <v>90371</v>
      </c>
      <c r="R104" t="str">
        <f>IFERROR(__xludf.DUMMYFUNCTION("""COMPUTED_VALUE"""),"-")</f>
        <v>-</v>
      </c>
      <c r="S104" t="str">
        <f>IFERROR(__xludf.DUMMYFUNCTION("""COMPUTED_VALUE"""),"-")</f>
        <v>-</v>
      </c>
      <c r="T104" t="str">
        <f>IFERROR(__xludf.DUMMYFUNCTION("""COMPUTED_VALUE"""),"-")</f>
        <v>-</v>
      </c>
      <c r="U104" t="str">
        <f>IFERROR(__xludf.DUMMYFUNCTION("""COMPUTED_VALUE"""),"-")</f>
        <v>-</v>
      </c>
      <c r="V104" t="str">
        <f>IFERROR(__xludf.DUMMYFUNCTION("""COMPUTED_VALUE"""),"-")</f>
        <v>-</v>
      </c>
      <c r="W104" t="str">
        <f>IFERROR(__xludf.DUMMYFUNCTION("""COMPUTED_VALUE"""),"-")</f>
        <v>-</v>
      </c>
      <c r="X104" t="str">
        <f>IFERROR(__xludf.DUMMYFUNCTION("""COMPUTED_VALUE"""),"-")</f>
        <v>-</v>
      </c>
      <c r="Y104" t="str">
        <f>IFERROR(__xludf.DUMMYFUNCTION("""COMPUTED_VALUE"""),"-")</f>
        <v>-</v>
      </c>
      <c r="Z104" t="str">
        <f>IFERROR(__xludf.DUMMYFUNCTION("""COMPUTED_VALUE"""),"-")</f>
        <v>-</v>
      </c>
      <c r="AA104" t="str">
        <f>IFERROR(__xludf.DUMMYFUNCTION("""COMPUTED_VALUE"""),"-")</f>
        <v>-</v>
      </c>
    </row>
    <row r="105">
      <c r="A105" t="str">
        <f>IFERROR(__xludf.DUMMYFUNCTION("""COMPUTED_VALUE"""),"#104")</f>
        <v>#104</v>
      </c>
      <c r="B105" t="str">
        <f>IFERROR(__xludf.DUMMYFUNCTION("""COMPUTED_VALUE"""),"Claude Bartolone")</f>
        <v>Claude Bartolone</v>
      </c>
      <c r="C105">
        <f>IFERROR(__xludf.DUMMYFUNCTION("""COMPUTED_VALUE"""),89994.0)</f>
        <v>89994</v>
      </c>
      <c r="D105" t="str">
        <f>IFERROR(__xludf.DUMMYFUNCTION("""COMPUTED_VALUE"""),"-")</f>
        <v>-</v>
      </c>
      <c r="E105" t="str">
        <f>IFERROR(__xludf.DUMMYFUNCTION("""COMPUTED_VALUE"""),"-")</f>
        <v>-</v>
      </c>
      <c r="F105" t="str">
        <f>IFERROR(__xludf.DUMMYFUNCTION("""COMPUTED_VALUE"""),"-")</f>
        <v>-</v>
      </c>
      <c r="G105" t="str">
        <f>IFERROR(__xludf.DUMMYFUNCTION("""COMPUTED_VALUE"""),"-")</f>
        <v>-</v>
      </c>
      <c r="H105" t="str">
        <f>IFERROR(__xludf.DUMMYFUNCTION("""COMPUTED_VALUE"""),"-")</f>
        <v>-</v>
      </c>
      <c r="I105" t="str">
        <f>IFERROR(__xludf.DUMMYFUNCTION("""COMPUTED_VALUE"""),"-")</f>
        <v>-</v>
      </c>
      <c r="J105" t="str">
        <f>IFERROR(__xludf.DUMMYFUNCTION("""COMPUTED_VALUE"""),"-")</f>
        <v>-</v>
      </c>
      <c r="K105" t="str">
        <f>IFERROR(__xludf.DUMMYFUNCTION("""COMPUTED_VALUE"""),"-")</f>
        <v>-</v>
      </c>
      <c r="L105" t="str">
        <f>IFERROR(__xludf.DUMMYFUNCTION("""COMPUTED_VALUE"""),"-")</f>
        <v>-</v>
      </c>
      <c r="M105" t="str">
        <f>IFERROR(__xludf.DUMMYFUNCTION("""COMPUTED_VALUE"""),"-")</f>
        <v>-</v>
      </c>
      <c r="O105" t="str">
        <f>IFERROR(__xludf.DUMMYFUNCTION("""COMPUTED_VALUE"""),"#104")</f>
        <v>#104</v>
      </c>
      <c r="P105" t="str">
        <f>IFERROR(__xludf.DUMMYFUNCTION("""COMPUTED_VALUE"""),"Claude Bartolone")</f>
        <v>Claude Bartolone</v>
      </c>
      <c r="Q105">
        <f>IFERROR(__xludf.DUMMYFUNCTION("""COMPUTED_VALUE"""),89994.0)</f>
        <v>89994</v>
      </c>
      <c r="R105" t="str">
        <f>IFERROR(__xludf.DUMMYFUNCTION("""COMPUTED_VALUE"""),"-")</f>
        <v>-</v>
      </c>
      <c r="S105" t="str">
        <f>IFERROR(__xludf.DUMMYFUNCTION("""COMPUTED_VALUE"""),"-")</f>
        <v>-</v>
      </c>
      <c r="T105" t="str">
        <f>IFERROR(__xludf.DUMMYFUNCTION("""COMPUTED_VALUE"""),"-")</f>
        <v>-</v>
      </c>
      <c r="U105" t="str">
        <f>IFERROR(__xludf.DUMMYFUNCTION("""COMPUTED_VALUE"""),"-")</f>
        <v>-</v>
      </c>
      <c r="V105" t="str">
        <f>IFERROR(__xludf.DUMMYFUNCTION("""COMPUTED_VALUE"""),"-")</f>
        <v>-</v>
      </c>
      <c r="W105" t="str">
        <f>IFERROR(__xludf.DUMMYFUNCTION("""COMPUTED_VALUE"""),"-")</f>
        <v>-</v>
      </c>
      <c r="X105" t="str">
        <f>IFERROR(__xludf.DUMMYFUNCTION("""COMPUTED_VALUE"""),"-")</f>
        <v>-</v>
      </c>
      <c r="Y105" t="str">
        <f>IFERROR(__xludf.DUMMYFUNCTION("""COMPUTED_VALUE"""),"-")</f>
        <v>-</v>
      </c>
      <c r="Z105" t="str">
        <f>IFERROR(__xludf.DUMMYFUNCTION("""COMPUTED_VALUE"""),"-")</f>
        <v>-</v>
      </c>
      <c r="AA105" t="str">
        <f>IFERROR(__xludf.DUMMYFUNCTION("""COMPUTED_VALUE"""),"-")</f>
        <v>-</v>
      </c>
    </row>
    <row r="106">
      <c r="A106" t="str">
        <f>IFERROR(__xludf.DUMMYFUNCTION("""COMPUTED_VALUE"""),"#105")</f>
        <v>#105</v>
      </c>
      <c r="B106" t="str">
        <f>IFERROR(__xludf.DUMMYFUNCTION("""COMPUTED_VALUE"""),"Jean-Frédéric Poisson")</f>
        <v>Jean-Frédéric Poisson</v>
      </c>
      <c r="C106">
        <f>IFERROR(__xludf.DUMMYFUNCTION("""COMPUTED_VALUE"""),84160.0)</f>
        <v>84160</v>
      </c>
      <c r="D106" t="str">
        <f>IFERROR(__xludf.DUMMYFUNCTION("""COMPUTED_VALUE"""),"-")</f>
        <v>-</v>
      </c>
      <c r="E106" t="str">
        <f>IFERROR(__xludf.DUMMYFUNCTION("""COMPUTED_VALUE"""),"-")</f>
        <v>-</v>
      </c>
      <c r="F106" t="str">
        <f>IFERROR(__xludf.DUMMYFUNCTION("""COMPUTED_VALUE"""),"-")</f>
        <v>-</v>
      </c>
      <c r="G106" t="str">
        <f>IFERROR(__xludf.DUMMYFUNCTION("""COMPUTED_VALUE"""),"-")</f>
        <v>-</v>
      </c>
      <c r="H106" t="str">
        <f>IFERROR(__xludf.DUMMYFUNCTION("""COMPUTED_VALUE"""),"-")</f>
        <v>-</v>
      </c>
      <c r="I106" t="str">
        <f>IFERROR(__xludf.DUMMYFUNCTION("""COMPUTED_VALUE"""),"-")</f>
        <v>-</v>
      </c>
      <c r="J106" t="str">
        <f>IFERROR(__xludf.DUMMYFUNCTION("""COMPUTED_VALUE"""),"-")</f>
        <v>-</v>
      </c>
      <c r="K106" t="str">
        <f>IFERROR(__xludf.DUMMYFUNCTION("""COMPUTED_VALUE"""),"-")</f>
        <v>-</v>
      </c>
      <c r="L106" t="str">
        <f>IFERROR(__xludf.DUMMYFUNCTION("""COMPUTED_VALUE"""),"-")</f>
        <v>-</v>
      </c>
      <c r="M106" t="str">
        <f>IFERROR(__xludf.DUMMYFUNCTION("""COMPUTED_VALUE"""),"-")</f>
        <v>-</v>
      </c>
      <c r="O106" t="str">
        <f>IFERROR(__xludf.DUMMYFUNCTION("""COMPUTED_VALUE"""),"#105")</f>
        <v>#105</v>
      </c>
      <c r="P106" t="str">
        <f>IFERROR(__xludf.DUMMYFUNCTION("""COMPUTED_VALUE"""),"Jean-Frédéric Poisson")</f>
        <v>Jean-Frédéric Poisson</v>
      </c>
      <c r="Q106">
        <f>IFERROR(__xludf.DUMMYFUNCTION("""COMPUTED_VALUE"""),84160.0)</f>
        <v>84160</v>
      </c>
      <c r="R106" t="str">
        <f>IFERROR(__xludf.DUMMYFUNCTION("""COMPUTED_VALUE"""),"-")</f>
        <v>-</v>
      </c>
      <c r="S106" t="str">
        <f>IFERROR(__xludf.DUMMYFUNCTION("""COMPUTED_VALUE"""),"-")</f>
        <v>-</v>
      </c>
      <c r="T106" t="str">
        <f>IFERROR(__xludf.DUMMYFUNCTION("""COMPUTED_VALUE"""),"-")</f>
        <v>-</v>
      </c>
      <c r="U106" t="str">
        <f>IFERROR(__xludf.DUMMYFUNCTION("""COMPUTED_VALUE"""),"-")</f>
        <v>-</v>
      </c>
      <c r="V106" t="str">
        <f>IFERROR(__xludf.DUMMYFUNCTION("""COMPUTED_VALUE"""),"-")</f>
        <v>-</v>
      </c>
      <c r="W106" t="str">
        <f>IFERROR(__xludf.DUMMYFUNCTION("""COMPUTED_VALUE"""),"-")</f>
        <v>-</v>
      </c>
      <c r="X106" t="str">
        <f>IFERROR(__xludf.DUMMYFUNCTION("""COMPUTED_VALUE"""),"-")</f>
        <v>-</v>
      </c>
      <c r="Y106" t="str">
        <f>IFERROR(__xludf.DUMMYFUNCTION("""COMPUTED_VALUE"""),"-")</f>
        <v>-</v>
      </c>
      <c r="Z106" t="str">
        <f>IFERROR(__xludf.DUMMYFUNCTION("""COMPUTED_VALUE"""),"-")</f>
        <v>-</v>
      </c>
      <c r="AA106" t="str">
        <f>IFERROR(__xludf.DUMMYFUNCTION("""COMPUTED_VALUE"""),"-")</f>
        <v>-</v>
      </c>
    </row>
    <row r="107">
      <c r="A107" t="str">
        <f>IFERROR(__xludf.DUMMYFUNCTION("""COMPUTED_VALUE"""),"#106")</f>
        <v>#106</v>
      </c>
      <c r="B107" t="str">
        <f>IFERROR(__xludf.DUMMYFUNCTION("""COMPUTED_VALUE"""),"Franck Riester")</f>
        <v>Franck Riester</v>
      </c>
      <c r="C107">
        <f>IFERROR(__xludf.DUMMYFUNCTION("""COMPUTED_VALUE"""),81673.0)</f>
        <v>81673</v>
      </c>
      <c r="D107" t="str">
        <f>IFERROR(__xludf.DUMMYFUNCTION("""COMPUTED_VALUE"""),"-")</f>
        <v>-</v>
      </c>
      <c r="E107" t="str">
        <f>IFERROR(__xludf.DUMMYFUNCTION("""COMPUTED_VALUE"""),"-")</f>
        <v>-</v>
      </c>
      <c r="F107" t="str">
        <f>IFERROR(__xludf.DUMMYFUNCTION("""COMPUTED_VALUE"""),"-")</f>
        <v>-</v>
      </c>
      <c r="G107" t="str">
        <f>IFERROR(__xludf.DUMMYFUNCTION("""COMPUTED_VALUE"""),"-")</f>
        <v>-</v>
      </c>
      <c r="H107" t="str">
        <f>IFERROR(__xludf.DUMMYFUNCTION("""COMPUTED_VALUE"""),"-")</f>
        <v>-</v>
      </c>
      <c r="I107" t="str">
        <f>IFERROR(__xludf.DUMMYFUNCTION("""COMPUTED_VALUE"""),"-")</f>
        <v>-</v>
      </c>
      <c r="J107" t="str">
        <f>IFERROR(__xludf.DUMMYFUNCTION("""COMPUTED_VALUE"""),"-")</f>
        <v>-</v>
      </c>
      <c r="K107" t="str">
        <f>IFERROR(__xludf.DUMMYFUNCTION("""COMPUTED_VALUE"""),"-")</f>
        <v>-</v>
      </c>
      <c r="L107" t="str">
        <f>IFERROR(__xludf.DUMMYFUNCTION("""COMPUTED_VALUE"""),"-")</f>
        <v>-</v>
      </c>
      <c r="M107" t="str">
        <f>IFERROR(__xludf.DUMMYFUNCTION("""COMPUTED_VALUE"""),"-")</f>
        <v>-</v>
      </c>
      <c r="O107" t="str">
        <f>IFERROR(__xludf.DUMMYFUNCTION("""COMPUTED_VALUE"""),"#106")</f>
        <v>#106</v>
      </c>
      <c r="P107" t="str">
        <f>IFERROR(__xludf.DUMMYFUNCTION("""COMPUTED_VALUE"""),"Franck Riester")</f>
        <v>Franck Riester</v>
      </c>
      <c r="Q107">
        <f>IFERROR(__xludf.DUMMYFUNCTION("""COMPUTED_VALUE"""),81673.0)</f>
        <v>81673</v>
      </c>
      <c r="R107" t="str">
        <f>IFERROR(__xludf.DUMMYFUNCTION("""COMPUTED_VALUE"""),"-")</f>
        <v>-</v>
      </c>
      <c r="S107" t="str">
        <f>IFERROR(__xludf.DUMMYFUNCTION("""COMPUTED_VALUE"""),"-")</f>
        <v>-</v>
      </c>
      <c r="T107" t="str">
        <f>IFERROR(__xludf.DUMMYFUNCTION("""COMPUTED_VALUE"""),"-")</f>
        <v>-</v>
      </c>
      <c r="U107" t="str">
        <f>IFERROR(__xludf.DUMMYFUNCTION("""COMPUTED_VALUE"""),"-")</f>
        <v>-</v>
      </c>
      <c r="V107" t="str">
        <f>IFERROR(__xludf.DUMMYFUNCTION("""COMPUTED_VALUE"""),"-")</f>
        <v>-</v>
      </c>
      <c r="W107" t="str">
        <f>IFERROR(__xludf.DUMMYFUNCTION("""COMPUTED_VALUE"""),"-")</f>
        <v>-</v>
      </c>
      <c r="X107" t="str">
        <f>IFERROR(__xludf.DUMMYFUNCTION("""COMPUTED_VALUE"""),"-")</f>
        <v>-</v>
      </c>
      <c r="Y107" t="str">
        <f>IFERROR(__xludf.DUMMYFUNCTION("""COMPUTED_VALUE"""),"-")</f>
        <v>-</v>
      </c>
      <c r="Z107" t="str">
        <f>IFERROR(__xludf.DUMMYFUNCTION("""COMPUTED_VALUE"""),"-")</f>
        <v>-</v>
      </c>
      <c r="AA107" t="str">
        <f>IFERROR(__xludf.DUMMYFUNCTION("""COMPUTED_VALUE"""),"-")</f>
        <v>-</v>
      </c>
    </row>
    <row r="108">
      <c r="A108" t="str">
        <f>IFERROR(__xludf.DUMMYFUNCTION("""COMPUTED_VALUE"""),"#107")</f>
        <v>#107</v>
      </c>
      <c r="B108" t="str">
        <f>IFERROR(__xludf.DUMMYFUNCTION("""COMPUTED_VALUE"""),"Amélie de Montchalin")</f>
        <v>Amélie de Montchalin</v>
      </c>
      <c r="C108">
        <f>IFERROR(__xludf.DUMMYFUNCTION("""COMPUTED_VALUE"""),81606.0)</f>
        <v>81606</v>
      </c>
      <c r="D108" t="str">
        <f>IFERROR(__xludf.DUMMYFUNCTION("""COMPUTED_VALUE"""),"-")</f>
        <v>-</v>
      </c>
      <c r="E108" t="str">
        <f>IFERROR(__xludf.DUMMYFUNCTION("""COMPUTED_VALUE"""),"-")</f>
        <v>-</v>
      </c>
      <c r="F108" t="str">
        <f>IFERROR(__xludf.DUMMYFUNCTION("""COMPUTED_VALUE"""),"-")</f>
        <v>-</v>
      </c>
      <c r="G108" t="str">
        <f>IFERROR(__xludf.DUMMYFUNCTION("""COMPUTED_VALUE"""),"-")</f>
        <v>-</v>
      </c>
      <c r="H108" t="str">
        <f>IFERROR(__xludf.DUMMYFUNCTION("""COMPUTED_VALUE"""),"-")</f>
        <v>-</v>
      </c>
      <c r="I108" t="str">
        <f>IFERROR(__xludf.DUMMYFUNCTION("""COMPUTED_VALUE"""),"-")</f>
        <v>-</v>
      </c>
      <c r="J108" t="str">
        <f>IFERROR(__xludf.DUMMYFUNCTION("""COMPUTED_VALUE"""),"-")</f>
        <v>-</v>
      </c>
      <c r="K108" t="str">
        <f>IFERROR(__xludf.DUMMYFUNCTION("""COMPUTED_VALUE"""),"-")</f>
        <v>-</v>
      </c>
      <c r="L108" t="str">
        <f>IFERROR(__xludf.DUMMYFUNCTION("""COMPUTED_VALUE"""),"-")</f>
        <v>-</v>
      </c>
      <c r="M108" t="str">
        <f>IFERROR(__xludf.DUMMYFUNCTION("""COMPUTED_VALUE"""),"-")</f>
        <v>-</v>
      </c>
      <c r="O108" t="str">
        <f>IFERROR(__xludf.DUMMYFUNCTION("""COMPUTED_VALUE"""),"#107")</f>
        <v>#107</v>
      </c>
      <c r="P108" t="str">
        <f>IFERROR(__xludf.DUMMYFUNCTION("""COMPUTED_VALUE"""),"Amélie de Montchalin")</f>
        <v>Amélie de Montchalin</v>
      </c>
      <c r="Q108">
        <f>IFERROR(__xludf.DUMMYFUNCTION("""COMPUTED_VALUE"""),81606.0)</f>
        <v>81606</v>
      </c>
      <c r="R108" t="str">
        <f>IFERROR(__xludf.DUMMYFUNCTION("""COMPUTED_VALUE"""),"-")</f>
        <v>-</v>
      </c>
      <c r="S108" t="str">
        <f>IFERROR(__xludf.DUMMYFUNCTION("""COMPUTED_VALUE"""),"-")</f>
        <v>-</v>
      </c>
      <c r="T108" t="str">
        <f>IFERROR(__xludf.DUMMYFUNCTION("""COMPUTED_VALUE"""),"-")</f>
        <v>-</v>
      </c>
      <c r="U108" t="str">
        <f>IFERROR(__xludf.DUMMYFUNCTION("""COMPUTED_VALUE"""),"-")</f>
        <v>-</v>
      </c>
      <c r="V108" t="str">
        <f>IFERROR(__xludf.DUMMYFUNCTION("""COMPUTED_VALUE"""),"-")</f>
        <v>-</v>
      </c>
      <c r="W108" t="str">
        <f>IFERROR(__xludf.DUMMYFUNCTION("""COMPUTED_VALUE"""),"-")</f>
        <v>-</v>
      </c>
      <c r="X108" t="str">
        <f>IFERROR(__xludf.DUMMYFUNCTION("""COMPUTED_VALUE"""),"-")</f>
        <v>-</v>
      </c>
      <c r="Y108" t="str">
        <f>IFERROR(__xludf.DUMMYFUNCTION("""COMPUTED_VALUE"""),"-")</f>
        <v>-</v>
      </c>
      <c r="Z108" t="str">
        <f>IFERROR(__xludf.DUMMYFUNCTION("""COMPUTED_VALUE"""),"-")</f>
        <v>-</v>
      </c>
      <c r="AA108" t="str">
        <f>IFERROR(__xludf.DUMMYFUNCTION("""COMPUTED_VALUE"""),"-")</f>
        <v>-</v>
      </c>
    </row>
    <row r="109">
      <c r="A109" t="str">
        <f>IFERROR(__xludf.DUMMYFUNCTION("""COMPUTED_VALUE"""),"#108")</f>
        <v>#108</v>
      </c>
      <c r="B109" t="str">
        <f>IFERROR(__xludf.DUMMYFUNCTION("""COMPUTED_VALUE"""),"Daniel Cohn-Bendit")</f>
        <v>Daniel Cohn-Bendit</v>
      </c>
      <c r="C109">
        <f>IFERROR(__xludf.DUMMYFUNCTION("""COMPUTED_VALUE"""),81025.0)</f>
        <v>81025</v>
      </c>
      <c r="D109" t="str">
        <f>IFERROR(__xludf.DUMMYFUNCTION("""COMPUTED_VALUE"""),"-")</f>
        <v>-</v>
      </c>
      <c r="E109" t="str">
        <f>IFERROR(__xludf.DUMMYFUNCTION("""COMPUTED_VALUE"""),"-")</f>
        <v>-</v>
      </c>
      <c r="F109" t="str">
        <f>IFERROR(__xludf.DUMMYFUNCTION("""COMPUTED_VALUE"""),"-")</f>
        <v>-</v>
      </c>
      <c r="G109" t="str">
        <f>IFERROR(__xludf.DUMMYFUNCTION("""COMPUTED_VALUE"""),"-")</f>
        <v>-</v>
      </c>
      <c r="H109" t="str">
        <f>IFERROR(__xludf.DUMMYFUNCTION("""COMPUTED_VALUE"""),"-")</f>
        <v>-</v>
      </c>
      <c r="I109" t="str">
        <f>IFERROR(__xludf.DUMMYFUNCTION("""COMPUTED_VALUE"""),"-")</f>
        <v>-</v>
      </c>
      <c r="J109" t="str">
        <f>IFERROR(__xludf.DUMMYFUNCTION("""COMPUTED_VALUE"""),"-")</f>
        <v>-</v>
      </c>
      <c r="K109" t="str">
        <f>IFERROR(__xludf.DUMMYFUNCTION("""COMPUTED_VALUE"""),"-")</f>
        <v>-</v>
      </c>
      <c r="L109" t="str">
        <f>IFERROR(__xludf.DUMMYFUNCTION("""COMPUTED_VALUE"""),"-")</f>
        <v>-</v>
      </c>
      <c r="M109" t="str">
        <f>IFERROR(__xludf.DUMMYFUNCTION("""COMPUTED_VALUE"""),"-")</f>
        <v>-</v>
      </c>
      <c r="O109" t="str">
        <f>IFERROR(__xludf.DUMMYFUNCTION("""COMPUTED_VALUE"""),"#108")</f>
        <v>#108</v>
      </c>
      <c r="P109" t="str">
        <f>IFERROR(__xludf.DUMMYFUNCTION("""COMPUTED_VALUE"""),"Daniel Cohn-Bendit")</f>
        <v>Daniel Cohn-Bendit</v>
      </c>
      <c r="Q109">
        <f>IFERROR(__xludf.DUMMYFUNCTION("""COMPUTED_VALUE"""),81025.0)</f>
        <v>81025</v>
      </c>
      <c r="R109" t="str">
        <f>IFERROR(__xludf.DUMMYFUNCTION("""COMPUTED_VALUE"""),"-")</f>
        <v>-</v>
      </c>
      <c r="S109" t="str">
        <f>IFERROR(__xludf.DUMMYFUNCTION("""COMPUTED_VALUE"""),"-")</f>
        <v>-</v>
      </c>
      <c r="T109" t="str">
        <f>IFERROR(__xludf.DUMMYFUNCTION("""COMPUTED_VALUE"""),"-")</f>
        <v>-</v>
      </c>
      <c r="U109" t="str">
        <f>IFERROR(__xludf.DUMMYFUNCTION("""COMPUTED_VALUE"""),"-")</f>
        <v>-</v>
      </c>
      <c r="V109" t="str">
        <f>IFERROR(__xludf.DUMMYFUNCTION("""COMPUTED_VALUE"""),"-")</f>
        <v>-</v>
      </c>
      <c r="W109" t="str">
        <f>IFERROR(__xludf.DUMMYFUNCTION("""COMPUTED_VALUE"""),"-")</f>
        <v>-</v>
      </c>
      <c r="X109" t="str">
        <f>IFERROR(__xludf.DUMMYFUNCTION("""COMPUTED_VALUE"""),"-")</f>
        <v>-</v>
      </c>
      <c r="Y109" t="str">
        <f>IFERROR(__xludf.DUMMYFUNCTION("""COMPUTED_VALUE"""),"-")</f>
        <v>-</v>
      </c>
      <c r="Z109" t="str">
        <f>IFERROR(__xludf.DUMMYFUNCTION("""COMPUTED_VALUE"""),"-")</f>
        <v>-</v>
      </c>
      <c r="AA109" t="str">
        <f>IFERROR(__xludf.DUMMYFUNCTION("""COMPUTED_VALUE"""),"-")</f>
        <v>-</v>
      </c>
    </row>
    <row r="110">
      <c r="A110" t="str">
        <f>IFERROR(__xludf.DUMMYFUNCTION("""COMPUTED_VALUE"""),"#109")</f>
        <v>#109</v>
      </c>
      <c r="B110" t="str">
        <f>IFERROR(__xludf.DUMMYFUNCTION("""COMPUTED_VALUE"""),"Yves Yves Pozzo di Borgo")</f>
        <v>Yves Yves Pozzo di Borgo</v>
      </c>
      <c r="C110">
        <f>IFERROR(__xludf.DUMMYFUNCTION("""COMPUTED_VALUE"""),80274.0)</f>
        <v>80274</v>
      </c>
      <c r="D110" t="str">
        <f>IFERROR(__xludf.DUMMYFUNCTION("""COMPUTED_VALUE"""),"-")</f>
        <v>-</v>
      </c>
      <c r="E110" t="str">
        <f>IFERROR(__xludf.DUMMYFUNCTION("""COMPUTED_VALUE"""),"-")</f>
        <v>-</v>
      </c>
      <c r="F110" t="str">
        <f>IFERROR(__xludf.DUMMYFUNCTION("""COMPUTED_VALUE"""),"-")</f>
        <v>-</v>
      </c>
      <c r="G110" t="str">
        <f>IFERROR(__xludf.DUMMYFUNCTION("""COMPUTED_VALUE"""),"-")</f>
        <v>-</v>
      </c>
      <c r="H110" t="str">
        <f>IFERROR(__xludf.DUMMYFUNCTION("""COMPUTED_VALUE"""),"-")</f>
        <v>-</v>
      </c>
      <c r="I110" t="str">
        <f>IFERROR(__xludf.DUMMYFUNCTION("""COMPUTED_VALUE"""),"-")</f>
        <v>-</v>
      </c>
      <c r="J110" t="str">
        <f>IFERROR(__xludf.DUMMYFUNCTION("""COMPUTED_VALUE"""),"-")</f>
        <v>-</v>
      </c>
      <c r="K110" t="str">
        <f>IFERROR(__xludf.DUMMYFUNCTION("""COMPUTED_VALUE"""),"-")</f>
        <v>-</v>
      </c>
      <c r="L110" t="str">
        <f>IFERROR(__xludf.DUMMYFUNCTION("""COMPUTED_VALUE"""),"-")</f>
        <v>-</v>
      </c>
      <c r="M110" t="str">
        <f>IFERROR(__xludf.DUMMYFUNCTION("""COMPUTED_VALUE"""),"-")</f>
        <v>-</v>
      </c>
      <c r="O110" t="str">
        <f>IFERROR(__xludf.DUMMYFUNCTION("""COMPUTED_VALUE"""),"#109")</f>
        <v>#109</v>
      </c>
      <c r="P110" t="str">
        <f>IFERROR(__xludf.DUMMYFUNCTION("""COMPUTED_VALUE"""),"Yves Yves Pozzo di Borgo")</f>
        <v>Yves Yves Pozzo di Borgo</v>
      </c>
      <c r="Q110">
        <f>IFERROR(__xludf.DUMMYFUNCTION("""COMPUTED_VALUE"""),80274.0)</f>
        <v>80274</v>
      </c>
      <c r="R110" t="str">
        <f>IFERROR(__xludf.DUMMYFUNCTION("""COMPUTED_VALUE"""),"-")</f>
        <v>-</v>
      </c>
      <c r="S110" t="str">
        <f>IFERROR(__xludf.DUMMYFUNCTION("""COMPUTED_VALUE"""),"-")</f>
        <v>-</v>
      </c>
      <c r="T110" t="str">
        <f>IFERROR(__xludf.DUMMYFUNCTION("""COMPUTED_VALUE"""),"-")</f>
        <v>-</v>
      </c>
      <c r="U110" t="str">
        <f>IFERROR(__xludf.DUMMYFUNCTION("""COMPUTED_VALUE"""),"-")</f>
        <v>-</v>
      </c>
      <c r="V110" t="str">
        <f>IFERROR(__xludf.DUMMYFUNCTION("""COMPUTED_VALUE"""),"-")</f>
        <v>-</v>
      </c>
      <c r="W110" t="str">
        <f>IFERROR(__xludf.DUMMYFUNCTION("""COMPUTED_VALUE"""),"-")</f>
        <v>-</v>
      </c>
      <c r="X110" t="str">
        <f>IFERROR(__xludf.DUMMYFUNCTION("""COMPUTED_VALUE"""),"-")</f>
        <v>-</v>
      </c>
      <c r="Y110" t="str">
        <f>IFERROR(__xludf.DUMMYFUNCTION("""COMPUTED_VALUE"""),"-")</f>
        <v>-</v>
      </c>
      <c r="Z110" t="str">
        <f>IFERROR(__xludf.DUMMYFUNCTION("""COMPUTED_VALUE"""),"-")</f>
        <v>-</v>
      </c>
      <c r="AA110" t="str">
        <f>IFERROR(__xludf.DUMMYFUNCTION("""COMPUTED_VALUE"""),"-")</f>
        <v>-</v>
      </c>
    </row>
    <row r="111">
      <c r="A111" t="str">
        <f>IFERROR(__xludf.DUMMYFUNCTION("""COMPUTED_VALUE"""),"#110")</f>
        <v>#110</v>
      </c>
      <c r="B111" t="str">
        <f>IFERROR(__xludf.DUMMYFUNCTION("""COMPUTED_VALUE"""),"François de Rugy")</f>
        <v>François de Rugy</v>
      </c>
      <c r="C111">
        <f>IFERROR(__xludf.DUMMYFUNCTION("""COMPUTED_VALUE"""),79932.0)</f>
        <v>79932</v>
      </c>
      <c r="D111" t="str">
        <f>IFERROR(__xludf.DUMMYFUNCTION("""COMPUTED_VALUE"""),"-")</f>
        <v>-</v>
      </c>
      <c r="E111" t="str">
        <f>IFERROR(__xludf.DUMMYFUNCTION("""COMPUTED_VALUE"""),"-")</f>
        <v>-</v>
      </c>
      <c r="F111" t="str">
        <f>IFERROR(__xludf.DUMMYFUNCTION("""COMPUTED_VALUE"""),"-")</f>
        <v>-</v>
      </c>
      <c r="G111" t="str">
        <f>IFERROR(__xludf.DUMMYFUNCTION("""COMPUTED_VALUE"""),"-")</f>
        <v>-</v>
      </c>
      <c r="H111" t="str">
        <f>IFERROR(__xludf.DUMMYFUNCTION("""COMPUTED_VALUE"""),"-")</f>
        <v>-</v>
      </c>
      <c r="I111" t="str">
        <f>IFERROR(__xludf.DUMMYFUNCTION("""COMPUTED_VALUE"""),"-")</f>
        <v>-</v>
      </c>
      <c r="J111" t="str">
        <f>IFERROR(__xludf.DUMMYFUNCTION("""COMPUTED_VALUE"""),"-")</f>
        <v>-</v>
      </c>
      <c r="K111" t="str">
        <f>IFERROR(__xludf.DUMMYFUNCTION("""COMPUTED_VALUE"""),"-")</f>
        <v>-</v>
      </c>
      <c r="L111" t="str">
        <f>IFERROR(__xludf.DUMMYFUNCTION("""COMPUTED_VALUE"""),"-")</f>
        <v>-</v>
      </c>
      <c r="M111" t="str">
        <f>IFERROR(__xludf.DUMMYFUNCTION("""COMPUTED_VALUE"""),"-")</f>
        <v>-</v>
      </c>
      <c r="O111" t="str">
        <f>IFERROR(__xludf.DUMMYFUNCTION("""COMPUTED_VALUE"""),"#110")</f>
        <v>#110</v>
      </c>
      <c r="P111" t="str">
        <f>IFERROR(__xludf.DUMMYFUNCTION("""COMPUTED_VALUE"""),"François de Rugy")</f>
        <v>François de Rugy</v>
      </c>
      <c r="Q111">
        <f>IFERROR(__xludf.DUMMYFUNCTION("""COMPUTED_VALUE"""),79932.0)</f>
        <v>79932</v>
      </c>
      <c r="R111" t="str">
        <f>IFERROR(__xludf.DUMMYFUNCTION("""COMPUTED_VALUE"""),"-")</f>
        <v>-</v>
      </c>
      <c r="S111" t="str">
        <f>IFERROR(__xludf.DUMMYFUNCTION("""COMPUTED_VALUE"""),"-")</f>
        <v>-</v>
      </c>
      <c r="T111" t="str">
        <f>IFERROR(__xludf.DUMMYFUNCTION("""COMPUTED_VALUE"""),"-")</f>
        <v>-</v>
      </c>
      <c r="U111" t="str">
        <f>IFERROR(__xludf.DUMMYFUNCTION("""COMPUTED_VALUE"""),"-")</f>
        <v>-</v>
      </c>
      <c r="V111" t="str">
        <f>IFERROR(__xludf.DUMMYFUNCTION("""COMPUTED_VALUE"""),"-")</f>
        <v>-</v>
      </c>
      <c r="W111" t="str">
        <f>IFERROR(__xludf.DUMMYFUNCTION("""COMPUTED_VALUE"""),"-")</f>
        <v>-</v>
      </c>
      <c r="X111" t="str">
        <f>IFERROR(__xludf.DUMMYFUNCTION("""COMPUTED_VALUE"""),"-")</f>
        <v>-</v>
      </c>
      <c r="Y111" t="str">
        <f>IFERROR(__xludf.DUMMYFUNCTION("""COMPUTED_VALUE"""),"-")</f>
        <v>-</v>
      </c>
      <c r="Z111" t="str">
        <f>IFERROR(__xludf.DUMMYFUNCTION("""COMPUTED_VALUE"""),"-")</f>
        <v>-</v>
      </c>
      <c r="AA111" t="str">
        <f>IFERROR(__xludf.DUMMYFUNCTION("""COMPUTED_VALUE"""),"-")</f>
        <v>-</v>
      </c>
    </row>
    <row r="112">
      <c r="A112" t="str">
        <f>IFERROR(__xludf.DUMMYFUNCTION("""COMPUTED_VALUE"""),"#111")</f>
        <v>#111</v>
      </c>
      <c r="B112" t="str">
        <f>IFERROR(__xludf.DUMMYFUNCTION("""COMPUTED_VALUE"""),"Stanislas Guerini")</f>
        <v>Stanislas Guerini</v>
      </c>
      <c r="C112">
        <f>IFERROR(__xludf.DUMMYFUNCTION("""COMPUTED_VALUE"""),79435.0)</f>
        <v>79435</v>
      </c>
      <c r="D112" t="str">
        <f>IFERROR(__xludf.DUMMYFUNCTION("""COMPUTED_VALUE"""),"-")</f>
        <v>-</v>
      </c>
      <c r="E112" t="str">
        <f>IFERROR(__xludf.DUMMYFUNCTION("""COMPUTED_VALUE"""),"-")</f>
        <v>-</v>
      </c>
      <c r="F112" t="str">
        <f>IFERROR(__xludf.DUMMYFUNCTION("""COMPUTED_VALUE"""),"-")</f>
        <v>-</v>
      </c>
      <c r="G112" t="str">
        <f>IFERROR(__xludf.DUMMYFUNCTION("""COMPUTED_VALUE"""),"-")</f>
        <v>-</v>
      </c>
      <c r="H112" t="str">
        <f>IFERROR(__xludf.DUMMYFUNCTION("""COMPUTED_VALUE"""),"-")</f>
        <v>-</v>
      </c>
      <c r="I112" t="str">
        <f>IFERROR(__xludf.DUMMYFUNCTION("""COMPUTED_VALUE"""),"-")</f>
        <v>-</v>
      </c>
      <c r="J112" t="str">
        <f>IFERROR(__xludf.DUMMYFUNCTION("""COMPUTED_VALUE"""),"-")</f>
        <v>-</v>
      </c>
      <c r="K112" t="str">
        <f>IFERROR(__xludf.DUMMYFUNCTION("""COMPUTED_VALUE"""),"-")</f>
        <v>-</v>
      </c>
      <c r="L112" t="str">
        <f>IFERROR(__xludf.DUMMYFUNCTION("""COMPUTED_VALUE"""),"-")</f>
        <v>-</v>
      </c>
      <c r="M112" t="str">
        <f>IFERROR(__xludf.DUMMYFUNCTION("""COMPUTED_VALUE"""),"-")</f>
        <v>-</v>
      </c>
      <c r="O112" t="str">
        <f>IFERROR(__xludf.DUMMYFUNCTION("""COMPUTED_VALUE"""),"#111")</f>
        <v>#111</v>
      </c>
      <c r="P112" t="str">
        <f>IFERROR(__xludf.DUMMYFUNCTION("""COMPUTED_VALUE"""),"Stanislas Guerini")</f>
        <v>Stanislas Guerini</v>
      </c>
      <c r="Q112">
        <f>IFERROR(__xludf.DUMMYFUNCTION("""COMPUTED_VALUE"""),79435.0)</f>
        <v>79435</v>
      </c>
      <c r="R112" t="str">
        <f>IFERROR(__xludf.DUMMYFUNCTION("""COMPUTED_VALUE"""),"-")</f>
        <v>-</v>
      </c>
      <c r="S112" t="str">
        <f>IFERROR(__xludf.DUMMYFUNCTION("""COMPUTED_VALUE"""),"-")</f>
        <v>-</v>
      </c>
      <c r="T112" t="str">
        <f>IFERROR(__xludf.DUMMYFUNCTION("""COMPUTED_VALUE"""),"-")</f>
        <v>-</v>
      </c>
      <c r="U112" t="str">
        <f>IFERROR(__xludf.DUMMYFUNCTION("""COMPUTED_VALUE"""),"-")</f>
        <v>-</v>
      </c>
      <c r="V112" t="str">
        <f>IFERROR(__xludf.DUMMYFUNCTION("""COMPUTED_VALUE"""),"-")</f>
        <v>-</v>
      </c>
      <c r="W112" t="str">
        <f>IFERROR(__xludf.DUMMYFUNCTION("""COMPUTED_VALUE"""),"-")</f>
        <v>-</v>
      </c>
      <c r="X112" t="str">
        <f>IFERROR(__xludf.DUMMYFUNCTION("""COMPUTED_VALUE"""),"-")</f>
        <v>-</v>
      </c>
      <c r="Y112" t="str">
        <f>IFERROR(__xludf.DUMMYFUNCTION("""COMPUTED_VALUE"""),"-")</f>
        <v>-</v>
      </c>
      <c r="Z112" t="str">
        <f>IFERROR(__xludf.DUMMYFUNCTION("""COMPUTED_VALUE"""),"-")</f>
        <v>-</v>
      </c>
      <c r="AA112" t="str">
        <f>IFERROR(__xludf.DUMMYFUNCTION("""COMPUTED_VALUE"""),"-")</f>
        <v>-</v>
      </c>
    </row>
    <row r="113">
      <c r="A113" t="str">
        <f>IFERROR(__xludf.DUMMYFUNCTION("""COMPUTED_VALUE"""),"#112")</f>
        <v>#112</v>
      </c>
      <c r="B113" t="str">
        <f>IFERROR(__xludf.DUMMYFUNCTION("""COMPUTED_VALUE"""),"Dominique de Villepin")</f>
        <v>Dominique de Villepin</v>
      </c>
      <c r="C113">
        <f>IFERROR(__xludf.DUMMYFUNCTION("""COMPUTED_VALUE"""),79323.0)</f>
        <v>79323</v>
      </c>
      <c r="D113" t="str">
        <f>IFERROR(__xludf.DUMMYFUNCTION("""COMPUTED_VALUE"""),"-")</f>
        <v>-</v>
      </c>
      <c r="E113" t="str">
        <f>IFERROR(__xludf.DUMMYFUNCTION("""COMPUTED_VALUE"""),"-")</f>
        <v>-</v>
      </c>
      <c r="F113" t="str">
        <f>IFERROR(__xludf.DUMMYFUNCTION("""COMPUTED_VALUE"""),"-")</f>
        <v>-</v>
      </c>
      <c r="G113" t="str">
        <f>IFERROR(__xludf.DUMMYFUNCTION("""COMPUTED_VALUE"""),"-")</f>
        <v>-</v>
      </c>
      <c r="H113" t="str">
        <f>IFERROR(__xludf.DUMMYFUNCTION("""COMPUTED_VALUE"""),"-")</f>
        <v>-</v>
      </c>
      <c r="I113" t="str">
        <f>IFERROR(__xludf.DUMMYFUNCTION("""COMPUTED_VALUE"""),"-")</f>
        <v>-</v>
      </c>
      <c r="J113" t="str">
        <f>IFERROR(__xludf.DUMMYFUNCTION("""COMPUTED_VALUE"""),"-")</f>
        <v>-</v>
      </c>
      <c r="K113" t="str">
        <f>IFERROR(__xludf.DUMMYFUNCTION("""COMPUTED_VALUE"""),"-")</f>
        <v>-</v>
      </c>
      <c r="L113" t="str">
        <f>IFERROR(__xludf.DUMMYFUNCTION("""COMPUTED_VALUE"""),"-")</f>
        <v>-</v>
      </c>
      <c r="M113" t="str">
        <f>IFERROR(__xludf.DUMMYFUNCTION("""COMPUTED_VALUE"""),"-")</f>
        <v>-</v>
      </c>
      <c r="O113" t="str">
        <f>IFERROR(__xludf.DUMMYFUNCTION("""COMPUTED_VALUE"""),"#112")</f>
        <v>#112</v>
      </c>
      <c r="P113" t="str">
        <f>IFERROR(__xludf.DUMMYFUNCTION("""COMPUTED_VALUE"""),"Dominique de Villepin")</f>
        <v>Dominique de Villepin</v>
      </c>
      <c r="Q113">
        <f>IFERROR(__xludf.DUMMYFUNCTION("""COMPUTED_VALUE"""),79323.0)</f>
        <v>79323</v>
      </c>
      <c r="R113" t="str">
        <f>IFERROR(__xludf.DUMMYFUNCTION("""COMPUTED_VALUE"""),"-")</f>
        <v>-</v>
      </c>
      <c r="S113" t="str">
        <f>IFERROR(__xludf.DUMMYFUNCTION("""COMPUTED_VALUE"""),"-")</f>
        <v>-</v>
      </c>
      <c r="T113" t="str">
        <f>IFERROR(__xludf.DUMMYFUNCTION("""COMPUTED_VALUE"""),"-")</f>
        <v>-</v>
      </c>
      <c r="U113" t="str">
        <f>IFERROR(__xludf.DUMMYFUNCTION("""COMPUTED_VALUE"""),"-")</f>
        <v>-</v>
      </c>
      <c r="V113" t="str">
        <f>IFERROR(__xludf.DUMMYFUNCTION("""COMPUTED_VALUE"""),"-")</f>
        <v>-</v>
      </c>
      <c r="W113" t="str">
        <f>IFERROR(__xludf.DUMMYFUNCTION("""COMPUTED_VALUE"""),"-")</f>
        <v>-</v>
      </c>
      <c r="X113" t="str">
        <f>IFERROR(__xludf.DUMMYFUNCTION("""COMPUTED_VALUE"""),"-")</f>
        <v>-</v>
      </c>
      <c r="Y113" t="str">
        <f>IFERROR(__xludf.DUMMYFUNCTION("""COMPUTED_VALUE"""),"-")</f>
        <v>-</v>
      </c>
      <c r="Z113" t="str">
        <f>IFERROR(__xludf.DUMMYFUNCTION("""COMPUTED_VALUE"""),"-")</f>
        <v>-</v>
      </c>
      <c r="AA113" t="str">
        <f>IFERROR(__xludf.DUMMYFUNCTION("""COMPUTED_VALUE"""),"-")</f>
        <v>-</v>
      </c>
    </row>
    <row r="114">
      <c r="A114" t="str">
        <f>IFERROR(__xludf.DUMMYFUNCTION("""COMPUTED_VALUE"""),"#113")</f>
        <v>#113</v>
      </c>
      <c r="B114" t="str">
        <f>IFERROR(__xludf.DUMMYFUNCTION("""COMPUTED_VALUE"""),"Audrey Azoulay")</f>
        <v>Audrey Azoulay</v>
      </c>
      <c r="C114">
        <f>IFERROR(__xludf.DUMMYFUNCTION("""COMPUTED_VALUE"""),78949.0)</f>
        <v>78949</v>
      </c>
      <c r="D114" t="str">
        <f>IFERROR(__xludf.DUMMYFUNCTION("""COMPUTED_VALUE"""),"-")</f>
        <v>-</v>
      </c>
      <c r="E114" t="str">
        <f>IFERROR(__xludf.DUMMYFUNCTION("""COMPUTED_VALUE"""),"-")</f>
        <v>-</v>
      </c>
      <c r="F114" t="str">
        <f>IFERROR(__xludf.DUMMYFUNCTION("""COMPUTED_VALUE"""),"-")</f>
        <v>-</v>
      </c>
      <c r="G114" t="str">
        <f>IFERROR(__xludf.DUMMYFUNCTION("""COMPUTED_VALUE"""),"-")</f>
        <v>-</v>
      </c>
      <c r="H114" t="str">
        <f>IFERROR(__xludf.DUMMYFUNCTION("""COMPUTED_VALUE"""),"-")</f>
        <v>-</v>
      </c>
      <c r="I114" t="str">
        <f>IFERROR(__xludf.DUMMYFUNCTION("""COMPUTED_VALUE"""),"-")</f>
        <v>-</v>
      </c>
      <c r="J114" t="str">
        <f>IFERROR(__xludf.DUMMYFUNCTION("""COMPUTED_VALUE"""),"-")</f>
        <v>-</v>
      </c>
      <c r="K114" t="str">
        <f>IFERROR(__xludf.DUMMYFUNCTION("""COMPUTED_VALUE"""),"-")</f>
        <v>-</v>
      </c>
      <c r="L114" t="str">
        <f>IFERROR(__xludf.DUMMYFUNCTION("""COMPUTED_VALUE"""),"-")</f>
        <v>-</v>
      </c>
      <c r="M114" t="str">
        <f>IFERROR(__xludf.DUMMYFUNCTION("""COMPUTED_VALUE"""),"-")</f>
        <v>-</v>
      </c>
      <c r="O114" t="str">
        <f>IFERROR(__xludf.DUMMYFUNCTION("""COMPUTED_VALUE"""),"#113")</f>
        <v>#113</v>
      </c>
      <c r="P114" t="str">
        <f>IFERROR(__xludf.DUMMYFUNCTION("""COMPUTED_VALUE"""),"Audrey Azoulay")</f>
        <v>Audrey Azoulay</v>
      </c>
      <c r="Q114">
        <f>IFERROR(__xludf.DUMMYFUNCTION("""COMPUTED_VALUE"""),78949.0)</f>
        <v>78949</v>
      </c>
      <c r="R114" t="str">
        <f>IFERROR(__xludf.DUMMYFUNCTION("""COMPUTED_VALUE"""),"-")</f>
        <v>-</v>
      </c>
      <c r="S114" t="str">
        <f>IFERROR(__xludf.DUMMYFUNCTION("""COMPUTED_VALUE"""),"-")</f>
        <v>-</v>
      </c>
      <c r="T114" t="str">
        <f>IFERROR(__xludf.DUMMYFUNCTION("""COMPUTED_VALUE"""),"-")</f>
        <v>-</v>
      </c>
      <c r="U114" t="str">
        <f>IFERROR(__xludf.DUMMYFUNCTION("""COMPUTED_VALUE"""),"-")</f>
        <v>-</v>
      </c>
      <c r="V114" t="str">
        <f>IFERROR(__xludf.DUMMYFUNCTION("""COMPUTED_VALUE"""),"-")</f>
        <v>-</v>
      </c>
      <c r="W114" t="str">
        <f>IFERROR(__xludf.DUMMYFUNCTION("""COMPUTED_VALUE"""),"-")</f>
        <v>-</v>
      </c>
      <c r="X114" t="str">
        <f>IFERROR(__xludf.DUMMYFUNCTION("""COMPUTED_VALUE"""),"-")</f>
        <v>-</v>
      </c>
      <c r="Y114" t="str">
        <f>IFERROR(__xludf.DUMMYFUNCTION("""COMPUTED_VALUE"""),"-")</f>
        <v>-</v>
      </c>
      <c r="Z114" t="str">
        <f>IFERROR(__xludf.DUMMYFUNCTION("""COMPUTED_VALUE"""),"-")</f>
        <v>-</v>
      </c>
      <c r="AA114" t="str">
        <f>IFERROR(__xludf.DUMMYFUNCTION("""COMPUTED_VALUE"""),"-")</f>
        <v>-</v>
      </c>
    </row>
    <row r="115">
      <c r="A115" t="str">
        <f>IFERROR(__xludf.DUMMYFUNCTION("""COMPUTED_VALUE"""),"#114")</f>
        <v>#114</v>
      </c>
      <c r="B115" t="str">
        <f>IFERROR(__xludf.DUMMYFUNCTION("""COMPUTED_VALUE"""),"Corinne Lepage")</f>
        <v>Corinne Lepage</v>
      </c>
      <c r="C115">
        <f>IFERROR(__xludf.DUMMYFUNCTION("""COMPUTED_VALUE"""),75265.0)</f>
        <v>75265</v>
      </c>
      <c r="D115" t="str">
        <f>IFERROR(__xludf.DUMMYFUNCTION("""COMPUTED_VALUE"""),"-")</f>
        <v>-</v>
      </c>
      <c r="E115" t="str">
        <f>IFERROR(__xludf.DUMMYFUNCTION("""COMPUTED_VALUE"""),"-")</f>
        <v>-</v>
      </c>
      <c r="F115" t="str">
        <f>IFERROR(__xludf.DUMMYFUNCTION("""COMPUTED_VALUE"""),"-")</f>
        <v>-</v>
      </c>
      <c r="G115" t="str">
        <f>IFERROR(__xludf.DUMMYFUNCTION("""COMPUTED_VALUE"""),"-")</f>
        <v>-</v>
      </c>
      <c r="H115" t="str">
        <f>IFERROR(__xludf.DUMMYFUNCTION("""COMPUTED_VALUE"""),"-")</f>
        <v>-</v>
      </c>
      <c r="I115" t="str">
        <f>IFERROR(__xludf.DUMMYFUNCTION("""COMPUTED_VALUE"""),"-")</f>
        <v>-</v>
      </c>
      <c r="J115" t="str">
        <f>IFERROR(__xludf.DUMMYFUNCTION("""COMPUTED_VALUE"""),"-")</f>
        <v>-</v>
      </c>
      <c r="K115" t="str">
        <f>IFERROR(__xludf.DUMMYFUNCTION("""COMPUTED_VALUE"""),"-")</f>
        <v>-</v>
      </c>
      <c r="L115" t="str">
        <f>IFERROR(__xludf.DUMMYFUNCTION("""COMPUTED_VALUE"""),"-")</f>
        <v>-</v>
      </c>
      <c r="M115" t="str">
        <f>IFERROR(__xludf.DUMMYFUNCTION("""COMPUTED_VALUE"""),"-")</f>
        <v>-</v>
      </c>
      <c r="O115" t="str">
        <f>IFERROR(__xludf.DUMMYFUNCTION("""COMPUTED_VALUE"""),"#114")</f>
        <v>#114</v>
      </c>
      <c r="P115" t="str">
        <f>IFERROR(__xludf.DUMMYFUNCTION("""COMPUTED_VALUE"""),"Corinne Lepage")</f>
        <v>Corinne Lepage</v>
      </c>
      <c r="Q115">
        <f>IFERROR(__xludf.DUMMYFUNCTION("""COMPUTED_VALUE"""),75265.0)</f>
        <v>75265</v>
      </c>
      <c r="R115" t="str">
        <f>IFERROR(__xludf.DUMMYFUNCTION("""COMPUTED_VALUE"""),"-")</f>
        <v>-</v>
      </c>
      <c r="S115" t="str">
        <f>IFERROR(__xludf.DUMMYFUNCTION("""COMPUTED_VALUE"""),"-")</f>
        <v>-</v>
      </c>
      <c r="T115" t="str">
        <f>IFERROR(__xludf.DUMMYFUNCTION("""COMPUTED_VALUE"""),"-")</f>
        <v>-</v>
      </c>
      <c r="U115" t="str">
        <f>IFERROR(__xludf.DUMMYFUNCTION("""COMPUTED_VALUE"""),"-")</f>
        <v>-</v>
      </c>
      <c r="V115" t="str">
        <f>IFERROR(__xludf.DUMMYFUNCTION("""COMPUTED_VALUE"""),"-")</f>
        <v>-</v>
      </c>
      <c r="W115" t="str">
        <f>IFERROR(__xludf.DUMMYFUNCTION("""COMPUTED_VALUE"""),"-")</f>
        <v>-</v>
      </c>
      <c r="X115" t="str">
        <f>IFERROR(__xludf.DUMMYFUNCTION("""COMPUTED_VALUE"""),"-")</f>
        <v>-</v>
      </c>
      <c r="Y115" t="str">
        <f>IFERROR(__xludf.DUMMYFUNCTION("""COMPUTED_VALUE"""),"-")</f>
        <v>-</v>
      </c>
      <c r="Z115" t="str">
        <f>IFERROR(__xludf.DUMMYFUNCTION("""COMPUTED_VALUE"""),"-")</f>
        <v>-</v>
      </c>
      <c r="AA115" t="str">
        <f>IFERROR(__xludf.DUMMYFUNCTION("""COMPUTED_VALUE"""),"-")</f>
        <v>-</v>
      </c>
    </row>
    <row r="116">
      <c r="A116" t="str">
        <f>IFERROR(__xludf.DUMMYFUNCTION("""COMPUTED_VALUE"""),"#115")</f>
        <v>#115</v>
      </c>
      <c r="B116" t="str">
        <f>IFERROR(__xludf.DUMMYFUNCTION("""COMPUTED_VALUE"""),"Éric Piolle")</f>
        <v>Éric Piolle</v>
      </c>
      <c r="C116">
        <f>IFERROR(__xludf.DUMMYFUNCTION("""COMPUTED_VALUE"""),74125.0)</f>
        <v>74125</v>
      </c>
      <c r="D116" t="str">
        <f>IFERROR(__xludf.DUMMYFUNCTION("""COMPUTED_VALUE"""),"-")</f>
        <v>-</v>
      </c>
      <c r="E116" t="str">
        <f>IFERROR(__xludf.DUMMYFUNCTION("""COMPUTED_VALUE"""),"-")</f>
        <v>-</v>
      </c>
      <c r="F116" t="str">
        <f>IFERROR(__xludf.DUMMYFUNCTION("""COMPUTED_VALUE"""),"-")</f>
        <v>-</v>
      </c>
      <c r="G116" t="str">
        <f>IFERROR(__xludf.DUMMYFUNCTION("""COMPUTED_VALUE"""),"-")</f>
        <v>-</v>
      </c>
      <c r="H116" t="str">
        <f>IFERROR(__xludf.DUMMYFUNCTION("""COMPUTED_VALUE"""),"-")</f>
        <v>-</v>
      </c>
      <c r="I116" t="str">
        <f>IFERROR(__xludf.DUMMYFUNCTION("""COMPUTED_VALUE"""),"-")</f>
        <v>-</v>
      </c>
      <c r="J116" t="str">
        <f>IFERROR(__xludf.DUMMYFUNCTION("""COMPUTED_VALUE"""),"-")</f>
        <v>-</v>
      </c>
      <c r="K116" t="str">
        <f>IFERROR(__xludf.DUMMYFUNCTION("""COMPUTED_VALUE"""),"-")</f>
        <v>-</v>
      </c>
      <c r="L116" t="str">
        <f>IFERROR(__xludf.DUMMYFUNCTION("""COMPUTED_VALUE"""),"-")</f>
        <v>-</v>
      </c>
      <c r="M116" t="str">
        <f>IFERROR(__xludf.DUMMYFUNCTION("""COMPUTED_VALUE"""),"-")</f>
        <v>-</v>
      </c>
      <c r="O116" t="str">
        <f>IFERROR(__xludf.DUMMYFUNCTION("""COMPUTED_VALUE"""),"#115")</f>
        <v>#115</v>
      </c>
      <c r="P116" t="str">
        <f>IFERROR(__xludf.DUMMYFUNCTION("""COMPUTED_VALUE"""),"Éric Piolle")</f>
        <v>Éric Piolle</v>
      </c>
      <c r="Q116">
        <f>IFERROR(__xludf.DUMMYFUNCTION("""COMPUTED_VALUE"""),74125.0)</f>
        <v>74125</v>
      </c>
      <c r="R116" t="str">
        <f>IFERROR(__xludf.DUMMYFUNCTION("""COMPUTED_VALUE"""),"-")</f>
        <v>-</v>
      </c>
      <c r="S116" t="str">
        <f>IFERROR(__xludf.DUMMYFUNCTION("""COMPUTED_VALUE"""),"-")</f>
        <v>-</v>
      </c>
      <c r="T116" t="str">
        <f>IFERROR(__xludf.DUMMYFUNCTION("""COMPUTED_VALUE"""),"-")</f>
        <v>-</v>
      </c>
      <c r="U116" t="str">
        <f>IFERROR(__xludf.DUMMYFUNCTION("""COMPUTED_VALUE"""),"-")</f>
        <v>-</v>
      </c>
      <c r="V116" t="str">
        <f>IFERROR(__xludf.DUMMYFUNCTION("""COMPUTED_VALUE"""),"-")</f>
        <v>-</v>
      </c>
      <c r="W116" t="str">
        <f>IFERROR(__xludf.DUMMYFUNCTION("""COMPUTED_VALUE"""),"-")</f>
        <v>-</v>
      </c>
      <c r="X116" t="str">
        <f>IFERROR(__xludf.DUMMYFUNCTION("""COMPUTED_VALUE"""),"-")</f>
        <v>-</v>
      </c>
      <c r="Y116" t="str">
        <f>IFERROR(__xludf.DUMMYFUNCTION("""COMPUTED_VALUE"""),"-")</f>
        <v>-</v>
      </c>
      <c r="Z116" t="str">
        <f>IFERROR(__xludf.DUMMYFUNCTION("""COMPUTED_VALUE"""),"-")</f>
        <v>-</v>
      </c>
      <c r="AA116" t="str">
        <f>IFERROR(__xludf.DUMMYFUNCTION("""COMPUTED_VALUE"""),"-")</f>
        <v>-</v>
      </c>
    </row>
    <row r="117">
      <c r="A117" t="str">
        <f>IFERROR(__xludf.DUMMYFUNCTION("""COMPUTED_VALUE"""),"#116")</f>
        <v>#116</v>
      </c>
      <c r="B117" t="str">
        <f>IFERROR(__xludf.DUMMYFUNCTION("""COMPUTED_VALUE"""),"Carole Delga")</f>
        <v>Carole Delga</v>
      </c>
      <c r="C117">
        <f>IFERROR(__xludf.DUMMYFUNCTION("""COMPUTED_VALUE"""),73753.0)</f>
        <v>73753</v>
      </c>
      <c r="D117" t="str">
        <f>IFERROR(__xludf.DUMMYFUNCTION("""COMPUTED_VALUE"""),"-")</f>
        <v>-</v>
      </c>
      <c r="E117" t="str">
        <f>IFERROR(__xludf.DUMMYFUNCTION("""COMPUTED_VALUE"""),"-")</f>
        <v>-</v>
      </c>
      <c r="F117" t="str">
        <f>IFERROR(__xludf.DUMMYFUNCTION("""COMPUTED_VALUE"""),"-")</f>
        <v>-</v>
      </c>
      <c r="G117" t="str">
        <f>IFERROR(__xludf.DUMMYFUNCTION("""COMPUTED_VALUE"""),"-")</f>
        <v>-</v>
      </c>
      <c r="H117" t="str">
        <f>IFERROR(__xludf.DUMMYFUNCTION("""COMPUTED_VALUE"""),"-")</f>
        <v>-</v>
      </c>
      <c r="I117" t="str">
        <f>IFERROR(__xludf.DUMMYFUNCTION("""COMPUTED_VALUE"""),"-")</f>
        <v>-</v>
      </c>
      <c r="J117" t="str">
        <f>IFERROR(__xludf.DUMMYFUNCTION("""COMPUTED_VALUE"""),"-")</f>
        <v>-</v>
      </c>
      <c r="K117" t="str">
        <f>IFERROR(__xludf.DUMMYFUNCTION("""COMPUTED_VALUE"""),"-")</f>
        <v>-</v>
      </c>
      <c r="L117" t="str">
        <f>IFERROR(__xludf.DUMMYFUNCTION("""COMPUTED_VALUE"""),"-")</f>
        <v>-</v>
      </c>
      <c r="M117" t="str">
        <f>IFERROR(__xludf.DUMMYFUNCTION("""COMPUTED_VALUE"""),"-")</f>
        <v>-</v>
      </c>
      <c r="O117" t="str">
        <f>IFERROR(__xludf.DUMMYFUNCTION("""COMPUTED_VALUE"""),"#116")</f>
        <v>#116</v>
      </c>
      <c r="P117" t="str">
        <f>IFERROR(__xludf.DUMMYFUNCTION("""COMPUTED_VALUE"""),"Carole Delga")</f>
        <v>Carole Delga</v>
      </c>
      <c r="Q117">
        <f>IFERROR(__xludf.DUMMYFUNCTION("""COMPUTED_VALUE"""),73753.0)</f>
        <v>73753</v>
      </c>
      <c r="R117" t="str">
        <f>IFERROR(__xludf.DUMMYFUNCTION("""COMPUTED_VALUE"""),"-")</f>
        <v>-</v>
      </c>
      <c r="S117" t="str">
        <f>IFERROR(__xludf.DUMMYFUNCTION("""COMPUTED_VALUE"""),"-")</f>
        <v>-</v>
      </c>
      <c r="T117" t="str">
        <f>IFERROR(__xludf.DUMMYFUNCTION("""COMPUTED_VALUE"""),"-")</f>
        <v>-</v>
      </c>
      <c r="U117" t="str">
        <f>IFERROR(__xludf.DUMMYFUNCTION("""COMPUTED_VALUE"""),"-")</f>
        <v>-</v>
      </c>
      <c r="V117" t="str">
        <f>IFERROR(__xludf.DUMMYFUNCTION("""COMPUTED_VALUE"""),"-")</f>
        <v>-</v>
      </c>
      <c r="W117" t="str">
        <f>IFERROR(__xludf.DUMMYFUNCTION("""COMPUTED_VALUE"""),"-")</f>
        <v>-</v>
      </c>
      <c r="X117" t="str">
        <f>IFERROR(__xludf.DUMMYFUNCTION("""COMPUTED_VALUE"""),"-")</f>
        <v>-</v>
      </c>
      <c r="Y117" t="str">
        <f>IFERROR(__xludf.DUMMYFUNCTION("""COMPUTED_VALUE"""),"-")</f>
        <v>-</v>
      </c>
      <c r="Z117" t="str">
        <f>IFERROR(__xludf.DUMMYFUNCTION("""COMPUTED_VALUE"""),"-")</f>
        <v>-</v>
      </c>
      <c r="AA117" t="str">
        <f>IFERROR(__xludf.DUMMYFUNCTION("""COMPUTED_VALUE"""),"-")</f>
        <v>-</v>
      </c>
    </row>
    <row r="118">
      <c r="A118" t="str">
        <f>IFERROR(__xludf.DUMMYFUNCTION("""COMPUTED_VALUE"""),"#117")</f>
        <v>#117</v>
      </c>
      <c r="B118" t="str">
        <f>IFERROR(__xludf.DUMMYFUNCTION("""COMPUTED_VALUE"""),"Gérard Larcher")</f>
        <v>Gérard Larcher</v>
      </c>
      <c r="C118">
        <f>IFERROR(__xludf.DUMMYFUNCTION("""COMPUTED_VALUE"""),70925.0)</f>
        <v>70925</v>
      </c>
      <c r="D118" t="str">
        <f>IFERROR(__xludf.DUMMYFUNCTION("""COMPUTED_VALUE"""),"-")</f>
        <v>-</v>
      </c>
      <c r="E118" t="str">
        <f>IFERROR(__xludf.DUMMYFUNCTION("""COMPUTED_VALUE"""),"-")</f>
        <v>-</v>
      </c>
      <c r="F118" t="str">
        <f>IFERROR(__xludf.DUMMYFUNCTION("""COMPUTED_VALUE"""),"-")</f>
        <v>-</v>
      </c>
      <c r="G118" t="str">
        <f>IFERROR(__xludf.DUMMYFUNCTION("""COMPUTED_VALUE"""),"-")</f>
        <v>-</v>
      </c>
      <c r="H118" t="str">
        <f>IFERROR(__xludf.DUMMYFUNCTION("""COMPUTED_VALUE"""),"-")</f>
        <v>-</v>
      </c>
      <c r="I118" t="str">
        <f>IFERROR(__xludf.DUMMYFUNCTION("""COMPUTED_VALUE"""),"-")</f>
        <v>-</v>
      </c>
      <c r="J118" t="str">
        <f>IFERROR(__xludf.DUMMYFUNCTION("""COMPUTED_VALUE"""),"-")</f>
        <v>-</v>
      </c>
      <c r="K118" t="str">
        <f>IFERROR(__xludf.DUMMYFUNCTION("""COMPUTED_VALUE"""),"-")</f>
        <v>-</v>
      </c>
      <c r="L118" t="str">
        <f>IFERROR(__xludf.DUMMYFUNCTION("""COMPUTED_VALUE"""),"-")</f>
        <v>-</v>
      </c>
      <c r="M118" t="str">
        <f>IFERROR(__xludf.DUMMYFUNCTION("""COMPUTED_VALUE"""),"-")</f>
        <v>-</v>
      </c>
      <c r="O118" t="str">
        <f>IFERROR(__xludf.DUMMYFUNCTION("""COMPUTED_VALUE"""),"#117")</f>
        <v>#117</v>
      </c>
      <c r="P118" t="str">
        <f>IFERROR(__xludf.DUMMYFUNCTION("""COMPUTED_VALUE"""),"Gérard Larcher")</f>
        <v>Gérard Larcher</v>
      </c>
      <c r="Q118">
        <f>IFERROR(__xludf.DUMMYFUNCTION("""COMPUTED_VALUE"""),70925.0)</f>
        <v>70925</v>
      </c>
      <c r="R118" t="str">
        <f>IFERROR(__xludf.DUMMYFUNCTION("""COMPUTED_VALUE"""),"-")</f>
        <v>-</v>
      </c>
      <c r="S118" t="str">
        <f>IFERROR(__xludf.DUMMYFUNCTION("""COMPUTED_VALUE"""),"-")</f>
        <v>-</v>
      </c>
      <c r="T118" t="str">
        <f>IFERROR(__xludf.DUMMYFUNCTION("""COMPUTED_VALUE"""),"-")</f>
        <v>-</v>
      </c>
      <c r="U118" t="str">
        <f>IFERROR(__xludf.DUMMYFUNCTION("""COMPUTED_VALUE"""),"-")</f>
        <v>-</v>
      </c>
      <c r="V118" t="str">
        <f>IFERROR(__xludf.DUMMYFUNCTION("""COMPUTED_VALUE"""),"-")</f>
        <v>-</v>
      </c>
      <c r="W118" t="str">
        <f>IFERROR(__xludf.DUMMYFUNCTION("""COMPUTED_VALUE"""),"-")</f>
        <v>-</v>
      </c>
      <c r="X118" t="str">
        <f>IFERROR(__xludf.DUMMYFUNCTION("""COMPUTED_VALUE"""),"-")</f>
        <v>-</v>
      </c>
      <c r="Y118" t="str">
        <f>IFERROR(__xludf.DUMMYFUNCTION("""COMPUTED_VALUE"""),"-")</f>
        <v>-</v>
      </c>
      <c r="Z118" t="str">
        <f>IFERROR(__xludf.DUMMYFUNCTION("""COMPUTED_VALUE"""),"-")</f>
        <v>-</v>
      </c>
      <c r="AA118" t="str">
        <f>IFERROR(__xludf.DUMMYFUNCTION("""COMPUTED_VALUE"""),"-")</f>
        <v>-</v>
      </c>
    </row>
    <row r="119">
      <c r="A119" t="str">
        <f>IFERROR(__xludf.DUMMYFUNCTION("""COMPUTED_VALUE"""),"#118")</f>
        <v>#118</v>
      </c>
      <c r="B119" t="str">
        <f>IFERROR(__xludf.DUMMYFUNCTION("""COMPUTED_VALUE"""),"Gérard Filoche")</f>
        <v>Gérard Filoche</v>
      </c>
      <c r="C119">
        <f>IFERROR(__xludf.DUMMYFUNCTION("""COMPUTED_VALUE"""),70308.0)</f>
        <v>70308</v>
      </c>
      <c r="D119" t="str">
        <f>IFERROR(__xludf.DUMMYFUNCTION("""COMPUTED_VALUE"""),"-")</f>
        <v>-</v>
      </c>
      <c r="E119" t="str">
        <f>IFERROR(__xludf.DUMMYFUNCTION("""COMPUTED_VALUE"""),"-")</f>
        <v>-</v>
      </c>
      <c r="F119" t="str">
        <f>IFERROR(__xludf.DUMMYFUNCTION("""COMPUTED_VALUE"""),"-")</f>
        <v>-</v>
      </c>
      <c r="G119" t="str">
        <f>IFERROR(__xludf.DUMMYFUNCTION("""COMPUTED_VALUE"""),"-")</f>
        <v>-</v>
      </c>
      <c r="H119" t="str">
        <f>IFERROR(__xludf.DUMMYFUNCTION("""COMPUTED_VALUE"""),"-")</f>
        <v>-</v>
      </c>
      <c r="I119" t="str">
        <f>IFERROR(__xludf.DUMMYFUNCTION("""COMPUTED_VALUE"""),"-")</f>
        <v>-</v>
      </c>
      <c r="J119" t="str">
        <f>IFERROR(__xludf.DUMMYFUNCTION("""COMPUTED_VALUE"""),"-")</f>
        <v>-</v>
      </c>
      <c r="K119" t="str">
        <f>IFERROR(__xludf.DUMMYFUNCTION("""COMPUTED_VALUE"""),"-")</f>
        <v>-</v>
      </c>
      <c r="L119" t="str">
        <f>IFERROR(__xludf.DUMMYFUNCTION("""COMPUTED_VALUE"""),"-")</f>
        <v>-</v>
      </c>
      <c r="M119" t="str">
        <f>IFERROR(__xludf.DUMMYFUNCTION("""COMPUTED_VALUE"""),"-")</f>
        <v>-</v>
      </c>
      <c r="O119" t="str">
        <f>IFERROR(__xludf.DUMMYFUNCTION("""COMPUTED_VALUE"""),"#118")</f>
        <v>#118</v>
      </c>
      <c r="P119" t="str">
        <f>IFERROR(__xludf.DUMMYFUNCTION("""COMPUTED_VALUE"""),"Gérard Filoche")</f>
        <v>Gérard Filoche</v>
      </c>
      <c r="Q119">
        <f>IFERROR(__xludf.DUMMYFUNCTION("""COMPUTED_VALUE"""),70308.0)</f>
        <v>70308</v>
      </c>
      <c r="R119" t="str">
        <f>IFERROR(__xludf.DUMMYFUNCTION("""COMPUTED_VALUE"""),"-")</f>
        <v>-</v>
      </c>
      <c r="S119" t="str">
        <f>IFERROR(__xludf.DUMMYFUNCTION("""COMPUTED_VALUE"""),"-")</f>
        <v>-</v>
      </c>
      <c r="T119" t="str">
        <f>IFERROR(__xludf.DUMMYFUNCTION("""COMPUTED_VALUE"""),"-")</f>
        <v>-</v>
      </c>
      <c r="U119" t="str">
        <f>IFERROR(__xludf.DUMMYFUNCTION("""COMPUTED_VALUE"""),"-")</f>
        <v>-</v>
      </c>
      <c r="V119" t="str">
        <f>IFERROR(__xludf.DUMMYFUNCTION("""COMPUTED_VALUE"""),"-")</f>
        <v>-</v>
      </c>
      <c r="W119" t="str">
        <f>IFERROR(__xludf.DUMMYFUNCTION("""COMPUTED_VALUE"""),"-")</f>
        <v>-</v>
      </c>
      <c r="X119" t="str">
        <f>IFERROR(__xludf.DUMMYFUNCTION("""COMPUTED_VALUE"""),"-")</f>
        <v>-</v>
      </c>
      <c r="Y119" t="str">
        <f>IFERROR(__xludf.DUMMYFUNCTION("""COMPUTED_VALUE"""),"-")</f>
        <v>-</v>
      </c>
      <c r="Z119" t="str">
        <f>IFERROR(__xludf.DUMMYFUNCTION("""COMPUTED_VALUE"""),"-")</f>
        <v>-</v>
      </c>
      <c r="AA119" t="str">
        <f>IFERROR(__xludf.DUMMYFUNCTION("""COMPUTED_VALUE"""),"-")</f>
        <v>-</v>
      </c>
    </row>
    <row r="120">
      <c r="A120" t="str">
        <f>IFERROR(__xludf.DUMMYFUNCTION("""COMPUTED_VALUE"""),"#119")</f>
        <v>#119</v>
      </c>
      <c r="B120" t="str">
        <f>IFERROR(__xludf.DUMMYFUNCTION("""COMPUTED_VALUE"""),"Jean-Baptiste Djebbari")</f>
        <v>Jean-Baptiste Djebbari</v>
      </c>
      <c r="C120">
        <f>IFERROR(__xludf.DUMMYFUNCTION("""COMPUTED_VALUE"""),70127.0)</f>
        <v>70127</v>
      </c>
      <c r="D120" t="str">
        <f>IFERROR(__xludf.DUMMYFUNCTION("""COMPUTED_VALUE"""),"-")</f>
        <v>-</v>
      </c>
      <c r="E120" t="str">
        <f>IFERROR(__xludf.DUMMYFUNCTION("""COMPUTED_VALUE"""),"-")</f>
        <v>-</v>
      </c>
      <c r="F120" t="str">
        <f>IFERROR(__xludf.DUMMYFUNCTION("""COMPUTED_VALUE"""),"-")</f>
        <v>-</v>
      </c>
      <c r="G120" t="str">
        <f>IFERROR(__xludf.DUMMYFUNCTION("""COMPUTED_VALUE"""),"-")</f>
        <v>-</v>
      </c>
      <c r="H120" t="str">
        <f>IFERROR(__xludf.DUMMYFUNCTION("""COMPUTED_VALUE"""),"-")</f>
        <v>-</v>
      </c>
      <c r="I120" t="str">
        <f>IFERROR(__xludf.DUMMYFUNCTION("""COMPUTED_VALUE"""),"-")</f>
        <v>-</v>
      </c>
      <c r="J120" t="str">
        <f>IFERROR(__xludf.DUMMYFUNCTION("""COMPUTED_VALUE"""),"-")</f>
        <v>-</v>
      </c>
      <c r="K120" t="str">
        <f>IFERROR(__xludf.DUMMYFUNCTION("""COMPUTED_VALUE"""),"-")</f>
        <v>-</v>
      </c>
      <c r="L120" t="str">
        <f>IFERROR(__xludf.DUMMYFUNCTION("""COMPUTED_VALUE"""),"-")</f>
        <v>-</v>
      </c>
      <c r="M120" t="str">
        <f>IFERROR(__xludf.DUMMYFUNCTION("""COMPUTED_VALUE"""),"-")</f>
        <v>-</v>
      </c>
      <c r="O120" t="str">
        <f>IFERROR(__xludf.DUMMYFUNCTION("""COMPUTED_VALUE"""),"#119")</f>
        <v>#119</v>
      </c>
      <c r="P120" t="str">
        <f>IFERROR(__xludf.DUMMYFUNCTION("""COMPUTED_VALUE"""),"Jean-Baptiste Djebbari")</f>
        <v>Jean-Baptiste Djebbari</v>
      </c>
      <c r="Q120">
        <f>IFERROR(__xludf.DUMMYFUNCTION("""COMPUTED_VALUE"""),70127.0)</f>
        <v>70127</v>
      </c>
      <c r="R120" t="str">
        <f>IFERROR(__xludf.DUMMYFUNCTION("""COMPUTED_VALUE"""),"-")</f>
        <v>-</v>
      </c>
      <c r="S120" t="str">
        <f>IFERROR(__xludf.DUMMYFUNCTION("""COMPUTED_VALUE"""),"-")</f>
        <v>-</v>
      </c>
      <c r="T120" t="str">
        <f>IFERROR(__xludf.DUMMYFUNCTION("""COMPUTED_VALUE"""),"-")</f>
        <v>-</v>
      </c>
      <c r="U120" t="str">
        <f>IFERROR(__xludf.DUMMYFUNCTION("""COMPUTED_VALUE"""),"-")</f>
        <v>-</v>
      </c>
      <c r="V120" t="str">
        <f>IFERROR(__xludf.DUMMYFUNCTION("""COMPUTED_VALUE"""),"-")</f>
        <v>-</v>
      </c>
      <c r="W120" t="str">
        <f>IFERROR(__xludf.DUMMYFUNCTION("""COMPUTED_VALUE"""),"-")</f>
        <v>-</v>
      </c>
      <c r="X120" t="str">
        <f>IFERROR(__xludf.DUMMYFUNCTION("""COMPUTED_VALUE"""),"-")</f>
        <v>-</v>
      </c>
      <c r="Y120" t="str">
        <f>IFERROR(__xludf.DUMMYFUNCTION("""COMPUTED_VALUE"""),"-")</f>
        <v>-</v>
      </c>
      <c r="Z120" t="str">
        <f>IFERROR(__xludf.DUMMYFUNCTION("""COMPUTED_VALUE"""),"-")</f>
        <v>-</v>
      </c>
      <c r="AA120" t="str">
        <f>IFERROR(__xludf.DUMMYFUNCTION("""COMPUTED_VALUE"""),"-")</f>
        <v>-</v>
      </c>
    </row>
    <row r="121">
      <c r="A121" t="str">
        <f>IFERROR(__xludf.DUMMYFUNCTION("""COMPUTED_VALUE"""),"#120")</f>
        <v>#120</v>
      </c>
      <c r="B121" t="str">
        <f>IFERROR(__xludf.DUMMYFUNCTION("""COMPUTED_VALUE"""),"Julien Odoul")</f>
        <v>Julien Odoul</v>
      </c>
      <c r="C121">
        <f>IFERROR(__xludf.DUMMYFUNCTION("""COMPUTED_VALUE"""),67608.0)</f>
        <v>67608</v>
      </c>
      <c r="D121" t="str">
        <f>IFERROR(__xludf.DUMMYFUNCTION("""COMPUTED_VALUE"""),"-")</f>
        <v>-</v>
      </c>
      <c r="E121" t="str">
        <f>IFERROR(__xludf.DUMMYFUNCTION("""COMPUTED_VALUE"""),"-")</f>
        <v>-</v>
      </c>
      <c r="F121" t="str">
        <f>IFERROR(__xludf.DUMMYFUNCTION("""COMPUTED_VALUE"""),"-")</f>
        <v>-</v>
      </c>
      <c r="G121" t="str">
        <f>IFERROR(__xludf.DUMMYFUNCTION("""COMPUTED_VALUE"""),"-")</f>
        <v>-</v>
      </c>
      <c r="H121" t="str">
        <f>IFERROR(__xludf.DUMMYFUNCTION("""COMPUTED_VALUE"""),"-")</f>
        <v>-</v>
      </c>
      <c r="I121" t="str">
        <f>IFERROR(__xludf.DUMMYFUNCTION("""COMPUTED_VALUE"""),"-")</f>
        <v>-</v>
      </c>
      <c r="J121" t="str">
        <f>IFERROR(__xludf.DUMMYFUNCTION("""COMPUTED_VALUE"""),"-")</f>
        <v>-</v>
      </c>
      <c r="K121" t="str">
        <f>IFERROR(__xludf.DUMMYFUNCTION("""COMPUTED_VALUE"""),"-")</f>
        <v>-</v>
      </c>
      <c r="L121" t="str">
        <f>IFERROR(__xludf.DUMMYFUNCTION("""COMPUTED_VALUE"""),"-")</f>
        <v>-</v>
      </c>
      <c r="M121" t="str">
        <f>IFERROR(__xludf.DUMMYFUNCTION("""COMPUTED_VALUE"""),"-")</f>
        <v>-</v>
      </c>
      <c r="O121" t="str">
        <f>IFERROR(__xludf.DUMMYFUNCTION("""COMPUTED_VALUE"""),"#120")</f>
        <v>#120</v>
      </c>
      <c r="P121" t="str">
        <f>IFERROR(__xludf.DUMMYFUNCTION("""COMPUTED_VALUE"""),"Julien Odoul")</f>
        <v>Julien Odoul</v>
      </c>
      <c r="Q121">
        <f>IFERROR(__xludf.DUMMYFUNCTION("""COMPUTED_VALUE"""),67608.0)</f>
        <v>67608</v>
      </c>
      <c r="R121" t="str">
        <f>IFERROR(__xludf.DUMMYFUNCTION("""COMPUTED_VALUE"""),"-")</f>
        <v>-</v>
      </c>
      <c r="S121" t="str">
        <f>IFERROR(__xludf.DUMMYFUNCTION("""COMPUTED_VALUE"""),"-")</f>
        <v>-</v>
      </c>
      <c r="T121" t="str">
        <f>IFERROR(__xludf.DUMMYFUNCTION("""COMPUTED_VALUE"""),"-")</f>
        <v>-</v>
      </c>
      <c r="U121" t="str">
        <f>IFERROR(__xludf.DUMMYFUNCTION("""COMPUTED_VALUE"""),"-")</f>
        <v>-</v>
      </c>
      <c r="V121" t="str">
        <f>IFERROR(__xludf.DUMMYFUNCTION("""COMPUTED_VALUE"""),"-")</f>
        <v>-</v>
      </c>
      <c r="W121" t="str">
        <f>IFERROR(__xludf.DUMMYFUNCTION("""COMPUTED_VALUE"""),"-")</f>
        <v>-</v>
      </c>
      <c r="X121" t="str">
        <f>IFERROR(__xludf.DUMMYFUNCTION("""COMPUTED_VALUE"""),"-")</f>
        <v>-</v>
      </c>
      <c r="Y121" t="str">
        <f>IFERROR(__xludf.DUMMYFUNCTION("""COMPUTED_VALUE"""),"-")</f>
        <v>-</v>
      </c>
      <c r="Z121" t="str">
        <f>IFERROR(__xludf.DUMMYFUNCTION("""COMPUTED_VALUE"""),"-")</f>
        <v>-</v>
      </c>
      <c r="AA121" t="str">
        <f>IFERROR(__xludf.DUMMYFUNCTION("""COMPUTED_VALUE"""),"-")</f>
        <v>-</v>
      </c>
    </row>
    <row r="122">
      <c r="A122" t="str">
        <f>IFERROR(__xludf.DUMMYFUNCTION("""COMPUTED_VALUE"""),"#121")</f>
        <v>#121</v>
      </c>
      <c r="B122" t="str">
        <f>IFERROR(__xludf.DUMMYFUNCTION("""COMPUTED_VALUE"""),"Nathalie Loiseau")</f>
        <v>Nathalie Loiseau</v>
      </c>
      <c r="C122">
        <f>IFERROR(__xludf.DUMMYFUNCTION("""COMPUTED_VALUE"""),66793.0)</f>
        <v>66793</v>
      </c>
      <c r="D122" t="str">
        <f>IFERROR(__xludf.DUMMYFUNCTION("""COMPUTED_VALUE"""),"-")</f>
        <v>-</v>
      </c>
      <c r="E122" t="str">
        <f>IFERROR(__xludf.DUMMYFUNCTION("""COMPUTED_VALUE"""),"-")</f>
        <v>-</v>
      </c>
      <c r="F122" t="str">
        <f>IFERROR(__xludf.DUMMYFUNCTION("""COMPUTED_VALUE"""),"-")</f>
        <v>-</v>
      </c>
      <c r="G122" t="str">
        <f>IFERROR(__xludf.DUMMYFUNCTION("""COMPUTED_VALUE"""),"-")</f>
        <v>-</v>
      </c>
      <c r="H122" t="str">
        <f>IFERROR(__xludf.DUMMYFUNCTION("""COMPUTED_VALUE"""),"-")</f>
        <v>-</v>
      </c>
      <c r="I122" t="str">
        <f>IFERROR(__xludf.DUMMYFUNCTION("""COMPUTED_VALUE"""),"-")</f>
        <v>-</v>
      </c>
      <c r="J122" t="str">
        <f>IFERROR(__xludf.DUMMYFUNCTION("""COMPUTED_VALUE"""),"-")</f>
        <v>-</v>
      </c>
      <c r="K122" t="str">
        <f>IFERROR(__xludf.DUMMYFUNCTION("""COMPUTED_VALUE"""),"-")</f>
        <v>-</v>
      </c>
      <c r="L122" t="str">
        <f>IFERROR(__xludf.DUMMYFUNCTION("""COMPUTED_VALUE"""),"-")</f>
        <v>-</v>
      </c>
      <c r="M122" t="str">
        <f>IFERROR(__xludf.DUMMYFUNCTION("""COMPUTED_VALUE"""),"-")</f>
        <v>-</v>
      </c>
      <c r="O122" t="str">
        <f>IFERROR(__xludf.DUMMYFUNCTION("""COMPUTED_VALUE"""),"#121")</f>
        <v>#121</v>
      </c>
      <c r="P122" t="str">
        <f>IFERROR(__xludf.DUMMYFUNCTION("""COMPUTED_VALUE"""),"Nathalie Loiseau")</f>
        <v>Nathalie Loiseau</v>
      </c>
      <c r="Q122">
        <f>IFERROR(__xludf.DUMMYFUNCTION("""COMPUTED_VALUE"""),66793.0)</f>
        <v>66793</v>
      </c>
      <c r="R122" t="str">
        <f>IFERROR(__xludf.DUMMYFUNCTION("""COMPUTED_VALUE"""),"-")</f>
        <v>-</v>
      </c>
      <c r="S122" t="str">
        <f>IFERROR(__xludf.DUMMYFUNCTION("""COMPUTED_VALUE"""),"-")</f>
        <v>-</v>
      </c>
      <c r="T122" t="str">
        <f>IFERROR(__xludf.DUMMYFUNCTION("""COMPUTED_VALUE"""),"-")</f>
        <v>-</v>
      </c>
      <c r="U122" t="str">
        <f>IFERROR(__xludf.DUMMYFUNCTION("""COMPUTED_VALUE"""),"-")</f>
        <v>-</v>
      </c>
      <c r="V122" t="str">
        <f>IFERROR(__xludf.DUMMYFUNCTION("""COMPUTED_VALUE"""),"-")</f>
        <v>-</v>
      </c>
      <c r="W122" t="str">
        <f>IFERROR(__xludf.DUMMYFUNCTION("""COMPUTED_VALUE"""),"-")</f>
        <v>-</v>
      </c>
      <c r="X122" t="str">
        <f>IFERROR(__xludf.DUMMYFUNCTION("""COMPUTED_VALUE"""),"-")</f>
        <v>-</v>
      </c>
      <c r="Y122" t="str">
        <f>IFERROR(__xludf.DUMMYFUNCTION("""COMPUTED_VALUE"""),"-")</f>
        <v>-</v>
      </c>
      <c r="Z122" t="str">
        <f>IFERROR(__xludf.DUMMYFUNCTION("""COMPUTED_VALUE"""),"-")</f>
        <v>-</v>
      </c>
      <c r="AA122" t="str">
        <f>IFERROR(__xludf.DUMMYFUNCTION("""COMPUTED_VALUE"""),"-")</f>
        <v>-</v>
      </c>
    </row>
    <row r="123">
      <c r="A123" t="str">
        <f>IFERROR(__xludf.DUMMYFUNCTION("""COMPUTED_VALUE"""),"#122")</f>
        <v>#122</v>
      </c>
      <c r="B123" t="str">
        <f>IFERROR(__xludf.DUMMYFUNCTION("""COMPUTED_VALUE"""),"Jean-Pierre Chevènement")</f>
        <v>Jean-Pierre Chevènement</v>
      </c>
      <c r="C123">
        <f>IFERROR(__xludf.DUMMYFUNCTION("""COMPUTED_VALUE"""),66466.0)</f>
        <v>66466</v>
      </c>
      <c r="D123" t="str">
        <f>IFERROR(__xludf.DUMMYFUNCTION("""COMPUTED_VALUE"""),"-")</f>
        <v>-</v>
      </c>
      <c r="E123" t="str">
        <f>IFERROR(__xludf.DUMMYFUNCTION("""COMPUTED_VALUE"""),"-")</f>
        <v>-</v>
      </c>
      <c r="F123" t="str">
        <f>IFERROR(__xludf.DUMMYFUNCTION("""COMPUTED_VALUE"""),"-")</f>
        <v>-</v>
      </c>
      <c r="G123" t="str">
        <f>IFERROR(__xludf.DUMMYFUNCTION("""COMPUTED_VALUE"""),"-")</f>
        <v>-</v>
      </c>
      <c r="H123" t="str">
        <f>IFERROR(__xludf.DUMMYFUNCTION("""COMPUTED_VALUE"""),"-")</f>
        <v>-</v>
      </c>
      <c r="I123" t="str">
        <f>IFERROR(__xludf.DUMMYFUNCTION("""COMPUTED_VALUE"""),"-")</f>
        <v>-</v>
      </c>
      <c r="J123" t="str">
        <f>IFERROR(__xludf.DUMMYFUNCTION("""COMPUTED_VALUE"""),"-")</f>
        <v>-</v>
      </c>
      <c r="K123" t="str">
        <f>IFERROR(__xludf.DUMMYFUNCTION("""COMPUTED_VALUE"""),"-")</f>
        <v>-</v>
      </c>
      <c r="L123" t="str">
        <f>IFERROR(__xludf.DUMMYFUNCTION("""COMPUTED_VALUE"""),"-")</f>
        <v>-</v>
      </c>
      <c r="M123" t="str">
        <f>IFERROR(__xludf.DUMMYFUNCTION("""COMPUTED_VALUE"""),"-")</f>
        <v>-</v>
      </c>
      <c r="O123" t="str">
        <f>IFERROR(__xludf.DUMMYFUNCTION("""COMPUTED_VALUE"""),"#122")</f>
        <v>#122</v>
      </c>
      <c r="P123" t="str">
        <f>IFERROR(__xludf.DUMMYFUNCTION("""COMPUTED_VALUE"""),"Jean-Pierre Chevènement")</f>
        <v>Jean-Pierre Chevènement</v>
      </c>
      <c r="Q123">
        <f>IFERROR(__xludf.DUMMYFUNCTION("""COMPUTED_VALUE"""),66466.0)</f>
        <v>66466</v>
      </c>
      <c r="R123" t="str">
        <f>IFERROR(__xludf.DUMMYFUNCTION("""COMPUTED_VALUE"""),"-")</f>
        <v>-</v>
      </c>
      <c r="S123" t="str">
        <f>IFERROR(__xludf.DUMMYFUNCTION("""COMPUTED_VALUE"""),"-")</f>
        <v>-</v>
      </c>
      <c r="T123" t="str">
        <f>IFERROR(__xludf.DUMMYFUNCTION("""COMPUTED_VALUE"""),"-")</f>
        <v>-</v>
      </c>
      <c r="U123" t="str">
        <f>IFERROR(__xludf.DUMMYFUNCTION("""COMPUTED_VALUE"""),"-")</f>
        <v>-</v>
      </c>
      <c r="V123" t="str">
        <f>IFERROR(__xludf.DUMMYFUNCTION("""COMPUTED_VALUE"""),"-")</f>
        <v>-</v>
      </c>
      <c r="W123" t="str">
        <f>IFERROR(__xludf.DUMMYFUNCTION("""COMPUTED_VALUE"""),"-")</f>
        <v>-</v>
      </c>
      <c r="X123" t="str">
        <f>IFERROR(__xludf.DUMMYFUNCTION("""COMPUTED_VALUE"""),"-")</f>
        <v>-</v>
      </c>
      <c r="Y123" t="str">
        <f>IFERROR(__xludf.DUMMYFUNCTION("""COMPUTED_VALUE"""),"-")</f>
        <v>-</v>
      </c>
      <c r="Z123" t="str">
        <f>IFERROR(__xludf.DUMMYFUNCTION("""COMPUTED_VALUE"""),"-")</f>
        <v>-</v>
      </c>
      <c r="AA123" t="str">
        <f>IFERROR(__xludf.DUMMYFUNCTION("""COMPUTED_VALUE"""),"-")</f>
        <v>-</v>
      </c>
    </row>
    <row r="124">
      <c r="A124" t="str">
        <f>IFERROR(__xludf.DUMMYFUNCTION("""COMPUTED_VALUE"""),"#123")</f>
        <v>#123</v>
      </c>
      <c r="B124" t="str">
        <f>IFERROR(__xludf.DUMMYFUNCTION("""COMPUTED_VALUE"""),"Virginie Joron")</f>
        <v>Virginie Joron</v>
      </c>
      <c r="C124">
        <f>IFERROR(__xludf.DUMMYFUNCTION("""COMPUTED_VALUE"""),66357.0)</f>
        <v>66357</v>
      </c>
      <c r="D124" t="str">
        <f>IFERROR(__xludf.DUMMYFUNCTION("""COMPUTED_VALUE"""),"-")</f>
        <v>-</v>
      </c>
      <c r="E124" t="str">
        <f>IFERROR(__xludf.DUMMYFUNCTION("""COMPUTED_VALUE"""),"-")</f>
        <v>-</v>
      </c>
      <c r="F124" t="str">
        <f>IFERROR(__xludf.DUMMYFUNCTION("""COMPUTED_VALUE"""),"-")</f>
        <v>-</v>
      </c>
      <c r="G124" t="str">
        <f>IFERROR(__xludf.DUMMYFUNCTION("""COMPUTED_VALUE"""),"-")</f>
        <v>-</v>
      </c>
      <c r="H124" t="str">
        <f>IFERROR(__xludf.DUMMYFUNCTION("""COMPUTED_VALUE"""),"-")</f>
        <v>-</v>
      </c>
      <c r="I124" t="str">
        <f>IFERROR(__xludf.DUMMYFUNCTION("""COMPUTED_VALUE"""),"-")</f>
        <v>-</v>
      </c>
      <c r="J124" t="str">
        <f>IFERROR(__xludf.DUMMYFUNCTION("""COMPUTED_VALUE"""),"-")</f>
        <v>-</v>
      </c>
      <c r="K124" t="str">
        <f>IFERROR(__xludf.DUMMYFUNCTION("""COMPUTED_VALUE"""),"-")</f>
        <v>-</v>
      </c>
      <c r="L124" t="str">
        <f>IFERROR(__xludf.DUMMYFUNCTION("""COMPUTED_VALUE"""),"-")</f>
        <v>-</v>
      </c>
      <c r="M124" t="str">
        <f>IFERROR(__xludf.DUMMYFUNCTION("""COMPUTED_VALUE"""),"-")</f>
        <v>-</v>
      </c>
      <c r="O124" t="str">
        <f>IFERROR(__xludf.DUMMYFUNCTION("""COMPUTED_VALUE"""),"#123")</f>
        <v>#123</v>
      </c>
      <c r="P124" t="str">
        <f>IFERROR(__xludf.DUMMYFUNCTION("""COMPUTED_VALUE"""),"Virginie Joron")</f>
        <v>Virginie Joron</v>
      </c>
      <c r="Q124">
        <f>IFERROR(__xludf.DUMMYFUNCTION("""COMPUTED_VALUE"""),66357.0)</f>
        <v>66357</v>
      </c>
      <c r="R124" t="str">
        <f>IFERROR(__xludf.DUMMYFUNCTION("""COMPUTED_VALUE"""),"-")</f>
        <v>-</v>
      </c>
      <c r="S124" t="str">
        <f>IFERROR(__xludf.DUMMYFUNCTION("""COMPUTED_VALUE"""),"-")</f>
        <v>-</v>
      </c>
      <c r="T124" t="str">
        <f>IFERROR(__xludf.DUMMYFUNCTION("""COMPUTED_VALUE"""),"-")</f>
        <v>-</v>
      </c>
      <c r="U124" t="str">
        <f>IFERROR(__xludf.DUMMYFUNCTION("""COMPUTED_VALUE"""),"-")</f>
        <v>-</v>
      </c>
      <c r="V124" t="str">
        <f>IFERROR(__xludf.DUMMYFUNCTION("""COMPUTED_VALUE"""),"-")</f>
        <v>-</v>
      </c>
      <c r="W124" t="str">
        <f>IFERROR(__xludf.DUMMYFUNCTION("""COMPUTED_VALUE"""),"-")</f>
        <v>-</v>
      </c>
      <c r="X124" t="str">
        <f>IFERROR(__xludf.DUMMYFUNCTION("""COMPUTED_VALUE"""),"-")</f>
        <v>-</v>
      </c>
      <c r="Y124" t="str">
        <f>IFERROR(__xludf.DUMMYFUNCTION("""COMPUTED_VALUE"""),"-")</f>
        <v>-</v>
      </c>
      <c r="Z124" t="str">
        <f>IFERROR(__xludf.DUMMYFUNCTION("""COMPUTED_VALUE"""),"-")</f>
        <v>-</v>
      </c>
      <c r="AA124" t="str">
        <f>IFERROR(__xludf.DUMMYFUNCTION("""COMPUTED_VALUE"""),"-")</f>
        <v>-</v>
      </c>
    </row>
    <row r="125">
      <c r="A125" t="str">
        <f>IFERROR(__xludf.DUMMYFUNCTION("""COMPUTED_VALUE"""),"#124")</f>
        <v>#124</v>
      </c>
      <c r="B125" t="str">
        <f>IFERROR(__xludf.DUMMYFUNCTION("""COMPUTED_VALUE"""),"Eric Woerth")</f>
        <v>Eric Woerth</v>
      </c>
      <c r="C125">
        <f>IFERROR(__xludf.DUMMYFUNCTION("""COMPUTED_VALUE"""),64899.0)</f>
        <v>64899</v>
      </c>
      <c r="D125" t="str">
        <f>IFERROR(__xludf.DUMMYFUNCTION("""COMPUTED_VALUE"""),"-")</f>
        <v>-</v>
      </c>
      <c r="E125" t="str">
        <f>IFERROR(__xludf.DUMMYFUNCTION("""COMPUTED_VALUE"""),"-")</f>
        <v>-</v>
      </c>
      <c r="F125" t="str">
        <f>IFERROR(__xludf.DUMMYFUNCTION("""COMPUTED_VALUE"""),"-")</f>
        <v>-</v>
      </c>
      <c r="G125" t="str">
        <f>IFERROR(__xludf.DUMMYFUNCTION("""COMPUTED_VALUE"""),"-")</f>
        <v>-</v>
      </c>
      <c r="H125" t="str">
        <f>IFERROR(__xludf.DUMMYFUNCTION("""COMPUTED_VALUE"""),"-")</f>
        <v>-</v>
      </c>
      <c r="I125" t="str">
        <f>IFERROR(__xludf.DUMMYFUNCTION("""COMPUTED_VALUE"""),"-")</f>
        <v>-</v>
      </c>
      <c r="J125" t="str">
        <f>IFERROR(__xludf.DUMMYFUNCTION("""COMPUTED_VALUE"""),"-")</f>
        <v>-</v>
      </c>
      <c r="K125" t="str">
        <f>IFERROR(__xludf.DUMMYFUNCTION("""COMPUTED_VALUE"""),"-")</f>
        <v>-</v>
      </c>
      <c r="L125" t="str">
        <f>IFERROR(__xludf.DUMMYFUNCTION("""COMPUTED_VALUE"""),"-")</f>
        <v>-</v>
      </c>
      <c r="M125" t="str">
        <f>IFERROR(__xludf.DUMMYFUNCTION("""COMPUTED_VALUE"""),"-")</f>
        <v>-</v>
      </c>
      <c r="O125" t="str">
        <f>IFERROR(__xludf.DUMMYFUNCTION("""COMPUTED_VALUE"""),"#124")</f>
        <v>#124</v>
      </c>
      <c r="P125" t="str">
        <f>IFERROR(__xludf.DUMMYFUNCTION("""COMPUTED_VALUE"""),"Eric Woerth")</f>
        <v>Eric Woerth</v>
      </c>
      <c r="Q125">
        <f>IFERROR(__xludf.DUMMYFUNCTION("""COMPUTED_VALUE"""),64899.0)</f>
        <v>64899</v>
      </c>
      <c r="R125" t="str">
        <f>IFERROR(__xludf.DUMMYFUNCTION("""COMPUTED_VALUE"""),"-")</f>
        <v>-</v>
      </c>
      <c r="S125" t="str">
        <f>IFERROR(__xludf.DUMMYFUNCTION("""COMPUTED_VALUE"""),"-")</f>
        <v>-</v>
      </c>
      <c r="T125" t="str">
        <f>IFERROR(__xludf.DUMMYFUNCTION("""COMPUTED_VALUE"""),"-")</f>
        <v>-</v>
      </c>
      <c r="U125" t="str">
        <f>IFERROR(__xludf.DUMMYFUNCTION("""COMPUTED_VALUE"""),"-")</f>
        <v>-</v>
      </c>
      <c r="V125" t="str">
        <f>IFERROR(__xludf.DUMMYFUNCTION("""COMPUTED_VALUE"""),"-")</f>
        <v>-</v>
      </c>
      <c r="W125" t="str">
        <f>IFERROR(__xludf.DUMMYFUNCTION("""COMPUTED_VALUE"""),"-")</f>
        <v>-</v>
      </c>
      <c r="X125" t="str">
        <f>IFERROR(__xludf.DUMMYFUNCTION("""COMPUTED_VALUE"""),"-")</f>
        <v>-</v>
      </c>
      <c r="Y125" t="str">
        <f>IFERROR(__xludf.DUMMYFUNCTION("""COMPUTED_VALUE"""),"-")</f>
        <v>-</v>
      </c>
      <c r="Z125" t="str">
        <f>IFERROR(__xludf.DUMMYFUNCTION("""COMPUTED_VALUE"""),"-")</f>
        <v>-</v>
      </c>
      <c r="AA125" t="str">
        <f>IFERROR(__xludf.DUMMYFUNCTION("""COMPUTED_VALUE"""),"-")</f>
        <v>-</v>
      </c>
    </row>
    <row r="126">
      <c r="A126" t="str">
        <f>IFERROR(__xludf.DUMMYFUNCTION("""COMPUTED_VALUE"""),"#125")</f>
        <v>#125</v>
      </c>
      <c r="B126" t="str">
        <f>IFERROR(__xludf.DUMMYFUNCTION("""COMPUTED_VALUE"""),"Joachim Son-Forget")</f>
        <v>Joachim Son-Forget</v>
      </c>
      <c r="C126">
        <f>IFERROR(__xludf.DUMMYFUNCTION("""COMPUTED_VALUE"""),64809.0)</f>
        <v>64809</v>
      </c>
      <c r="D126" t="str">
        <f>IFERROR(__xludf.DUMMYFUNCTION("""COMPUTED_VALUE"""),"-")</f>
        <v>-</v>
      </c>
      <c r="E126" t="str">
        <f>IFERROR(__xludf.DUMMYFUNCTION("""COMPUTED_VALUE"""),"-")</f>
        <v>-</v>
      </c>
      <c r="F126" t="str">
        <f>IFERROR(__xludf.DUMMYFUNCTION("""COMPUTED_VALUE"""),"-")</f>
        <v>-</v>
      </c>
      <c r="G126" t="str">
        <f>IFERROR(__xludf.DUMMYFUNCTION("""COMPUTED_VALUE"""),"-")</f>
        <v>-</v>
      </c>
      <c r="H126" t="str">
        <f>IFERROR(__xludf.DUMMYFUNCTION("""COMPUTED_VALUE"""),"-")</f>
        <v>-</v>
      </c>
      <c r="I126" t="str">
        <f>IFERROR(__xludf.DUMMYFUNCTION("""COMPUTED_VALUE"""),"-")</f>
        <v>-</v>
      </c>
      <c r="J126" t="str">
        <f>IFERROR(__xludf.DUMMYFUNCTION("""COMPUTED_VALUE"""),"-")</f>
        <v>-</v>
      </c>
      <c r="K126" t="str">
        <f>IFERROR(__xludf.DUMMYFUNCTION("""COMPUTED_VALUE"""),"-")</f>
        <v>-</v>
      </c>
      <c r="L126" t="str">
        <f>IFERROR(__xludf.DUMMYFUNCTION("""COMPUTED_VALUE"""),"-")</f>
        <v>-</v>
      </c>
      <c r="M126" t="str">
        <f>IFERROR(__xludf.DUMMYFUNCTION("""COMPUTED_VALUE"""),"-")</f>
        <v>-</v>
      </c>
      <c r="O126" t="str">
        <f>IFERROR(__xludf.DUMMYFUNCTION("""COMPUTED_VALUE"""),"#125")</f>
        <v>#125</v>
      </c>
      <c r="P126" t="str">
        <f>IFERROR(__xludf.DUMMYFUNCTION("""COMPUTED_VALUE"""),"Joachim Son-Forget")</f>
        <v>Joachim Son-Forget</v>
      </c>
      <c r="Q126">
        <f>IFERROR(__xludf.DUMMYFUNCTION("""COMPUTED_VALUE"""),64809.0)</f>
        <v>64809</v>
      </c>
      <c r="R126" t="str">
        <f>IFERROR(__xludf.DUMMYFUNCTION("""COMPUTED_VALUE"""),"-")</f>
        <v>-</v>
      </c>
      <c r="S126" t="str">
        <f>IFERROR(__xludf.DUMMYFUNCTION("""COMPUTED_VALUE"""),"-")</f>
        <v>-</v>
      </c>
      <c r="T126" t="str">
        <f>IFERROR(__xludf.DUMMYFUNCTION("""COMPUTED_VALUE"""),"-")</f>
        <v>-</v>
      </c>
      <c r="U126" t="str">
        <f>IFERROR(__xludf.DUMMYFUNCTION("""COMPUTED_VALUE"""),"-")</f>
        <v>-</v>
      </c>
      <c r="V126" t="str">
        <f>IFERROR(__xludf.DUMMYFUNCTION("""COMPUTED_VALUE"""),"-")</f>
        <v>-</v>
      </c>
      <c r="W126" t="str">
        <f>IFERROR(__xludf.DUMMYFUNCTION("""COMPUTED_VALUE"""),"-")</f>
        <v>-</v>
      </c>
      <c r="X126" t="str">
        <f>IFERROR(__xludf.DUMMYFUNCTION("""COMPUTED_VALUE"""),"-")</f>
        <v>-</v>
      </c>
      <c r="Y126" t="str">
        <f>IFERROR(__xludf.DUMMYFUNCTION("""COMPUTED_VALUE"""),"-")</f>
        <v>-</v>
      </c>
      <c r="Z126" t="str">
        <f>IFERROR(__xludf.DUMMYFUNCTION("""COMPUTED_VALUE"""),"-")</f>
        <v>-</v>
      </c>
      <c r="AA126" t="str">
        <f>IFERROR(__xludf.DUMMYFUNCTION("""COMPUTED_VALUE"""),"-")</f>
        <v>-</v>
      </c>
    </row>
    <row r="127">
      <c r="A127" t="str">
        <f>IFERROR(__xludf.DUMMYFUNCTION("""COMPUTED_VALUE"""),"#126")</f>
        <v>#126</v>
      </c>
      <c r="B127" t="str">
        <f>IFERROR(__xludf.DUMMYFUNCTION("""COMPUTED_VALUE"""),"Cédric O")</f>
        <v>Cédric O</v>
      </c>
      <c r="C127">
        <f>IFERROR(__xludf.DUMMYFUNCTION("""COMPUTED_VALUE"""),64088.0)</f>
        <v>64088</v>
      </c>
      <c r="D127" t="str">
        <f>IFERROR(__xludf.DUMMYFUNCTION("""COMPUTED_VALUE"""),"-")</f>
        <v>-</v>
      </c>
      <c r="E127" t="str">
        <f>IFERROR(__xludf.DUMMYFUNCTION("""COMPUTED_VALUE"""),"-")</f>
        <v>-</v>
      </c>
      <c r="F127" t="str">
        <f>IFERROR(__xludf.DUMMYFUNCTION("""COMPUTED_VALUE"""),"-")</f>
        <v>-</v>
      </c>
      <c r="G127" t="str">
        <f>IFERROR(__xludf.DUMMYFUNCTION("""COMPUTED_VALUE"""),"-")</f>
        <v>-</v>
      </c>
      <c r="H127" t="str">
        <f>IFERROR(__xludf.DUMMYFUNCTION("""COMPUTED_VALUE"""),"-")</f>
        <v>-</v>
      </c>
      <c r="I127" t="str">
        <f>IFERROR(__xludf.DUMMYFUNCTION("""COMPUTED_VALUE"""),"-")</f>
        <v>-</v>
      </c>
      <c r="J127" t="str">
        <f>IFERROR(__xludf.DUMMYFUNCTION("""COMPUTED_VALUE"""),"-")</f>
        <v>-</v>
      </c>
      <c r="K127" t="str">
        <f>IFERROR(__xludf.DUMMYFUNCTION("""COMPUTED_VALUE"""),"-")</f>
        <v>-</v>
      </c>
      <c r="L127" t="str">
        <f>IFERROR(__xludf.DUMMYFUNCTION("""COMPUTED_VALUE"""),"-")</f>
        <v>-</v>
      </c>
      <c r="M127" t="str">
        <f>IFERROR(__xludf.DUMMYFUNCTION("""COMPUTED_VALUE"""),"-")</f>
        <v>-</v>
      </c>
      <c r="O127" t="str">
        <f>IFERROR(__xludf.DUMMYFUNCTION("""COMPUTED_VALUE"""),"#126")</f>
        <v>#126</v>
      </c>
      <c r="P127" t="str">
        <f>IFERROR(__xludf.DUMMYFUNCTION("""COMPUTED_VALUE"""),"Cédric O")</f>
        <v>Cédric O</v>
      </c>
      <c r="Q127">
        <f>IFERROR(__xludf.DUMMYFUNCTION("""COMPUTED_VALUE"""),64088.0)</f>
        <v>64088</v>
      </c>
      <c r="R127" t="str">
        <f>IFERROR(__xludf.DUMMYFUNCTION("""COMPUTED_VALUE"""),"-")</f>
        <v>-</v>
      </c>
      <c r="S127" t="str">
        <f>IFERROR(__xludf.DUMMYFUNCTION("""COMPUTED_VALUE"""),"-")</f>
        <v>-</v>
      </c>
      <c r="T127" t="str">
        <f>IFERROR(__xludf.DUMMYFUNCTION("""COMPUTED_VALUE"""),"-")</f>
        <v>-</v>
      </c>
      <c r="U127" t="str">
        <f>IFERROR(__xludf.DUMMYFUNCTION("""COMPUTED_VALUE"""),"-")</f>
        <v>-</v>
      </c>
      <c r="V127" t="str">
        <f>IFERROR(__xludf.DUMMYFUNCTION("""COMPUTED_VALUE"""),"-")</f>
        <v>-</v>
      </c>
      <c r="W127" t="str">
        <f>IFERROR(__xludf.DUMMYFUNCTION("""COMPUTED_VALUE"""),"-")</f>
        <v>-</v>
      </c>
      <c r="X127" t="str">
        <f>IFERROR(__xludf.DUMMYFUNCTION("""COMPUTED_VALUE"""),"-")</f>
        <v>-</v>
      </c>
      <c r="Y127" t="str">
        <f>IFERROR(__xludf.DUMMYFUNCTION("""COMPUTED_VALUE"""),"-")</f>
        <v>-</v>
      </c>
      <c r="Z127" t="str">
        <f>IFERROR(__xludf.DUMMYFUNCTION("""COMPUTED_VALUE"""),"-")</f>
        <v>-</v>
      </c>
      <c r="AA127" t="str">
        <f>IFERROR(__xludf.DUMMYFUNCTION("""COMPUTED_VALUE"""),"-")</f>
        <v>-</v>
      </c>
    </row>
    <row r="128">
      <c r="A128" t="str">
        <f>IFERROR(__xludf.DUMMYFUNCTION("""COMPUTED_VALUE"""),"#127")</f>
        <v>#127</v>
      </c>
      <c r="B128" t="str">
        <f>IFERROR(__xludf.DUMMYFUNCTION("""COMPUTED_VALUE"""),"François Rebsamen")</f>
        <v>François Rebsamen</v>
      </c>
      <c r="C128">
        <f>IFERROR(__xludf.DUMMYFUNCTION("""COMPUTED_VALUE"""),63970.0)</f>
        <v>63970</v>
      </c>
      <c r="D128" t="str">
        <f>IFERROR(__xludf.DUMMYFUNCTION("""COMPUTED_VALUE"""),"-")</f>
        <v>-</v>
      </c>
      <c r="E128" t="str">
        <f>IFERROR(__xludf.DUMMYFUNCTION("""COMPUTED_VALUE"""),"-")</f>
        <v>-</v>
      </c>
      <c r="F128" t="str">
        <f>IFERROR(__xludf.DUMMYFUNCTION("""COMPUTED_VALUE"""),"-")</f>
        <v>-</v>
      </c>
      <c r="G128" t="str">
        <f>IFERROR(__xludf.DUMMYFUNCTION("""COMPUTED_VALUE"""),"-")</f>
        <v>-</v>
      </c>
      <c r="H128" t="str">
        <f>IFERROR(__xludf.DUMMYFUNCTION("""COMPUTED_VALUE"""),"-")</f>
        <v>-</v>
      </c>
      <c r="I128" t="str">
        <f>IFERROR(__xludf.DUMMYFUNCTION("""COMPUTED_VALUE"""),"-")</f>
        <v>-</v>
      </c>
      <c r="J128" t="str">
        <f>IFERROR(__xludf.DUMMYFUNCTION("""COMPUTED_VALUE"""),"-")</f>
        <v>-</v>
      </c>
      <c r="K128" t="str">
        <f>IFERROR(__xludf.DUMMYFUNCTION("""COMPUTED_VALUE"""),"-")</f>
        <v>-</v>
      </c>
      <c r="L128" t="str">
        <f>IFERROR(__xludf.DUMMYFUNCTION("""COMPUTED_VALUE"""),"-")</f>
        <v>-</v>
      </c>
      <c r="M128" t="str">
        <f>IFERROR(__xludf.DUMMYFUNCTION("""COMPUTED_VALUE"""),"-")</f>
        <v>-</v>
      </c>
      <c r="O128" t="str">
        <f>IFERROR(__xludf.DUMMYFUNCTION("""COMPUTED_VALUE"""),"#127")</f>
        <v>#127</v>
      </c>
      <c r="P128" t="str">
        <f>IFERROR(__xludf.DUMMYFUNCTION("""COMPUTED_VALUE"""),"François Rebsamen")</f>
        <v>François Rebsamen</v>
      </c>
      <c r="Q128">
        <f>IFERROR(__xludf.DUMMYFUNCTION("""COMPUTED_VALUE"""),63970.0)</f>
        <v>63970</v>
      </c>
      <c r="R128" t="str">
        <f>IFERROR(__xludf.DUMMYFUNCTION("""COMPUTED_VALUE"""),"-")</f>
        <v>-</v>
      </c>
      <c r="S128" t="str">
        <f>IFERROR(__xludf.DUMMYFUNCTION("""COMPUTED_VALUE"""),"-")</f>
        <v>-</v>
      </c>
      <c r="T128" t="str">
        <f>IFERROR(__xludf.DUMMYFUNCTION("""COMPUTED_VALUE"""),"-")</f>
        <v>-</v>
      </c>
      <c r="U128" t="str">
        <f>IFERROR(__xludf.DUMMYFUNCTION("""COMPUTED_VALUE"""),"-")</f>
        <v>-</v>
      </c>
      <c r="V128" t="str">
        <f>IFERROR(__xludf.DUMMYFUNCTION("""COMPUTED_VALUE"""),"-")</f>
        <v>-</v>
      </c>
      <c r="W128" t="str">
        <f>IFERROR(__xludf.DUMMYFUNCTION("""COMPUTED_VALUE"""),"-")</f>
        <v>-</v>
      </c>
      <c r="X128" t="str">
        <f>IFERROR(__xludf.DUMMYFUNCTION("""COMPUTED_VALUE"""),"-")</f>
        <v>-</v>
      </c>
      <c r="Y128" t="str">
        <f>IFERROR(__xludf.DUMMYFUNCTION("""COMPUTED_VALUE"""),"-")</f>
        <v>-</v>
      </c>
      <c r="Z128" t="str">
        <f>IFERROR(__xludf.DUMMYFUNCTION("""COMPUTED_VALUE"""),"-")</f>
        <v>-</v>
      </c>
      <c r="AA128" t="str">
        <f>IFERROR(__xludf.DUMMYFUNCTION("""COMPUTED_VALUE"""),"-")</f>
        <v>-</v>
      </c>
    </row>
    <row r="129">
      <c r="A129" t="str">
        <f>IFERROR(__xludf.DUMMYFUNCTION("""COMPUTED_VALUE"""),"#128")</f>
        <v>#128</v>
      </c>
      <c r="B129" t="str">
        <f>IFERROR(__xludf.DUMMYFUNCTION("""COMPUTED_VALUE"""),"Johanna Rolland")</f>
        <v>Johanna Rolland</v>
      </c>
      <c r="C129">
        <f>IFERROR(__xludf.DUMMYFUNCTION("""COMPUTED_VALUE"""),63024.0)</f>
        <v>63024</v>
      </c>
      <c r="D129" t="str">
        <f>IFERROR(__xludf.DUMMYFUNCTION("""COMPUTED_VALUE"""),"-")</f>
        <v>-</v>
      </c>
      <c r="E129" t="str">
        <f>IFERROR(__xludf.DUMMYFUNCTION("""COMPUTED_VALUE"""),"-")</f>
        <v>-</v>
      </c>
      <c r="F129" t="str">
        <f>IFERROR(__xludf.DUMMYFUNCTION("""COMPUTED_VALUE"""),"-")</f>
        <v>-</v>
      </c>
      <c r="G129" t="str">
        <f>IFERROR(__xludf.DUMMYFUNCTION("""COMPUTED_VALUE"""),"-")</f>
        <v>-</v>
      </c>
      <c r="H129" t="str">
        <f>IFERROR(__xludf.DUMMYFUNCTION("""COMPUTED_VALUE"""),"-")</f>
        <v>-</v>
      </c>
      <c r="I129" t="str">
        <f>IFERROR(__xludf.DUMMYFUNCTION("""COMPUTED_VALUE"""),"-")</f>
        <v>-</v>
      </c>
      <c r="J129" t="str">
        <f>IFERROR(__xludf.DUMMYFUNCTION("""COMPUTED_VALUE"""),"-")</f>
        <v>-</v>
      </c>
      <c r="K129" t="str">
        <f>IFERROR(__xludf.DUMMYFUNCTION("""COMPUTED_VALUE"""),"-")</f>
        <v>-</v>
      </c>
      <c r="L129" t="str">
        <f>IFERROR(__xludf.DUMMYFUNCTION("""COMPUTED_VALUE"""),"-")</f>
        <v>-</v>
      </c>
      <c r="M129" t="str">
        <f>IFERROR(__xludf.DUMMYFUNCTION("""COMPUTED_VALUE"""),"-")</f>
        <v>-</v>
      </c>
      <c r="O129" t="str">
        <f>IFERROR(__xludf.DUMMYFUNCTION("""COMPUTED_VALUE"""),"#128")</f>
        <v>#128</v>
      </c>
      <c r="P129" t="str">
        <f>IFERROR(__xludf.DUMMYFUNCTION("""COMPUTED_VALUE"""),"Johanna Rolland")</f>
        <v>Johanna Rolland</v>
      </c>
      <c r="Q129">
        <f>IFERROR(__xludf.DUMMYFUNCTION("""COMPUTED_VALUE"""),63024.0)</f>
        <v>63024</v>
      </c>
      <c r="R129" t="str">
        <f>IFERROR(__xludf.DUMMYFUNCTION("""COMPUTED_VALUE"""),"-")</f>
        <v>-</v>
      </c>
      <c r="S129" t="str">
        <f>IFERROR(__xludf.DUMMYFUNCTION("""COMPUTED_VALUE"""),"-")</f>
        <v>-</v>
      </c>
      <c r="T129" t="str">
        <f>IFERROR(__xludf.DUMMYFUNCTION("""COMPUTED_VALUE"""),"-")</f>
        <v>-</v>
      </c>
      <c r="U129" t="str">
        <f>IFERROR(__xludf.DUMMYFUNCTION("""COMPUTED_VALUE"""),"-")</f>
        <v>-</v>
      </c>
      <c r="V129" t="str">
        <f>IFERROR(__xludf.DUMMYFUNCTION("""COMPUTED_VALUE"""),"-")</f>
        <v>-</v>
      </c>
      <c r="W129" t="str">
        <f>IFERROR(__xludf.DUMMYFUNCTION("""COMPUTED_VALUE"""),"-")</f>
        <v>-</v>
      </c>
      <c r="X129" t="str">
        <f>IFERROR(__xludf.DUMMYFUNCTION("""COMPUTED_VALUE"""),"-")</f>
        <v>-</v>
      </c>
      <c r="Y129" t="str">
        <f>IFERROR(__xludf.DUMMYFUNCTION("""COMPUTED_VALUE"""),"-")</f>
        <v>-</v>
      </c>
      <c r="Z129" t="str">
        <f>IFERROR(__xludf.DUMMYFUNCTION("""COMPUTED_VALUE"""),"-")</f>
        <v>-</v>
      </c>
      <c r="AA129" t="str">
        <f>IFERROR(__xludf.DUMMYFUNCTION("""COMPUTED_VALUE"""),"-")</f>
        <v>-</v>
      </c>
    </row>
    <row r="130">
      <c r="A130" t="str">
        <f>IFERROR(__xludf.DUMMYFUNCTION("""COMPUTED_VALUE"""),"#129")</f>
        <v>#129</v>
      </c>
      <c r="B130" t="str">
        <f>IFERROR(__xludf.DUMMYFUNCTION("""COMPUTED_VALUE"""),"José Bové")</f>
        <v>José Bové</v>
      </c>
      <c r="C130">
        <f>IFERROR(__xludf.DUMMYFUNCTION("""COMPUTED_VALUE"""),62569.0)</f>
        <v>62569</v>
      </c>
      <c r="D130" t="str">
        <f>IFERROR(__xludf.DUMMYFUNCTION("""COMPUTED_VALUE"""),"-")</f>
        <v>-</v>
      </c>
      <c r="E130" t="str">
        <f>IFERROR(__xludf.DUMMYFUNCTION("""COMPUTED_VALUE"""),"-")</f>
        <v>-</v>
      </c>
      <c r="F130" t="str">
        <f>IFERROR(__xludf.DUMMYFUNCTION("""COMPUTED_VALUE"""),"-")</f>
        <v>-</v>
      </c>
      <c r="G130" t="str">
        <f>IFERROR(__xludf.DUMMYFUNCTION("""COMPUTED_VALUE"""),"-")</f>
        <v>-</v>
      </c>
      <c r="H130" t="str">
        <f>IFERROR(__xludf.DUMMYFUNCTION("""COMPUTED_VALUE"""),"-")</f>
        <v>-</v>
      </c>
      <c r="I130" t="str">
        <f>IFERROR(__xludf.DUMMYFUNCTION("""COMPUTED_VALUE"""),"-")</f>
        <v>-</v>
      </c>
      <c r="J130" t="str">
        <f>IFERROR(__xludf.DUMMYFUNCTION("""COMPUTED_VALUE"""),"-")</f>
        <v>-</v>
      </c>
      <c r="K130" t="str">
        <f>IFERROR(__xludf.DUMMYFUNCTION("""COMPUTED_VALUE"""),"-")</f>
        <v>-</v>
      </c>
      <c r="L130" t="str">
        <f>IFERROR(__xludf.DUMMYFUNCTION("""COMPUTED_VALUE"""),"-")</f>
        <v>-</v>
      </c>
      <c r="M130" t="str">
        <f>IFERROR(__xludf.DUMMYFUNCTION("""COMPUTED_VALUE"""),"-")</f>
        <v>-</v>
      </c>
      <c r="O130" t="str">
        <f>IFERROR(__xludf.DUMMYFUNCTION("""COMPUTED_VALUE"""),"#129")</f>
        <v>#129</v>
      </c>
      <c r="P130" t="str">
        <f>IFERROR(__xludf.DUMMYFUNCTION("""COMPUTED_VALUE"""),"José Bové")</f>
        <v>José Bové</v>
      </c>
      <c r="Q130">
        <f>IFERROR(__xludf.DUMMYFUNCTION("""COMPUTED_VALUE"""),62569.0)</f>
        <v>62569</v>
      </c>
      <c r="R130" t="str">
        <f>IFERROR(__xludf.DUMMYFUNCTION("""COMPUTED_VALUE"""),"-")</f>
        <v>-</v>
      </c>
      <c r="S130" t="str">
        <f>IFERROR(__xludf.DUMMYFUNCTION("""COMPUTED_VALUE"""),"-")</f>
        <v>-</v>
      </c>
      <c r="T130" t="str">
        <f>IFERROR(__xludf.DUMMYFUNCTION("""COMPUTED_VALUE"""),"-")</f>
        <v>-</v>
      </c>
      <c r="U130" t="str">
        <f>IFERROR(__xludf.DUMMYFUNCTION("""COMPUTED_VALUE"""),"-")</f>
        <v>-</v>
      </c>
      <c r="V130" t="str">
        <f>IFERROR(__xludf.DUMMYFUNCTION("""COMPUTED_VALUE"""),"-")</f>
        <v>-</v>
      </c>
      <c r="W130" t="str">
        <f>IFERROR(__xludf.DUMMYFUNCTION("""COMPUTED_VALUE"""),"-")</f>
        <v>-</v>
      </c>
      <c r="X130" t="str">
        <f>IFERROR(__xludf.DUMMYFUNCTION("""COMPUTED_VALUE"""),"-")</f>
        <v>-</v>
      </c>
      <c r="Y130" t="str">
        <f>IFERROR(__xludf.DUMMYFUNCTION("""COMPUTED_VALUE"""),"-")</f>
        <v>-</v>
      </c>
      <c r="Z130" t="str">
        <f>IFERROR(__xludf.DUMMYFUNCTION("""COMPUTED_VALUE"""),"-")</f>
        <v>-</v>
      </c>
      <c r="AA130" t="str">
        <f>IFERROR(__xludf.DUMMYFUNCTION("""COMPUTED_VALUE"""),"-")</f>
        <v>-</v>
      </c>
    </row>
    <row r="131">
      <c r="A131" t="str">
        <f>IFERROR(__xludf.DUMMYFUNCTION("""COMPUTED_VALUE"""),"#130")</f>
        <v>#130</v>
      </c>
      <c r="B131" t="str">
        <f>IFERROR(__xludf.DUMMYFUNCTION("""COMPUTED_VALUE"""),"Roger Karoutchi")</f>
        <v>Roger Karoutchi</v>
      </c>
      <c r="C131">
        <f>IFERROR(__xludf.DUMMYFUNCTION("""COMPUTED_VALUE"""),62265.0)</f>
        <v>62265</v>
      </c>
      <c r="D131" t="str">
        <f>IFERROR(__xludf.DUMMYFUNCTION("""COMPUTED_VALUE"""),"-")</f>
        <v>-</v>
      </c>
      <c r="E131" t="str">
        <f>IFERROR(__xludf.DUMMYFUNCTION("""COMPUTED_VALUE"""),"-")</f>
        <v>-</v>
      </c>
      <c r="F131" t="str">
        <f>IFERROR(__xludf.DUMMYFUNCTION("""COMPUTED_VALUE"""),"-")</f>
        <v>-</v>
      </c>
      <c r="G131" t="str">
        <f>IFERROR(__xludf.DUMMYFUNCTION("""COMPUTED_VALUE"""),"-")</f>
        <v>-</v>
      </c>
      <c r="H131" t="str">
        <f>IFERROR(__xludf.DUMMYFUNCTION("""COMPUTED_VALUE"""),"-")</f>
        <v>-</v>
      </c>
      <c r="I131" t="str">
        <f>IFERROR(__xludf.DUMMYFUNCTION("""COMPUTED_VALUE"""),"-")</f>
        <v>-</v>
      </c>
      <c r="J131" t="str">
        <f>IFERROR(__xludf.DUMMYFUNCTION("""COMPUTED_VALUE"""),"-")</f>
        <v>-</v>
      </c>
      <c r="K131" t="str">
        <f>IFERROR(__xludf.DUMMYFUNCTION("""COMPUTED_VALUE"""),"-")</f>
        <v>-</v>
      </c>
      <c r="L131" t="str">
        <f>IFERROR(__xludf.DUMMYFUNCTION("""COMPUTED_VALUE"""),"-")</f>
        <v>-</v>
      </c>
      <c r="M131" t="str">
        <f>IFERROR(__xludf.DUMMYFUNCTION("""COMPUTED_VALUE"""),"-")</f>
        <v>-</v>
      </c>
      <c r="O131" t="str">
        <f>IFERROR(__xludf.DUMMYFUNCTION("""COMPUTED_VALUE"""),"#130")</f>
        <v>#130</v>
      </c>
      <c r="P131" t="str">
        <f>IFERROR(__xludf.DUMMYFUNCTION("""COMPUTED_VALUE"""),"Roger Karoutchi")</f>
        <v>Roger Karoutchi</v>
      </c>
      <c r="Q131">
        <f>IFERROR(__xludf.DUMMYFUNCTION("""COMPUTED_VALUE"""),62265.0)</f>
        <v>62265</v>
      </c>
      <c r="R131" t="str">
        <f>IFERROR(__xludf.DUMMYFUNCTION("""COMPUTED_VALUE"""),"-")</f>
        <v>-</v>
      </c>
      <c r="S131" t="str">
        <f>IFERROR(__xludf.DUMMYFUNCTION("""COMPUTED_VALUE"""),"-")</f>
        <v>-</v>
      </c>
      <c r="T131" t="str">
        <f>IFERROR(__xludf.DUMMYFUNCTION("""COMPUTED_VALUE"""),"-")</f>
        <v>-</v>
      </c>
      <c r="U131" t="str">
        <f>IFERROR(__xludf.DUMMYFUNCTION("""COMPUTED_VALUE"""),"-")</f>
        <v>-</v>
      </c>
      <c r="V131" t="str">
        <f>IFERROR(__xludf.DUMMYFUNCTION("""COMPUTED_VALUE"""),"-")</f>
        <v>-</v>
      </c>
      <c r="W131" t="str">
        <f>IFERROR(__xludf.DUMMYFUNCTION("""COMPUTED_VALUE"""),"-")</f>
        <v>-</v>
      </c>
      <c r="X131" t="str">
        <f>IFERROR(__xludf.DUMMYFUNCTION("""COMPUTED_VALUE"""),"-")</f>
        <v>-</v>
      </c>
      <c r="Y131" t="str">
        <f>IFERROR(__xludf.DUMMYFUNCTION("""COMPUTED_VALUE"""),"-")</f>
        <v>-</v>
      </c>
      <c r="Z131" t="str">
        <f>IFERROR(__xludf.DUMMYFUNCTION("""COMPUTED_VALUE"""),"-")</f>
        <v>-</v>
      </c>
      <c r="AA131" t="str">
        <f>IFERROR(__xludf.DUMMYFUNCTION("""COMPUTED_VALUE"""),"-")</f>
        <v>-</v>
      </c>
    </row>
    <row r="132">
      <c r="A132" t="str">
        <f>IFERROR(__xludf.DUMMYFUNCTION("""COMPUTED_VALUE"""),"#131")</f>
        <v>#131</v>
      </c>
      <c r="B132" t="str">
        <f>IFERROR(__xludf.DUMMYFUNCTION("""COMPUTED_VALUE"""),"Jean-Christophe Cambadélis")</f>
        <v>Jean-Christophe Cambadélis</v>
      </c>
      <c r="C132">
        <f>IFERROR(__xludf.DUMMYFUNCTION("""COMPUTED_VALUE"""),61834.0)</f>
        <v>61834</v>
      </c>
      <c r="D132" t="str">
        <f>IFERROR(__xludf.DUMMYFUNCTION("""COMPUTED_VALUE"""),"-")</f>
        <v>-</v>
      </c>
      <c r="E132" t="str">
        <f>IFERROR(__xludf.DUMMYFUNCTION("""COMPUTED_VALUE"""),"-")</f>
        <v>-</v>
      </c>
      <c r="F132" t="str">
        <f>IFERROR(__xludf.DUMMYFUNCTION("""COMPUTED_VALUE"""),"-")</f>
        <v>-</v>
      </c>
      <c r="G132" t="str">
        <f>IFERROR(__xludf.DUMMYFUNCTION("""COMPUTED_VALUE"""),"-")</f>
        <v>-</v>
      </c>
      <c r="H132" t="str">
        <f>IFERROR(__xludf.DUMMYFUNCTION("""COMPUTED_VALUE"""),"-")</f>
        <v>-</v>
      </c>
      <c r="I132" t="str">
        <f>IFERROR(__xludf.DUMMYFUNCTION("""COMPUTED_VALUE"""),"-")</f>
        <v>-</v>
      </c>
      <c r="J132" t="str">
        <f>IFERROR(__xludf.DUMMYFUNCTION("""COMPUTED_VALUE"""),"-")</f>
        <v>-</v>
      </c>
      <c r="K132" t="str">
        <f>IFERROR(__xludf.DUMMYFUNCTION("""COMPUTED_VALUE"""),"-")</f>
        <v>-</v>
      </c>
      <c r="L132" t="str">
        <f>IFERROR(__xludf.DUMMYFUNCTION("""COMPUTED_VALUE"""),"-")</f>
        <v>-</v>
      </c>
      <c r="M132" t="str">
        <f>IFERROR(__xludf.DUMMYFUNCTION("""COMPUTED_VALUE"""),"-")</f>
        <v>-</v>
      </c>
      <c r="O132" t="str">
        <f>IFERROR(__xludf.DUMMYFUNCTION("""COMPUTED_VALUE"""),"#131")</f>
        <v>#131</v>
      </c>
      <c r="P132" t="str">
        <f>IFERROR(__xludf.DUMMYFUNCTION("""COMPUTED_VALUE"""),"Jean-Christophe Cambadélis")</f>
        <v>Jean-Christophe Cambadélis</v>
      </c>
      <c r="Q132">
        <f>IFERROR(__xludf.DUMMYFUNCTION("""COMPUTED_VALUE"""),61834.0)</f>
        <v>61834</v>
      </c>
      <c r="R132" t="str">
        <f>IFERROR(__xludf.DUMMYFUNCTION("""COMPUTED_VALUE"""),"-")</f>
        <v>-</v>
      </c>
      <c r="S132" t="str">
        <f>IFERROR(__xludf.DUMMYFUNCTION("""COMPUTED_VALUE"""),"-")</f>
        <v>-</v>
      </c>
      <c r="T132" t="str">
        <f>IFERROR(__xludf.DUMMYFUNCTION("""COMPUTED_VALUE"""),"-")</f>
        <v>-</v>
      </c>
      <c r="U132" t="str">
        <f>IFERROR(__xludf.DUMMYFUNCTION("""COMPUTED_VALUE"""),"-")</f>
        <v>-</v>
      </c>
      <c r="V132" t="str">
        <f>IFERROR(__xludf.DUMMYFUNCTION("""COMPUTED_VALUE"""),"-")</f>
        <v>-</v>
      </c>
      <c r="W132" t="str">
        <f>IFERROR(__xludf.DUMMYFUNCTION("""COMPUTED_VALUE"""),"-")</f>
        <v>-</v>
      </c>
      <c r="X132" t="str">
        <f>IFERROR(__xludf.DUMMYFUNCTION("""COMPUTED_VALUE"""),"-")</f>
        <v>-</v>
      </c>
      <c r="Y132" t="str">
        <f>IFERROR(__xludf.DUMMYFUNCTION("""COMPUTED_VALUE"""),"-")</f>
        <v>-</v>
      </c>
      <c r="Z132" t="str">
        <f>IFERROR(__xludf.DUMMYFUNCTION("""COMPUTED_VALUE"""),"-")</f>
        <v>-</v>
      </c>
      <c r="AA132" t="str">
        <f>IFERROR(__xludf.DUMMYFUNCTION("""COMPUTED_VALUE"""),"-")</f>
        <v>-</v>
      </c>
    </row>
    <row r="133">
      <c r="A133" t="str">
        <f>IFERROR(__xludf.DUMMYFUNCTION("""COMPUTED_VALUE"""),"#132")</f>
        <v>#132</v>
      </c>
      <c r="B133" t="str">
        <f>IFERROR(__xludf.DUMMYFUNCTION("""COMPUTED_VALUE"""),"Arash Derambarsh")</f>
        <v>Arash Derambarsh</v>
      </c>
      <c r="C133">
        <f>IFERROR(__xludf.DUMMYFUNCTION("""COMPUTED_VALUE"""),60574.0)</f>
        <v>60574</v>
      </c>
      <c r="D133" t="str">
        <f>IFERROR(__xludf.DUMMYFUNCTION("""COMPUTED_VALUE"""),"-")</f>
        <v>-</v>
      </c>
      <c r="E133" t="str">
        <f>IFERROR(__xludf.DUMMYFUNCTION("""COMPUTED_VALUE"""),"-")</f>
        <v>-</v>
      </c>
      <c r="F133" t="str">
        <f>IFERROR(__xludf.DUMMYFUNCTION("""COMPUTED_VALUE"""),"-")</f>
        <v>-</v>
      </c>
      <c r="G133" t="str">
        <f>IFERROR(__xludf.DUMMYFUNCTION("""COMPUTED_VALUE"""),"-")</f>
        <v>-</v>
      </c>
      <c r="H133" t="str">
        <f>IFERROR(__xludf.DUMMYFUNCTION("""COMPUTED_VALUE"""),"-")</f>
        <v>-</v>
      </c>
      <c r="I133" t="str">
        <f>IFERROR(__xludf.DUMMYFUNCTION("""COMPUTED_VALUE"""),"-")</f>
        <v>-</v>
      </c>
      <c r="J133" t="str">
        <f>IFERROR(__xludf.DUMMYFUNCTION("""COMPUTED_VALUE"""),"-")</f>
        <v>-</v>
      </c>
      <c r="K133" t="str">
        <f>IFERROR(__xludf.DUMMYFUNCTION("""COMPUTED_VALUE"""),"-")</f>
        <v>-</v>
      </c>
      <c r="L133" t="str">
        <f>IFERROR(__xludf.DUMMYFUNCTION("""COMPUTED_VALUE"""),"-")</f>
        <v>-</v>
      </c>
      <c r="M133" t="str">
        <f>IFERROR(__xludf.DUMMYFUNCTION("""COMPUTED_VALUE"""),"-")</f>
        <v>-</v>
      </c>
      <c r="O133" t="str">
        <f>IFERROR(__xludf.DUMMYFUNCTION("""COMPUTED_VALUE"""),"#132")</f>
        <v>#132</v>
      </c>
      <c r="P133" t="str">
        <f>IFERROR(__xludf.DUMMYFUNCTION("""COMPUTED_VALUE"""),"Arash Derambarsh")</f>
        <v>Arash Derambarsh</v>
      </c>
      <c r="Q133">
        <f>IFERROR(__xludf.DUMMYFUNCTION("""COMPUTED_VALUE"""),60574.0)</f>
        <v>60574</v>
      </c>
      <c r="R133" t="str">
        <f>IFERROR(__xludf.DUMMYFUNCTION("""COMPUTED_VALUE"""),"-")</f>
        <v>-</v>
      </c>
      <c r="S133" t="str">
        <f>IFERROR(__xludf.DUMMYFUNCTION("""COMPUTED_VALUE"""),"-")</f>
        <v>-</v>
      </c>
      <c r="T133" t="str">
        <f>IFERROR(__xludf.DUMMYFUNCTION("""COMPUTED_VALUE"""),"-")</f>
        <v>-</v>
      </c>
      <c r="U133" t="str">
        <f>IFERROR(__xludf.DUMMYFUNCTION("""COMPUTED_VALUE"""),"-")</f>
        <v>-</v>
      </c>
      <c r="V133" t="str">
        <f>IFERROR(__xludf.DUMMYFUNCTION("""COMPUTED_VALUE"""),"-")</f>
        <v>-</v>
      </c>
      <c r="W133" t="str">
        <f>IFERROR(__xludf.DUMMYFUNCTION("""COMPUTED_VALUE"""),"-")</f>
        <v>-</v>
      </c>
      <c r="X133" t="str">
        <f>IFERROR(__xludf.DUMMYFUNCTION("""COMPUTED_VALUE"""),"-")</f>
        <v>-</v>
      </c>
      <c r="Y133" t="str">
        <f>IFERROR(__xludf.DUMMYFUNCTION("""COMPUTED_VALUE"""),"-")</f>
        <v>-</v>
      </c>
      <c r="Z133" t="str">
        <f>IFERROR(__xludf.DUMMYFUNCTION("""COMPUTED_VALUE"""),"-")</f>
        <v>-</v>
      </c>
      <c r="AA133" t="str">
        <f>IFERROR(__xludf.DUMMYFUNCTION("""COMPUTED_VALUE"""),"-")</f>
        <v>-</v>
      </c>
    </row>
    <row r="134">
      <c r="A134" t="str">
        <f>IFERROR(__xludf.DUMMYFUNCTION("""COMPUTED_VALUE"""),"#133")</f>
        <v>#133</v>
      </c>
      <c r="B134" t="str">
        <f>IFERROR(__xludf.DUMMYFUNCTION("""COMPUTED_VALUE"""),"Pascal Canfin")</f>
        <v>Pascal Canfin</v>
      </c>
      <c r="C134">
        <f>IFERROR(__xludf.DUMMYFUNCTION("""COMPUTED_VALUE"""),58697.0)</f>
        <v>58697</v>
      </c>
      <c r="D134" t="str">
        <f>IFERROR(__xludf.DUMMYFUNCTION("""COMPUTED_VALUE"""),"-")</f>
        <v>-</v>
      </c>
      <c r="E134" t="str">
        <f>IFERROR(__xludf.DUMMYFUNCTION("""COMPUTED_VALUE"""),"-")</f>
        <v>-</v>
      </c>
      <c r="F134" t="str">
        <f>IFERROR(__xludf.DUMMYFUNCTION("""COMPUTED_VALUE"""),"-")</f>
        <v>-</v>
      </c>
      <c r="G134" t="str">
        <f>IFERROR(__xludf.DUMMYFUNCTION("""COMPUTED_VALUE"""),"-")</f>
        <v>-</v>
      </c>
      <c r="H134" t="str">
        <f>IFERROR(__xludf.DUMMYFUNCTION("""COMPUTED_VALUE"""),"-")</f>
        <v>-</v>
      </c>
      <c r="I134" t="str">
        <f>IFERROR(__xludf.DUMMYFUNCTION("""COMPUTED_VALUE"""),"-")</f>
        <v>-</v>
      </c>
      <c r="J134" t="str">
        <f>IFERROR(__xludf.DUMMYFUNCTION("""COMPUTED_VALUE"""),"-")</f>
        <v>-</v>
      </c>
      <c r="K134" t="str">
        <f>IFERROR(__xludf.DUMMYFUNCTION("""COMPUTED_VALUE"""),"-")</f>
        <v>-</v>
      </c>
      <c r="L134" t="str">
        <f>IFERROR(__xludf.DUMMYFUNCTION("""COMPUTED_VALUE"""),"-")</f>
        <v>-</v>
      </c>
      <c r="M134" t="str">
        <f>IFERROR(__xludf.DUMMYFUNCTION("""COMPUTED_VALUE"""),"-")</f>
        <v>-</v>
      </c>
      <c r="O134" t="str">
        <f>IFERROR(__xludf.DUMMYFUNCTION("""COMPUTED_VALUE"""),"#133")</f>
        <v>#133</v>
      </c>
      <c r="P134" t="str">
        <f>IFERROR(__xludf.DUMMYFUNCTION("""COMPUTED_VALUE"""),"Pascal Canfin")</f>
        <v>Pascal Canfin</v>
      </c>
      <c r="Q134">
        <f>IFERROR(__xludf.DUMMYFUNCTION("""COMPUTED_VALUE"""),58697.0)</f>
        <v>58697</v>
      </c>
      <c r="R134" t="str">
        <f>IFERROR(__xludf.DUMMYFUNCTION("""COMPUTED_VALUE"""),"-")</f>
        <v>-</v>
      </c>
      <c r="S134" t="str">
        <f>IFERROR(__xludf.DUMMYFUNCTION("""COMPUTED_VALUE"""),"-")</f>
        <v>-</v>
      </c>
      <c r="T134" t="str">
        <f>IFERROR(__xludf.DUMMYFUNCTION("""COMPUTED_VALUE"""),"-")</f>
        <v>-</v>
      </c>
      <c r="U134" t="str">
        <f>IFERROR(__xludf.DUMMYFUNCTION("""COMPUTED_VALUE"""),"-")</f>
        <v>-</v>
      </c>
      <c r="V134" t="str">
        <f>IFERROR(__xludf.DUMMYFUNCTION("""COMPUTED_VALUE"""),"-")</f>
        <v>-</v>
      </c>
      <c r="W134" t="str">
        <f>IFERROR(__xludf.DUMMYFUNCTION("""COMPUTED_VALUE"""),"-")</f>
        <v>-</v>
      </c>
      <c r="X134" t="str">
        <f>IFERROR(__xludf.DUMMYFUNCTION("""COMPUTED_VALUE"""),"-")</f>
        <v>-</v>
      </c>
      <c r="Y134" t="str">
        <f>IFERROR(__xludf.DUMMYFUNCTION("""COMPUTED_VALUE"""),"-")</f>
        <v>-</v>
      </c>
      <c r="Z134" t="str">
        <f>IFERROR(__xludf.DUMMYFUNCTION("""COMPUTED_VALUE"""),"-")</f>
        <v>-</v>
      </c>
      <c r="AA134" t="str">
        <f>IFERROR(__xludf.DUMMYFUNCTION("""COMPUTED_VALUE"""),"-")</f>
        <v>-</v>
      </c>
    </row>
    <row r="135">
      <c r="A135" t="str">
        <f>IFERROR(__xludf.DUMMYFUNCTION("""COMPUTED_VALUE"""),"#134")</f>
        <v>#134</v>
      </c>
      <c r="B135" t="str">
        <f>IFERROR(__xludf.DUMMYFUNCTION("""COMPUTED_VALUE"""),"Benoist Apparu")</f>
        <v>Benoist Apparu</v>
      </c>
      <c r="C135">
        <f>IFERROR(__xludf.DUMMYFUNCTION("""COMPUTED_VALUE"""),58669.0)</f>
        <v>58669</v>
      </c>
      <c r="D135" t="str">
        <f>IFERROR(__xludf.DUMMYFUNCTION("""COMPUTED_VALUE"""),"-")</f>
        <v>-</v>
      </c>
      <c r="E135" t="str">
        <f>IFERROR(__xludf.DUMMYFUNCTION("""COMPUTED_VALUE"""),"-")</f>
        <v>-</v>
      </c>
      <c r="F135" t="str">
        <f>IFERROR(__xludf.DUMMYFUNCTION("""COMPUTED_VALUE"""),"-")</f>
        <v>-</v>
      </c>
      <c r="G135" t="str">
        <f>IFERROR(__xludf.DUMMYFUNCTION("""COMPUTED_VALUE"""),"-")</f>
        <v>-</v>
      </c>
      <c r="H135" t="str">
        <f>IFERROR(__xludf.DUMMYFUNCTION("""COMPUTED_VALUE"""),"-")</f>
        <v>-</v>
      </c>
      <c r="I135" t="str">
        <f>IFERROR(__xludf.DUMMYFUNCTION("""COMPUTED_VALUE"""),"-")</f>
        <v>-</v>
      </c>
      <c r="J135" t="str">
        <f>IFERROR(__xludf.DUMMYFUNCTION("""COMPUTED_VALUE"""),"-")</f>
        <v>-</v>
      </c>
      <c r="K135" t="str">
        <f>IFERROR(__xludf.DUMMYFUNCTION("""COMPUTED_VALUE"""),"-")</f>
        <v>-</v>
      </c>
      <c r="L135" t="str">
        <f>IFERROR(__xludf.DUMMYFUNCTION("""COMPUTED_VALUE"""),"-")</f>
        <v>-</v>
      </c>
      <c r="M135" t="str">
        <f>IFERROR(__xludf.DUMMYFUNCTION("""COMPUTED_VALUE"""),"-")</f>
        <v>-</v>
      </c>
      <c r="O135" t="str">
        <f>IFERROR(__xludf.DUMMYFUNCTION("""COMPUTED_VALUE"""),"#134")</f>
        <v>#134</v>
      </c>
      <c r="P135" t="str">
        <f>IFERROR(__xludf.DUMMYFUNCTION("""COMPUTED_VALUE"""),"Benoist Apparu")</f>
        <v>Benoist Apparu</v>
      </c>
      <c r="Q135">
        <f>IFERROR(__xludf.DUMMYFUNCTION("""COMPUTED_VALUE"""),58669.0)</f>
        <v>58669</v>
      </c>
      <c r="R135" t="str">
        <f>IFERROR(__xludf.DUMMYFUNCTION("""COMPUTED_VALUE"""),"-")</f>
        <v>-</v>
      </c>
      <c r="S135" t="str">
        <f>IFERROR(__xludf.DUMMYFUNCTION("""COMPUTED_VALUE"""),"-")</f>
        <v>-</v>
      </c>
      <c r="T135" t="str">
        <f>IFERROR(__xludf.DUMMYFUNCTION("""COMPUTED_VALUE"""),"-")</f>
        <v>-</v>
      </c>
      <c r="U135" t="str">
        <f>IFERROR(__xludf.DUMMYFUNCTION("""COMPUTED_VALUE"""),"-")</f>
        <v>-</v>
      </c>
      <c r="V135" t="str">
        <f>IFERROR(__xludf.DUMMYFUNCTION("""COMPUTED_VALUE"""),"-")</f>
        <v>-</v>
      </c>
      <c r="W135" t="str">
        <f>IFERROR(__xludf.DUMMYFUNCTION("""COMPUTED_VALUE"""),"-")</f>
        <v>-</v>
      </c>
      <c r="X135" t="str">
        <f>IFERROR(__xludf.DUMMYFUNCTION("""COMPUTED_VALUE"""),"-")</f>
        <v>-</v>
      </c>
      <c r="Y135" t="str">
        <f>IFERROR(__xludf.DUMMYFUNCTION("""COMPUTED_VALUE"""),"-")</f>
        <v>-</v>
      </c>
      <c r="Z135" t="str">
        <f>IFERROR(__xludf.DUMMYFUNCTION("""COMPUTED_VALUE"""),"-")</f>
        <v>-</v>
      </c>
      <c r="AA135" t="str">
        <f>IFERROR(__xludf.DUMMYFUNCTION("""COMPUTED_VALUE"""),"-")</f>
        <v>-</v>
      </c>
    </row>
    <row r="136">
      <c r="A136" t="str">
        <f>IFERROR(__xludf.DUMMYFUNCTION("""COMPUTED_VALUE"""),"#135")</f>
        <v>#135</v>
      </c>
      <c r="B136" t="str">
        <f>IFERROR(__xludf.DUMMYFUNCTION("""COMPUTED_VALUE"""),"Pierre Larrouturou")</f>
        <v>Pierre Larrouturou</v>
      </c>
      <c r="C136">
        <f>IFERROR(__xludf.DUMMYFUNCTION("""COMPUTED_VALUE"""),58151.0)</f>
        <v>58151</v>
      </c>
      <c r="D136" t="str">
        <f>IFERROR(__xludf.DUMMYFUNCTION("""COMPUTED_VALUE"""),"-")</f>
        <v>-</v>
      </c>
      <c r="E136" t="str">
        <f>IFERROR(__xludf.DUMMYFUNCTION("""COMPUTED_VALUE"""),"-")</f>
        <v>-</v>
      </c>
      <c r="F136" t="str">
        <f>IFERROR(__xludf.DUMMYFUNCTION("""COMPUTED_VALUE"""),"-")</f>
        <v>-</v>
      </c>
      <c r="G136" t="str">
        <f>IFERROR(__xludf.DUMMYFUNCTION("""COMPUTED_VALUE"""),"-")</f>
        <v>-</v>
      </c>
      <c r="H136" t="str">
        <f>IFERROR(__xludf.DUMMYFUNCTION("""COMPUTED_VALUE"""),"-")</f>
        <v>-</v>
      </c>
      <c r="I136" t="str">
        <f>IFERROR(__xludf.DUMMYFUNCTION("""COMPUTED_VALUE"""),"-")</f>
        <v>-</v>
      </c>
      <c r="J136" t="str">
        <f>IFERROR(__xludf.DUMMYFUNCTION("""COMPUTED_VALUE"""),"-")</f>
        <v>-</v>
      </c>
      <c r="K136" t="str">
        <f>IFERROR(__xludf.DUMMYFUNCTION("""COMPUTED_VALUE"""),"-")</f>
        <v>-</v>
      </c>
      <c r="L136" t="str">
        <f>IFERROR(__xludf.DUMMYFUNCTION("""COMPUTED_VALUE"""),"-")</f>
        <v>-</v>
      </c>
      <c r="M136" t="str">
        <f>IFERROR(__xludf.DUMMYFUNCTION("""COMPUTED_VALUE"""),"-")</f>
        <v>-</v>
      </c>
      <c r="O136" t="str">
        <f>IFERROR(__xludf.DUMMYFUNCTION("""COMPUTED_VALUE"""),"#135")</f>
        <v>#135</v>
      </c>
      <c r="P136" t="str">
        <f>IFERROR(__xludf.DUMMYFUNCTION("""COMPUTED_VALUE"""),"Pierre Larrouturou")</f>
        <v>Pierre Larrouturou</v>
      </c>
      <c r="Q136">
        <f>IFERROR(__xludf.DUMMYFUNCTION("""COMPUTED_VALUE"""),58151.0)</f>
        <v>58151</v>
      </c>
      <c r="R136" t="str">
        <f>IFERROR(__xludf.DUMMYFUNCTION("""COMPUTED_VALUE"""),"-")</f>
        <v>-</v>
      </c>
      <c r="S136" t="str">
        <f>IFERROR(__xludf.DUMMYFUNCTION("""COMPUTED_VALUE"""),"-")</f>
        <v>-</v>
      </c>
      <c r="T136" t="str">
        <f>IFERROR(__xludf.DUMMYFUNCTION("""COMPUTED_VALUE"""),"-")</f>
        <v>-</v>
      </c>
      <c r="U136" t="str">
        <f>IFERROR(__xludf.DUMMYFUNCTION("""COMPUTED_VALUE"""),"-")</f>
        <v>-</v>
      </c>
      <c r="V136" t="str">
        <f>IFERROR(__xludf.DUMMYFUNCTION("""COMPUTED_VALUE"""),"-")</f>
        <v>-</v>
      </c>
      <c r="W136" t="str">
        <f>IFERROR(__xludf.DUMMYFUNCTION("""COMPUTED_VALUE"""),"-")</f>
        <v>-</v>
      </c>
      <c r="X136" t="str">
        <f>IFERROR(__xludf.DUMMYFUNCTION("""COMPUTED_VALUE"""),"-")</f>
        <v>-</v>
      </c>
      <c r="Y136" t="str">
        <f>IFERROR(__xludf.DUMMYFUNCTION("""COMPUTED_VALUE"""),"-")</f>
        <v>-</v>
      </c>
      <c r="Z136" t="str">
        <f>IFERROR(__xludf.DUMMYFUNCTION("""COMPUTED_VALUE"""),"-")</f>
        <v>-</v>
      </c>
      <c r="AA136" t="str">
        <f>IFERROR(__xludf.DUMMYFUNCTION("""COMPUTED_VALUE"""),"-")</f>
        <v>-</v>
      </c>
    </row>
    <row r="137">
      <c r="A137" t="str">
        <f>IFERROR(__xludf.DUMMYFUNCTION("""COMPUTED_VALUE"""),"#136")</f>
        <v>#136</v>
      </c>
      <c r="B137" t="str">
        <f>IFERROR(__xludf.DUMMYFUNCTION("""COMPUTED_VALUE"""),"Luc Chatel")</f>
        <v>Luc Chatel</v>
      </c>
      <c r="C137">
        <f>IFERROR(__xludf.DUMMYFUNCTION("""COMPUTED_VALUE"""),57965.0)</f>
        <v>57965</v>
      </c>
      <c r="D137" t="str">
        <f>IFERROR(__xludf.DUMMYFUNCTION("""COMPUTED_VALUE"""),"-")</f>
        <v>-</v>
      </c>
      <c r="E137" t="str">
        <f>IFERROR(__xludf.DUMMYFUNCTION("""COMPUTED_VALUE"""),"-")</f>
        <v>-</v>
      </c>
      <c r="F137" t="str">
        <f>IFERROR(__xludf.DUMMYFUNCTION("""COMPUTED_VALUE"""),"-")</f>
        <v>-</v>
      </c>
      <c r="G137" t="str">
        <f>IFERROR(__xludf.DUMMYFUNCTION("""COMPUTED_VALUE"""),"-")</f>
        <v>-</v>
      </c>
      <c r="H137" t="str">
        <f>IFERROR(__xludf.DUMMYFUNCTION("""COMPUTED_VALUE"""),"-")</f>
        <v>-</v>
      </c>
      <c r="I137" t="str">
        <f>IFERROR(__xludf.DUMMYFUNCTION("""COMPUTED_VALUE"""),"-")</f>
        <v>-</v>
      </c>
      <c r="J137" t="str">
        <f>IFERROR(__xludf.DUMMYFUNCTION("""COMPUTED_VALUE"""),"-")</f>
        <v>-</v>
      </c>
      <c r="K137" t="str">
        <f>IFERROR(__xludf.DUMMYFUNCTION("""COMPUTED_VALUE"""),"-")</f>
        <v>-</v>
      </c>
      <c r="L137" t="str">
        <f>IFERROR(__xludf.DUMMYFUNCTION("""COMPUTED_VALUE"""),"-")</f>
        <v>-</v>
      </c>
      <c r="M137" t="str">
        <f>IFERROR(__xludf.DUMMYFUNCTION("""COMPUTED_VALUE"""),"-")</f>
        <v>-</v>
      </c>
      <c r="O137" t="str">
        <f>IFERROR(__xludf.DUMMYFUNCTION("""COMPUTED_VALUE"""),"#136")</f>
        <v>#136</v>
      </c>
      <c r="P137" t="str">
        <f>IFERROR(__xludf.DUMMYFUNCTION("""COMPUTED_VALUE"""),"Luc Chatel")</f>
        <v>Luc Chatel</v>
      </c>
      <c r="Q137">
        <f>IFERROR(__xludf.DUMMYFUNCTION("""COMPUTED_VALUE"""),57965.0)</f>
        <v>57965</v>
      </c>
      <c r="R137" t="str">
        <f>IFERROR(__xludf.DUMMYFUNCTION("""COMPUTED_VALUE"""),"-")</f>
        <v>-</v>
      </c>
      <c r="S137" t="str">
        <f>IFERROR(__xludf.DUMMYFUNCTION("""COMPUTED_VALUE"""),"-")</f>
        <v>-</v>
      </c>
      <c r="T137" t="str">
        <f>IFERROR(__xludf.DUMMYFUNCTION("""COMPUTED_VALUE"""),"-")</f>
        <v>-</v>
      </c>
      <c r="U137" t="str">
        <f>IFERROR(__xludf.DUMMYFUNCTION("""COMPUTED_VALUE"""),"-")</f>
        <v>-</v>
      </c>
      <c r="V137" t="str">
        <f>IFERROR(__xludf.DUMMYFUNCTION("""COMPUTED_VALUE"""),"-")</f>
        <v>-</v>
      </c>
      <c r="W137" t="str">
        <f>IFERROR(__xludf.DUMMYFUNCTION("""COMPUTED_VALUE"""),"-")</f>
        <v>-</v>
      </c>
      <c r="X137" t="str">
        <f>IFERROR(__xludf.DUMMYFUNCTION("""COMPUTED_VALUE"""),"-")</f>
        <v>-</v>
      </c>
      <c r="Y137" t="str">
        <f>IFERROR(__xludf.DUMMYFUNCTION("""COMPUTED_VALUE"""),"-")</f>
        <v>-</v>
      </c>
      <c r="Z137" t="str">
        <f>IFERROR(__xludf.DUMMYFUNCTION("""COMPUTED_VALUE"""),"-")</f>
        <v>-</v>
      </c>
      <c r="AA137" t="str">
        <f>IFERROR(__xludf.DUMMYFUNCTION("""COMPUTED_VALUE"""),"-")</f>
        <v>-</v>
      </c>
    </row>
    <row r="138">
      <c r="A138" t="str">
        <f>IFERROR(__xludf.DUMMYFUNCTION("""COMPUTED_VALUE"""),"#137")</f>
        <v>#137</v>
      </c>
      <c r="B138" t="str">
        <f>IFERROR(__xludf.DUMMYFUNCTION("""COMPUTED_VALUE"""),"Ugo Bernalicis")</f>
        <v>Ugo Bernalicis</v>
      </c>
      <c r="C138">
        <f>IFERROR(__xludf.DUMMYFUNCTION("""COMPUTED_VALUE"""),57410.0)</f>
        <v>57410</v>
      </c>
      <c r="D138" t="str">
        <f>IFERROR(__xludf.DUMMYFUNCTION("""COMPUTED_VALUE"""),"-")</f>
        <v>-</v>
      </c>
      <c r="E138" t="str">
        <f>IFERROR(__xludf.DUMMYFUNCTION("""COMPUTED_VALUE"""),"-")</f>
        <v>-</v>
      </c>
      <c r="F138" t="str">
        <f>IFERROR(__xludf.DUMMYFUNCTION("""COMPUTED_VALUE"""),"-")</f>
        <v>-</v>
      </c>
      <c r="G138" t="str">
        <f>IFERROR(__xludf.DUMMYFUNCTION("""COMPUTED_VALUE"""),"-")</f>
        <v>-</v>
      </c>
      <c r="H138" t="str">
        <f>IFERROR(__xludf.DUMMYFUNCTION("""COMPUTED_VALUE"""),"-")</f>
        <v>-</v>
      </c>
      <c r="I138" t="str">
        <f>IFERROR(__xludf.DUMMYFUNCTION("""COMPUTED_VALUE"""),"-")</f>
        <v>-</v>
      </c>
      <c r="J138" t="str">
        <f>IFERROR(__xludf.DUMMYFUNCTION("""COMPUTED_VALUE"""),"-")</f>
        <v>-</v>
      </c>
      <c r="K138" t="str">
        <f>IFERROR(__xludf.DUMMYFUNCTION("""COMPUTED_VALUE"""),"-")</f>
        <v>-</v>
      </c>
      <c r="L138" t="str">
        <f>IFERROR(__xludf.DUMMYFUNCTION("""COMPUTED_VALUE"""),"-")</f>
        <v>-</v>
      </c>
      <c r="M138" t="str">
        <f>IFERROR(__xludf.DUMMYFUNCTION("""COMPUTED_VALUE"""),"-")</f>
        <v>-</v>
      </c>
      <c r="O138" t="str">
        <f>IFERROR(__xludf.DUMMYFUNCTION("""COMPUTED_VALUE"""),"#137")</f>
        <v>#137</v>
      </c>
      <c r="P138" t="str">
        <f>IFERROR(__xludf.DUMMYFUNCTION("""COMPUTED_VALUE"""),"Ugo Bernalicis")</f>
        <v>Ugo Bernalicis</v>
      </c>
      <c r="Q138">
        <f>IFERROR(__xludf.DUMMYFUNCTION("""COMPUTED_VALUE"""),57410.0)</f>
        <v>57410</v>
      </c>
      <c r="R138" t="str">
        <f>IFERROR(__xludf.DUMMYFUNCTION("""COMPUTED_VALUE"""),"-")</f>
        <v>-</v>
      </c>
      <c r="S138" t="str">
        <f>IFERROR(__xludf.DUMMYFUNCTION("""COMPUTED_VALUE"""),"-")</f>
        <v>-</v>
      </c>
      <c r="T138" t="str">
        <f>IFERROR(__xludf.DUMMYFUNCTION("""COMPUTED_VALUE"""),"-")</f>
        <v>-</v>
      </c>
      <c r="U138" t="str">
        <f>IFERROR(__xludf.DUMMYFUNCTION("""COMPUTED_VALUE"""),"-")</f>
        <v>-</v>
      </c>
      <c r="V138" t="str">
        <f>IFERROR(__xludf.DUMMYFUNCTION("""COMPUTED_VALUE"""),"-")</f>
        <v>-</v>
      </c>
      <c r="W138" t="str">
        <f>IFERROR(__xludf.DUMMYFUNCTION("""COMPUTED_VALUE"""),"-")</f>
        <v>-</v>
      </c>
      <c r="X138" t="str">
        <f>IFERROR(__xludf.DUMMYFUNCTION("""COMPUTED_VALUE"""),"-")</f>
        <v>-</v>
      </c>
      <c r="Y138" t="str">
        <f>IFERROR(__xludf.DUMMYFUNCTION("""COMPUTED_VALUE"""),"-")</f>
        <v>-</v>
      </c>
      <c r="Z138" t="str">
        <f>IFERROR(__xludf.DUMMYFUNCTION("""COMPUTED_VALUE"""),"-")</f>
        <v>-</v>
      </c>
      <c r="AA138" t="str">
        <f>IFERROR(__xludf.DUMMYFUNCTION("""COMPUTED_VALUE"""),"-")</f>
        <v>-</v>
      </c>
    </row>
    <row r="139">
      <c r="A139" t="str">
        <f>IFERROR(__xludf.DUMMYFUNCTION("""COMPUTED_VALUE"""),"#138")</f>
        <v>#138</v>
      </c>
      <c r="B139" t="str">
        <f>IFERROR(__xludf.DUMMYFUNCTION("""COMPUTED_VALUE"""),"Karima Delli")</f>
        <v>Karima Delli</v>
      </c>
      <c r="C139">
        <f>IFERROR(__xludf.DUMMYFUNCTION("""COMPUTED_VALUE"""),55776.0)</f>
        <v>55776</v>
      </c>
      <c r="D139" t="str">
        <f>IFERROR(__xludf.DUMMYFUNCTION("""COMPUTED_VALUE"""),"-")</f>
        <v>-</v>
      </c>
      <c r="E139" t="str">
        <f>IFERROR(__xludf.DUMMYFUNCTION("""COMPUTED_VALUE"""),"-")</f>
        <v>-</v>
      </c>
      <c r="F139" t="str">
        <f>IFERROR(__xludf.DUMMYFUNCTION("""COMPUTED_VALUE"""),"-")</f>
        <v>-</v>
      </c>
      <c r="G139" t="str">
        <f>IFERROR(__xludf.DUMMYFUNCTION("""COMPUTED_VALUE"""),"-")</f>
        <v>-</v>
      </c>
      <c r="H139" t="str">
        <f>IFERROR(__xludf.DUMMYFUNCTION("""COMPUTED_VALUE"""),"-")</f>
        <v>-</v>
      </c>
      <c r="I139" t="str">
        <f>IFERROR(__xludf.DUMMYFUNCTION("""COMPUTED_VALUE"""),"-")</f>
        <v>-</v>
      </c>
      <c r="J139" t="str">
        <f>IFERROR(__xludf.DUMMYFUNCTION("""COMPUTED_VALUE"""),"-")</f>
        <v>-</v>
      </c>
      <c r="K139" t="str">
        <f>IFERROR(__xludf.DUMMYFUNCTION("""COMPUTED_VALUE"""),"-")</f>
        <v>-</v>
      </c>
      <c r="L139" t="str">
        <f>IFERROR(__xludf.DUMMYFUNCTION("""COMPUTED_VALUE"""),"-")</f>
        <v>-</v>
      </c>
      <c r="M139" t="str">
        <f>IFERROR(__xludf.DUMMYFUNCTION("""COMPUTED_VALUE"""),"-")</f>
        <v>-</v>
      </c>
      <c r="O139" t="str">
        <f>IFERROR(__xludf.DUMMYFUNCTION("""COMPUTED_VALUE"""),"#138")</f>
        <v>#138</v>
      </c>
      <c r="P139" t="str">
        <f>IFERROR(__xludf.DUMMYFUNCTION("""COMPUTED_VALUE"""),"Karima Delli")</f>
        <v>Karima Delli</v>
      </c>
      <c r="Q139">
        <f>IFERROR(__xludf.DUMMYFUNCTION("""COMPUTED_VALUE"""),55776.0)</f>
        <v>55776</v>
      </c>
      <c r="R139" t="str">
        <f>IFERROR(__xludf.DUMMYFUNCTION("""COMPUTED_VALUE"""),"-")</f>
        <v>-</v>
      </c>
      <c r="S139" t="str">
        <f>IFERROR(__xludf.DUMMYFUNCTION("""COMPUTED_VALUE"""),"-")</f>
        <v>-</v>
      </c>
      <c r="T139" t="str">
        <f>IFERROR(__xludf.DUMMYFUNCTION("""COMPUTED_VALUE"""),"-")</f>
        <v>-</v>
      </c>
      <c r="U139" t="str">
        <f>IFERROR(__xludf.DUMMYFUNCTION("""COMPUTED_VALUE"""),"-")</f>
        <v>-</v>
      </c>
      <c r="V139" t="str">
        <f>IFERROR(__xludf.DUMMYFUNCTION("""COMPUTED_VALUE"""),"-")</f>
        <v>-</v>
      </c>
      <c r="W139" t="str">
        <f>IFERROR(__xludf.DUMMYFUNCTION("""COMPUTED_VALUE"""),"-")</f>
        <v>-</v>
      </c>
      <c r="X139" t="str">
        <f>IFERROR(__xludf.DUMMYFUNCTION("""COMPUTED_VALUE"""),"-")</f>
        <v>-</v>
      </c>
      <c r="Y139" t="str">
        <f>IFERROR(__xludf.DUMMYFUNCTION("""COMPUTED_VALUE"""),"-")</f>
        <v>-</v>
      </c>
      <c r="Z139" t="str">
        <f>IFERROR(__xludf.DUMMYFUNCTION("""COMPUTED_VALUE"""),"-")</f>
        <v>-</v>
      </c>
      <c r="AA139" t="str">
        <f>IFERROR(__xludf.DUMMYFUNCTION("""COMPUTED_VALUE"""),"-")</f>
        <v>-</v>
      </c>
    </row>
    <row r="140">
      <c r="A140" t="str">
        <f>IFERROR(__xludf.DUMMYFUNCTION("""COMPUTED_VALUE"""),"#139")</f>
        <v>#139</v>
      </c>
      <c r="B140" t="str">
        <f>IFERROR(__xludf.DUMMYFUNCTION("""COMPUTED_VALUE"""),"Nicole Belloubet")</f>
        <v>Nicole Belloubet</v>
      </c>
      <c r="C140">
        <f>IFERROR(__xludf.DUMMYFUNCTION("""COMPUTED_VALUE"""),55310.0)</f>
        <v>55310</v>
      </c>
      <c r="D140" t="str">
        <f>IFERROR(__xludf.DUMMYFUNCTION("""COMPUTED_VALUE"""),"-")</f>
        <v>-</v>
      </c>
      <c r="E140" t="str">
        <f>IFERROR(__xludf.DUMMYFUNCTION("""COMPUTED_VALUE"""),"-")</f>
        <v>-</v>
      </c>
      <c r="F140" t="str">
        <f>IFERROR(__xludf.DUMMYFUNCTION("""COMPUTED_VALUE"""),"-")</f>
        <v>-</v>
      </c>
      <c r="G140" t="str">
        <f>IFERROR(__xludf.DUMMYFUNCTION("""COMPUTED_VALUE"""),"-")</f>
        <v>-</v>
      </c>
      <c r="H140" t="str">
        <f>IFERROR(__xludf.DUMMYFUNCTION("""COMPUTED_VALUE"""),"-")</f>
        <v>-</v>
      </c>
      <c r="I140" t="str">
        <f>IFERROR(__xludf.DUMMYFUNCTION("""COMPUTED_VALUE"""),"-")</f>
        <v>-</v>
      </c>
      <c r="J140" t="str">
        <f>IFERROR(__xludf.DUMMYFUNCTION("""COMPUTED_VALUE"""),"-")</f>
        <v>-</v>
      </c>
      <c r="K140" t="str">
        <f>IFERROR(__xludf.DUMMYFUNCTION("""COMPUTED_VALUE"""),"-")</f>
        <v>-</v>
      </c>
      <c r="L140" t="str">
        <f>IFERROR(__xludf.DUMMYFUNCTION("""COMPUTED_VALUE"""),"-")</f>
        <v>-</v>
      </c>
      <c r="M140" t="str">
        <f>IFERROR(__xludf.DUMMYFUNCTION("""COMPUTED_VALUE"""),"-")</f>
        <v>-</v>
      </c>
      <c r="O140" t="str">
        <f>IFERROR(__xludf.DUMMYFUNCTION("""COMPUTED_VALUE"""),"#139")</f>
        <v>#139</v>
      </c>
      <c r="P140" t="str">
        <f>IFERROR(__xludf.DUMMYFUNCTION("""COMPUTED_VALUE"""),"Nicole Belloubet")</f>
        <v>Nicole Belloubet</v>
      </c>
      <c r="Q140">
        <f>IFERROR(__xludf.DUMMYFUNCTION("""COMPUTED_VALUE"""),55310.0)</f>
        <v>55310</v>
      </c>
      <c r="R140" t="str">
        <f>IFERROR(__xludf.DUMMYFUNCTION("""COMPUTED_VALUE"""),"-")</f>
        <v>-</v>
      </c>
      <c r="S140" t="str">
        <f>IFERROR(__xludf.DUMMYFUNCTION("""COMPUTED_VALUE"""),"-")</f>
        <v>-</v>
      </c>
      <c r="T140" t="str">
        <f>IFERROR(__xludf.DUMMYFUNCTION("""COMPUTED_VALUE"""),"-")</f>
        <v>-</v>
      </c>
      <c r="U140" t="str">
        <f>IFERROR(__xludf.DUMMYFUNCTION("""COMPUTED_VALUE"""),"-")</f>
        <v>-</v>
      </c>
      <c r="V140" t="str">
        <f>IFERROR(__xludf.DUMMYFUNCTION("""COMPUTED_VALUE"""),"-")</f>
        <v>-</v>
      </c>
      <c r="W140" t="str">
        <f>IFERROR(__xludf.DUMMYFUNCTION("""COMPUTED_VALUE"""),"-")</f>
        <v>-</v>
      </c>
      <c r="X140" t="str">
        <f>IFERROR(__xludf.DUMMYFUNCTION("""COMPUTED_VALUE"""),"-")</f>
        <v>-</v>
      </c>
      <c r="Y140" t="str">
        <f>IFERROR(__xludf.DUMMYFUNCTION("""COMPUTED_VALUE"""),"-")</f>
        <v>-</v>
      </c>
      <c r="Z140" t="str">
        <f>IFERROR(__xludf.DUMMYFUNCTION("""COMPUTED_VALUE"""),"-")</f>
        <v>-</v>
      </c>
      <c r="AA140" t="str">
        <f>IFERROR(__xludf.DUMMYFUNCTION("""COMPUTED_VALUE"""),"-")</f>
        <v>-</v>
      </c>
    </row>
    <row r="141">
      <c r="A141" t="str">
        <f>IFERROR(__xludf.DUMMYFUNCTION("""COMPUTED_VALUE"""),"#140")</f>
        <v>#140</v>
      </c>
      <c r="B141" t="str">
        <f>IFERROR(__xludf.DUMMYFUNCTION("""COMPUTED_VALUE"""),"Bastien Lachaud")</f>
        <v>Bastien Lachaud</v>
      </c>
      <c r="C141">
        <f>IFERROR(__xludf.DUMMYFUNCTION("""COMPUTED_VALUE"""),55109.0)</f>
        <v>55109</v>
      </c>
      <c r="D141" t="str">
        <f>IFERROR(__xludf.DUMMYFUNCTION("""COMPUTED_VALUE"""),"-")</f>
        <v>-</v>
      </c>
      <c r="E141" t="str">
        <f>IFERROR(__xludf.DUMMYFUNCTION("""COMPUTED_VALUE"""),"-")</f>
        <v>-</v>
      </c>
      <c r="F141" t="str">
        <f>IFERROR(__xludf.DUMMYFUNCTION("""COMPUTED_VALUE"""),"-")</f>
        <v>-</v>
      </c>
      <c r="G141" t="str">
        <f>IFERROR(__xludf.DUMMYFUNCTION("""COMPUTED_VALUE"""),"-")</f>
        <v>-</v>
      </c>
      <c r="H141" t="str">
        <f>IFERROR(__xludf.DUMMYFUNCTION("""COMPUTED_VALUE"""),"-")</f>
        <v>-</v>
      </c>
      <c r="I141" t="str">
        <f>IFERROR(__xludf.DUMMYFUNCTION("""COMPUTED_VALUE"""),"-")</f>
        <v>-</v>
      </c>
      <c r="J141" t="str">
        <f>IFERROR(__xludf.DUMMYFUNCTION("""COMPUTED_VALUE"""),"-")</f>
        <v>-</v>
      </c>
      <c r="K141" t="str">
        <f>IFERROR(__xludf.DUMMYFUNCTION("""COMPUTED_VALUE"""),"-")</f>
        <v>-</v>
      </c>
      <c r="L141" t="str">
        <f>IFERROR(__xludf.DUMMYFUNCTION("""COMPUTED_VALUE"""),"-")</f>
        <v>-</v>
      </c>
      <c r="M141" t="str">
        <f>IFERROR(__xludf.DUMMYFUNCTION("""COMPUTED_VALUE"""),"-")</f>
        <v>-</v>
      </c>
      <c r="O141" t="str">
        <f>IFERROR(__xludf.DUMMYFUNCTION("""COMPUTED_VALUE"""),"#140")</f>
        <v>#140</v>
      </c>
      <c r="P141" t="str">
        <f>IFERROR(__xludf.DUMMYFUNCTION("""COMPUTED_VALUE"""),"Bastien Lachaud")</f>
        <v>Bastien Lachaud</v>
      </c>
      <c r="Q141">
        <f>IFERROR(__xludf.DUMMYFUNCTION("""COMPUTED_VALUE"""),55109.0)</f>
        <v>55109</v>
      </c>
      <c r="R141" t="str">
        <f>IFERROR(__xludf.DUMMYFUNCTION("""COMPUTED_VALUE"""),"-")</f>
        <v>-</v>
      </c>
      <c r="S141" t="str">
        <f>IFERROR(__xludf.DUMMYFUNCTION("""COMPUTED_VALUE"""),"-")</f>
        <v>-</v>
      </c>
      <c r="T141" t="str">
        <f>IFERROR(__xludf.DUMMYFUNCTION("""COMPUTED_VALUE"""),"-")</f>
        <v>-</v>
      </c>
      <c r="U141" t="str">
        <f>IFERROR(__xludf.DUMMYFUNCTION("""COMPUTED_VALUE"""),"-")</f>
        <v>-</v>
      </c>
      <c r="V141" t="str">
        <f>IFERROR(__xludf.DUMMYFUNCTION("""COMPUTED_VALUE"""),"-")</f>
        <v>-</v>
      </c>
      <c r="W141" t="str">
        <f>IFERROR(__xludf.DUMMYFUNCTION("""COMPUTED_VALUE"""),"-")</f>
        <v>-</v>
      </c>
      <c r="X141" t="str">
        <f>IFERROR(__xludf.DUMMYFUNCTION("""COMPUTED_VALUE"""),"-")</f>
        <v>-</v>
      </c>
      <c r="Y141" t="str">
        <f>IFERROR(__xludf.DUMMYFUNCTION("""COMPUTED_VALUE"""),"-")</f>
        <v>-</v>
      </c>
      <c r="Z141" t="str">
        <f>IFERROR(__xludf.DUMMYFUNCTION("""COMPUTED_VALUE"""),"-")</f>
        <v>-</v>
      </c>
      <c r="AA141" t="str">
        <f>IFERROR(__xludf.DUMMYFUNCTION("""COMPUTED_VALUE"""),"-")</f>
        <v>-</v>
      </c>
    </row>
    <row r="142">
      <c r="A142" t="str">
        <f>IFERROR(__xludf.DUMMYFUNCTION("""COMPUTED_VALUE"""),"#141")</f>
        <v>#141</v>
      </c>
      <c r="B142" t="str">
        <f>IFERROR(__xludf.DUMMYFUNCTION("""COMPUTED_VALUE"""),"Olivier Dussopt")</f>
        <v>Olivier Dussopt</v>
      </c>
      <c r="C142">
        <f>IFERROR(__xludf.DUMMYFUNCTION("""COMPUTED_VALUE"""),54405.0)</f>
        <v>54405</v>
      </c>
      <c r="D142" t="str">
        <f>IFERROR(__xludf.DUMMYFUNCTION("""COMPUTED_VALUE"""),"-")</f>
        <v>-</v>
      </c>
      <c r="E142" t="str">
        <f>IFERROR(__xludf.DUMMYFUNCTION("""COMPUTED_VALUE"""),"-")</f>
        <v>-</v>
      </c>
      <c r="F142" t="str">
        <f>IFERROR(__xludf.DUMMYFUNCTION("""COMPUTED_VALUE"""),"-")</f>
        <v>-</v>
      </c>
      <c r="G142" t="str">
        <f>IFERROR(__xludf.DUMMYFUNCTION("""COMPUTED_VALUE"""),"-")</f>
        <v>-</v>
      </c>
      <c r="H142" t="str">
        <f>IFERROR(__xludf.DUMMYFUNCTION("""COMPUTED_VALUE"""),"-")</f>
        <v>-</v>
      </c>
      <c r="I142" t="str">
        <f>IFERROR(__xludf.DUMMYFUNCTION("""COMPUTED_VALUE"""),"-")</f>
        <v>-</v>
      </c>
      <c r="J142" t="str">
        <f>IFERROR(__xludf.DUMMYFUNCTION("""COMPUTED_VALUE"""),"-")</f>
        <v>-</v>
      </c>
      <c r="K142" t="str">
        <f>IFERROR(__xludf.DUMMYFUNCTION("""COMPUTED_VALUE"""),"-")</f>
        <v>-</v>
      </c>
      <c r="L142" t="str">
        <f>IFERROR(__xludf.DUMMYFUNCTION("""COMPUTED_VALUE"""),"-")</f>
        <v>-</v>
      </c>
      <c r="M142" t="str">
        <f>IFERROR(__xludf.DUMMYFUNCTION("""COMPUTED_VALUE"""),"-")</f>
        <v>-</v>
      </c>
      <c r="O142" t="str">
        <f>IFERROR(__xludf.DUMMYFUNCTION("""COMPUTED_VALUE"""),"#141")</f>
        <v>#141</v>
      </c>
      <c r="P142" t="str">
        <f>IFERROR(__xludf.DUMMYFUNCTION("""COMPUTED_VALUE"""),"Olivier Dussopt")</f>
        <v>Olivier Dussopt</v>
      </c>
      <c r="Q142">
        <f>IFERROR(__xludf.DUMMYFUNCTION("""COMPUTED_VALUE"""),54405.0)</f>
        <v>54405</v>
      </c>
      <c r="R142" t="str">
        <f>IFERROR(__xludf.DUMMYFUNCTION("""COMPUTED_VALUE"""),"-")</f>
        <v>-</v>
      </c>
      <c r="S142" t="str">
        <f>IFERROR(__xludf.DUMMYFUNCTION("""COMPUTED_VALUE"""),"-")</f>
        <v>-</v>
      </c>
      <c r="T142" t="str">
        <f>IFERROR(__xludf.DUMMYFUNCTION("""COMPUTED_VALUE"""),"-")</f>
        <v>-</v>
      </c>
      <c r="U142" t="str">
        <f>IFERROR(__xludf.DUMMYFUNCTION("""COMPUTED_VALUE"""),"-")</f>
        <v>-</v>
      </c>
      <c r="V142" t="str">
        <f>IFERROR(__xludf.DUMMYFUNCTION("""COMPUTED_VALUE"""),"-")</f>
        <v>-</v>
      </c>
      <c r="W142" t="str">
        <f>IFERROR(__xludf.DUMMYFUNCTION("""COMPUTED_VALUE"""),"-")</f>
        <v>-</v>
      </c>
      <c r="X142" t="str">
        <f>IFERROR(__xludf.DUMMYFUNCTION("""COMPUTED_VALUE"""),"-")</f>
        <v>-</v>
      </c>
      <c r="Y142" t="str">
        <f>IFERROR(__xludf.DUMMYFUNCTION("""COMPUTED_VALUE"""),"-")</f>
        <v>-</v>
      </c>
      <c r="Z142" t="str">
        <f>IFERROR(__xludf.DUMMYFUNCTION("""COMPUTED_VALUE"""),"-")</f>
        <v>-</v>
      </c>
      <c r="AA142" t="str">
        <f>IFERROR(__xludf.DUMMYFUNCTION("""COMPUTED_VALUE"""),"-")</f>
        <v>-</v>
      </c>
    </row>
    <row r="143">
      <c r="A143" t="str">
        <f>IFERROR(__xludf.DUMMYFUNCTION("""COMPUTED_VALUE"""),"#142")</f>
        <v>#142</v>
      </c>
      <c r="B143" t="str">
        <f>IFERROR(__xludf.DUMMYFUNCTION("""COMPUTED_VALUE"""),"Laurent Nuñez")</f>
        <v>Laurent Nuñez</v>
      </c>
      <c r="C143">
        <f>IFERROR(__xludf.DUMMYFUNCTION("""COMPUTED_VALUE"""),54313.0)</f>
        <v>54313</v>
      </c>
      <c r="D143" t="str">
        <f>IFERROR(__xludf.DUMMYFUNCTION("""COMPUTED_VALUE"""),"-")</f>
        <v>-</v>
      </c>
      <c r="E143" t="str">
        <f>IFERROR(__xludf.DUMMYFUNCTION("""COMPUTED_VALUE"""),"-")</f>
        <v>-</v>
      </c>
      <c r="F143" t="str">
        <f>IFERROR(__xludf.DUMMYFUNCTION("""COMPUTED_VALUE"""),"-")</f>
        <v>-</v>
      </c>
      <c r="G143" t="str">
        <f>IFERROR(__xludf.DUMMYFUNCTION("""COMPUTED_VALUE"""),"-")</f>
        <v>-</v>
      </c>
      <c r="H143" t="str">
        <f>IFERROR(__xludf.DUMMYFUNCTION("""COMPUTED_VALUE"""),"-")</f>
        <v>-</v>
      </c>
      <c r="I143" t="str">
        <f>IFERROR(__xludf.DUMMYFUNCTION("""COMPUTED_VALUE"""),"-")</f>
        <v>-</v>
      </c>
      <c r="J143" t="str">
        <f>IFERROR(__xludf.DUMMYFUNCTION("""COMPUTED_VALUE"""),"-")</f>
        <v>-</v>
      </c>
      <c r="K143" t="str">
        <f>IFERROR(__xludf.DUMMYFUNCTION("""COMPUTED_VALUE"""),"-")</f>
        <v>-</v>
      </c>
      <c r="L143" t="str">
        <f>IFERROR(__xludf.DUMMYFUNCTION("""COMPUTED_VALUE"""),"-")</f>
        <v>-</v>
      </c>
      <c r="M143" t="str">
        <f>IFERROR(__xludf.DUMMYFUNCTION("""COMPUTED_VALUE"""),"-")</f>
        <v>-</v>
      </c>
      <c r="O143" t="str">
        <f>IFERROR(__xludf.DUMMYFUNCTION("""COMPUTED_VALUE"""),"#142")</f>
        <v>#142</v>
      </c>
      <c r="P143" t="str">
        <f>IFERROR(__xludf.DUMMYFUNCTION("""COMPUTED_VALUE"""),"Laurent Nuñez")</f>
        <v>Laurent Nuñez</v>
      </c>
      <c r="Q143">
        <f>IFERROR(__xludf.DUMMYFUNCTION("""COMPUTED_VALUE"""),54313.0)</f>
        <v>54313</v>
      </c>
      <c r="R143" t="str">
        <f>IFERROR(__xludf.DUMMYFUNCTION("""COMPUTED_VALUE"""),"-")</f>
        <v>-</v>
      </c>
      <c r="S143" t="str">
        <f>IFERROR(__xludf.DUMMYFUNCTION("""COMPUTED_VALUE"""),"-")</f>
        <v>-</v>
      </c>
      <c r="T143" t="str">
        <f>IFERROR(__xludf.DUMMYFUNCTION("""COMPUTED_VALUE"""),"-")</f>
        <v>-</v>
      </c>
      <c r="U143" t="str">
        <f>IFERROR(__xludf.DUMMYFUNCTION("""COMPUTED_VALUE"""),"-")</f>
        <v>-</v>
      </c>
      <c r="V143" t="str">
        <f>IFERROR(__xludf.DUMMYFUNCTION("""COMPUTED_VALUE"""),"-")</f>
        <v>-</v>
      </c>
      <c r="W143" t="str">
        <f>IFERROR(__xludf.DUMMYFUNCTION("""COMPUTED_VALUE"""),"-")</f>
        <v>-</v>
      </c>
      <c r="X143" t="str">
        <f>IFERROR(__xludf.DUMMYFUNCTION("""COMPUTED_VALUE"""),"-")</f>
        <v>-</v>
      </c>
      <c r="Y143" t="str">
        <f>IFERROR(__xludf.DUMMYFUNCTION("""COMPUTED_VALUE"""),"-")</f>
        <v>-</v>
      </c>
      <c r="Z143" t="str">
        <f>IFERROR(__xludf.DUMMYFUNCTION("""COMPUTED_VALUE"""),"-")</f>
        <v>-</v>
      </c>
      <c r="AA143" t="str">
        <f>IFERROR(__xludf.DUMMYFUNCTION("""COMPUTED_VALUE"""),"-")</f>
        <v>-</v>
      </c>
    </row>
    <row r="144">
      <c r="A144" t="str">
        <f>IFERROR(__xludf.DUMMYFUNCTION("""COMPUTED_VALUE"""),"#143")</f>
        <v>#143</v>
      </c>
      <c r="B144" t="str">
        <f>IFERROR(__xludf.DUMMYFUNCTION("""COMPUTED_VALUE"""),"David Rachline")</f>
        <v>David Rachline</v>
      </c>
      <c r="C144">
        <f>IFERROR(__xludf.DUMMYFUNCTION("""COMPUTED_VALUE"""),52777.0)</f>
        <v>52777</v>
      </c>
      <c r="D144" t="str">
        <f>IFERROR(__xludf.DUMMYFUNCTION("""COMPUTED_VALUE"""),"-")</f>
        <v>-</v>
      </c>
      <c r="E144" t="str">
        <f>IFERROR(__xludf.DUMMYFUNCTION("""COMPUTED_VALUE"""),"-")</f>
        <v>-</v>
      </c>
      <c r="F144" t="str">
        <f>IFERROR(__xludf.DUMMYFUNCTION("""COMPUTED_VALUE"""),"-")</f>
        <v>-</v>
      </c>
      <c r="G144" t="str">
        <f>IFERROR(__xludf.DUMMYFUNCTION("""COMPUTED_VALUE"""),"-")</f>
        <v>-</v>
      </c>
      <c r="H144" t="str">
        <f>IFERROR(__xludf.DUMMYFUNCTION("""COMPUTED_VALUE"""),"-")</f>
        <v>-</v>
      </c>
      <c r="I144" t="str">
        <f>IFERROR(__xludf.DUMMYFUNCTION("""COMPUTED_VALUE"""),"-")</f>
        <v>-</v>
      </c>
      <c r="J144" t="str">
        <f>IFERROR(__xludf.DUMMYFUNCTION("""COMPUTED_VALUE"""),"-")</f>
        <v>-</v>
      </c>
      <c r="K144" t="str">
        <f>IFERROR(__xludf.DUMMYFUNCTION("""COMPUTED_VALUE"""),"-")</f>
        <v>-</v>
      </c>
      <c r="L144" t="str">
        <f>IFERROR(__xludf.DUMMYFUNCTION("""COMPUTED_VALUE"""),"-")</f>
        <v>-</v>
      </c>
      <c r="M144" t="str">
        <f>IFERROR(__xludf.DUMMYFUNCTION("""COMPUTED_VALUE"""),"-")</f>
        <v>-</v>
      </c>
      <c r="O144" t="str">
        <f>IFERROR(__xludf.DUMMYFUNCTION("""COMPUTED_VALUE"""),"#143")</f>
        <v>#143</v>
      </c>
      <c r="P144" t="str">
        <f>IFERROR(__xludf.DUMMYFUNCTION("""COMPUTED_VALUE"""),"David Rachline")</f>
        <v>David Rachline</v>
      </c>
      <c r="Q144">
        <f>IFERROR(__xludf.DUMMYFUNCTION("""COMPUTED_VALUE"""),52777.0)</f>
        <v>52777</v>
      </c>
      <c r="R144" t="str">
        <f>IFERROR(__xludf.DUMMYFUNCTION("""COMPUTED_VALUE"""),"-")</f>
        <v>-</v>
      </c>
      <c r="S144" t="str">
        <f>IFERROR(__xludf.DUMMYFUNCTION("""COMPUTED_VALUE"""),"-")</f>
        <v>-</v>
      </c>
      <c r="T144" t="str">
        <f>IFERROR(__xludf.DUMMYFUNCTION("""COMPUTED_VALUE"""),"-")</f>
        <v>-</v>
      </c>
      <c r="U144" t="str">
        <f>IFERROR(__xludf.DUMMYFUNCTION("""COMPUTED_VALUE"""),"-")</f>
        <v>-</v>
      </c>
      <c r="V144" t="str">
        <f>IFERROR(__xludf.DUMMYFUNCTION("""COMPUTED_VALUE"""),"-")</f>
        <v>-</v>
      </c>
      <c r="W144" t="str">
        <f>IFERROR(__xludf.DUMMYFUNCTION("""COMPUTED_VALUE"""),"-")</f>
        <v>-</v>
      </c>
      <c r="X144" t="str">
        <f>IFERROR(__xludf.DUMMYFUNCTION("""COMPUTED_VALUE"""),"-")</f>
        <v>-</v>
      </c>
      <c r="Y144" t="str">
        <f>IFERROR(__xludf.DUMMYFUNCTION("""COMPUTED_VALUE"""),"-")</f>
        <v>-</v>
      </c>
      <c r="Z144" t="str">
        <f>IFERROR(__xludf.DUMMYFUNCTION("""COMPUTED_VALUE"""),"-")</f>
        <v>-</v>
      </c>
      <c r="AA144" t="str">
        <f>IFERROR(__xludf.DUMMYFUNCTION("""COMPUTED_VALUE"""),"-")</f>
        <v>-</v>
      </c>
    </row>
    <row r="145">
      <c r="A145" t="str">
        <f>IFERROR(__xludf.DUMMYFUNCTION("""COMPUTED_VALUE"""),"#144")</f>
        <v>#144</v>
      </c>
      <c r="B145" t="str">
        <f>IFERROR(__xludf.DUMMYFUNCTION("""COMPUTED_VALUE"""),"Vincent Peillon")</f>
        <v>Vincent Peillon</v>
      </c>
      <c r="C145">
        <f>IFERROR(__xludf.DUMMYFUNCTION("""COMPUTED_VALUE"""),52368.0)</f>
        <v>52368</v>
      </c>
      <c r="D145" t="str">
        <f>IFERROR(__xludf.DUMMYFUNCTION("""COMPUTED_VALUE"""),"-")</f>
        <v>-</v>
      </c>
      <c r="E145" t="str">
        <f>IFERROR(__xludf.DUMMYFUNCTION("""COMPUTED_VALUE"""),"-")</f>
        <v>-</v>
      </c>
      <c r="F145" t="str">
        <f>IFERROR(__xludf.DUMMYFUNCTION("""COMPUTED_VALUE"""),"-")</f>
        <v>-</v>
      </c>
      <c r="G145" t="str">
        <f>IFERROR(__xludf.DUMMYFUNCTION("""COMPUTED_VALUE"""),"-")</f>
        <v>-</v>
      </c>
      <c r="H145" t="str">
        <f>IFERROR(__xludf.DUMMYFUNCTION("""COMPUTED_VALUE"""),"-")</f>
        <v>-</v>
      </c>
      <c r="I145" t="str">
        <f>IFERROR(__xludf.DUMMYFUNCTION("""COMPUTED_VALUE"""),"-")</f>
        <v>-</v>
      </c>
      <c r="J145" t="str">
        <f>IFERROR(__xludf.DUMMYFUNCTION("""COMPUTED_VALUE"""),"-")</f>
        <v>-</v>
      </c>
      <c r="K145" t="str">
        <f>IFERROR(__xludf.DUMMYFUNCTION("""COMPUTED_VALUE"""),"-")</f>
        <v>-</v>
      </c>
      <c r="L145" t="str">
        <f>IFERROR(__xludf.DUMMYFUNCTION("""COMPUTED_VALUE"""),"-")</f>
        <v>-</v>
      </c>
      <c r="M145" t="str">
        <f>IFERROR(__xludf.DUMMYFUNCTION("""COMPUTED_VALUE"""),"-")</f>
        <v>-</v>
      </c>
      <c r="O145" t="str">
        <f>IFERROR(__xludf.DUMMYFUNCTION("""COMPUTED_VALUE"""),"#144")</f>
        <v>#144</v>
      </c>
      <c r="P145" t="str">
        <f>IFERROR(__xludf.DUMMYFUNCTION("""COMPUTED_VALUE"""),"Vincent Peillon")</f>
        <v>Vincent Peillon</v>
      </c>
      <c r="Q145">
        <f>IFERROR(__xludf.DUMMYFUNCTION("""COMPUTED_VALUE"""),52368.0)</f>
        <v>52368</v>
      </c>
      <c r="R145" t="str">
        <f>IFERROR(__xludf.DUMMYFUNCTION("""COMPUTED_VALUE"""),"-")</f>
        <v>-</v>
      </c>
      <c r="S145" t="str">
        <f>IFERROR(__xludf.DUMMYFUNCTION("""COMPUTED_VALUE"""),"-")</f>
        <v>-</v>
      </c>
      <c r="T145" t="str">
        <f>IFERROR(__xludf.DUMMYFUNCTION("""COMPUTED_VALUE"""),"-")</f>
        <v>-</v>
      </c>
      <c r="U145" t="str">
        <f>IFERROR(__xludf.DUMMYFUNCTION("""COMPUTED_VALUE"""),"-")</f>
        <v>-</v>
      </c>
      <c r="V145" t="str">
        <f>IFERROR(__xludf.DUMMYFUNCTION("""COMPUTED_VALUE"""),"-")</f>
        <v>-</v>
      </c>
      <c r="W145" t="str">
        <f>IFERROR(__xludf.DUMMYFUNCTION("""COMPUTED_VALUE"""),"-")</f>
        <v>-</v>
      </c>
      <c r="X145" t="str">
        <f>IFERROR(__xludf.DUMMYFUNCTION("""COMPUTED_VALUE"""),"-")</f>
        <v>-</v>
      </c>
      <c r="Y145" t="str">
        <f>IFERROR(__xludf.DUMMYFUNCTION("""COMPUTED_VALUE"""),"-")</f>
        <v>-</v>
      </c>
      <c r="Z145" t="str">
        <f>IFERROR(__xludf.DUMMYFUNCTION("""COMPUTED_VALUE"""),"-")</f>
        <v>-</v>
      </c>
      <c r="AA145" t="str">
        <f>IFERROR(__xludf.DUMMYFUNCTION("""COMPUTED_VALUE"""),"-")</f>
        <v>-</v>
      </c>
    </row>
    <row r="146">
      <c r="A146" t="str">
        <f>IFERROR(__xludf.DUMMYFUNCTION("""COMPUTED_VALUE"""),"#145")</f>
        <v>#145</v>
      </c>
      <c r="B146" t="str">
        <f>IFERROR(__xludf.DUMMYFUNCTION("""COMPUTED_VALUE"""),"Emmanuelle Wargon")</f>
        <v>Emmanuelle Wargon</v>
      </c>
      <c r="C146">
        <f>IFERROR(__xludf.DUMMYFUNCTION("""COMPUTED_VALUE"""),51653.0)</f>
        <v>51653</v>
      </c>
      <c r="D146" t="str">
        <f>IFERROR(__xludf.DUMMYFUNCTION("""COMPUTED_VALUE"""),"-")</f>
        <v>-</v>
      </c>
      <c r="E146" t="str">
        <f>IFERROR(__xludf.DUMMYFUNCTION("""COMPUTED_VALUE"""),"-")</f>
        <v>-</v>
      </c>
      <c r="F146" t="str">
        <f>IFERROR(__xludf.DUMMYFUNCTION("""COMPUTED_VALUE"""),"-")</f>
        <v>-</v>
      </c>
      <c r="G146" t="str">
        <f>IFERROR(__xludf.DUMMYFUNCTION("""COMPUTED_VALUE"""),"-")</f>
        <v>-</v>
      </c>
      <c r="H146" t="str">
        <f>IFERROR(__xludf.DUMMYFUNCTION("""COMPUTED_VALUE"""),"-")</f>
        <v>-</v>
      </c>
      <c r="I146" t="str">
        <f>IFERROR(__xludf.DUMMYFUNCTION("""COMPUTED_VALUE"""),"-")</f>
        <v>-</v>
      </c>
      <c r="J146" t="str">
        <f>IFERROR(__xludf.DUMMYFUNCTION("""COMPUTED_VALUE"""),"-")</f>
        <v>-</v>
      </c>
      <c r="K146" t="str">
        <f>IFERROR(__xludf.DUMMYFUNCTION("""COMPUTED_VALUE"""),"-")</f>
        <v>-</v>
      </c>
      <c r="L146" t="str">
        <f>IFERROR(__xludf.DUMMYFUNCTION("""COMPUTED_VALUE"""),"-")</f>
        <v>-</v>
      </c>
      <c r="M146" t="str">
        <f>IFERROR(__xludf.DUMMYFUNCTION("""COMPUTED_VALUE"""),"-")</f>
        <v>-</v>
      </c>
      <c r="O146" t="str">
        <f>IFERROR(__xludf.DUMMYFUNCTION("""COMPUTED_VALUE"""),"#145")</f>
        <v>#145</v>
      </c>
      <c r="P146" t="str">
        <f>IFERROR(__xludf.DUMMYFUNCTION("""COMPUTED_VALUE"""),"Emmanuelle Wargon")</f>
        <v>Emmanuelle Wargon</v>
      </c>
      <c r="Q146">
        <f>IFERROR(__xludf.DUMMYFUNCTION("""COMPUTED_VALUE"""),51653.0)</f>
        <v>51653</v>
      </c>
      <c r="R146" t="str">
        <f>IFERROR(__xludf.DUMMYFUNCTION("""COMPUTED_VALUE"""),"-")</f>
        <v>-</v>
      </c>
      <c r="S146" t="str">
        <f>IFERROR(__xludf.DUMMYFUNCTION("""COMPUTED_VALUE"""),"-")</f>
        <v>-</v>
      </c>
      <c r="T146" t="str">
        <f>IFERROR(__xludf.DUMMYFUNCTION("""COMPUTED_VALUE"""),"-")</f>
        <v>-</v>
      </c>
      <c r="U146" t="str">
        <f>IFERROR(__xludf.DUMMYFUNCTION("""COMPUTED_VALUE"""),"-")</f>
        <v>-</v>
      </c>
      <c r="V146" t="str">
        <f>IFERROR(__xludf.DUMMYFUNCTION("""COMPUTED_VALUE"""),"-")</f>
        <v>-</v>
      </c>
      <c r="W146" t="str">
        <f>IFERROR(__xludf.DUMMYFUNCTION("""COMPUTED_VALUE"""),"-")</f>
        <v>-</v>
      </c>
      <c r="X146" t="str">
        <f>IFERROR(__xludf.DUMMYFUNCTION("""COMPUTED_VALUE"""),"-")</f>
        <v>-</v>
      </c>
      <c r="Y146" t="str">
        <f>IFERROR(__xludf.DUMMYFUNCTION("""COMPUTED_VALUE"""),"-")</f>
        <v>-</v>
      </c>
      <c r="Z146" t="str">
        <f>IFERROR(__xludf.DUMMYFUNCTION("""COMPUTED_VALUE"""),"-")</f>
        <v>-</v>
      </c>
      <c r="AA146" t="str">
        <f>IFERROR(__xludf.DUMMYFUNCTION("""COMPUTED_VALUE"""),"-")</f>
        <v>-</v>
      </c>
    </row>
    <row r="147">
      <c r="A147" t="str">
        <f>IFERROR(__xludf.DUMMYFUNCTION("""COMPUTED_VALUE"""),"#146")</f>
        <v>#146</v>
      </c>
      <c r="B147" t="str">
        <f>IFERROR(__xludf.DUMMYFUNCTION("""COMPUTED_VALUE"""),"Karim Ouchikh")</f>
        <v>Karim Ouchikh</v>
      </c>
      <c r="C147">
        <f>IFERROR(__xludf.DUMMYFUNCTION("""COMPUTED_VALUE"""),50286.0)</f>
        <v>50286</v>
      </c>
      <c r="D147" t="str">
        <f>IFERROR(__xludf.DUMMYFUNCTION("""COMPUTED_VALUE"""),"-")</f>
        <v>-</v>
      </c>
      <c r="E147" t="str">
        <f>IFERROR(__xludf.DUMMYFUNCTION("""COMPUTED_VALUE"""),"-")</f>
        <v>-</v>
      </c>
      <c r="F147" t="str">
        <f>IFERROR(__xludf.DUMMYFUNCTION("""COMPUTED_VALUE"""),"-")</f>
        <v>-</v>
      </c>
      <c r="G147" t="str">
        <f>IFERROR(__xludf.DUMMYFUNCTION("""COMPUTED_VALUE"""),"-")</f>
        <v>-</v>
      </c>
      <c r="H147" t="str">
        <f>IFERROR(__xludf.DUMMYFUNCTION("""COMPUTED_VALUE"""),"-")</f>
        <v>-</v>
      </c>
      <c r="I147" t="str">
        <f>IFERROR(__xludf.DUMMYFUNCTION("""COMPUTED_VALUE"""),"-")</f>
        <v>-</v>
      </c>
      <c r="J147" t="str">
        <f>IFERROR(__xludf.DUMMYFUNCTION("""COMPUTED_VALUE"""),"-")</f>
        <v>-</v>
      </c>
      <c r="K147" t="str">
        <f>IFERROR(__xludf.DUMMYFUNCTION("""COMPUTED_VALUE"""),"-")</f>
        <v>-</v>
      </c>
      <c r="L147" t="str">
        <f>IFERROR(__xludf.DUMMYFUNCTION("""COMPUTED_VALUE"""),"-")</f>
        <v>-</v>
      </c>
      <c r="M147" t="str">
        <f>IFERROR(__xludf.DUMMYFUNCTION("""COMPUTED_VALUE"""),"-")</f>
        <v>-</v>
      </c>
      <c r="O147" t="str">
        <f>IFERROR(__xludf.DUMMYFUNCTION("""COMPUTED_VALUE"""),"#146")</f>
        <v>#146</v>
      </c>
      <c r="P147" t="str">
        <f>IFERROR(__xludf.DUMMYFUNCTION("""COMPUTED_VALUE"""),"Karim Ouchikh")</f>
        <v>Karim Ouchikh</v>
      </c>
      <c r="Q147">
        <f>IFERROR(__xludf.DUMMYFUNCTION("""COMPUTED_VALUE"""),50286.0)</f>
        <v>50286</v>
      </c>
      <c r="R147" t="str">
        <f>IFERROR(__xludf.DUMMYFUNCTION("""COMPUTED_VALUE"""),"-")</f>
        <v>-</v>
      </c>
      <c r="S147" t="str">
        <f>IFERROR(__xludf.DUMMYFUNCTION("""COMPUTED_VALUE"""),"-")</f>
        <v>-</v>
      </c>
      <c r="T147" t="str">
        <f>IFERROR(__xludf.DUMMYFUNCTION("""COMPUTED_VALUE"""),"-")</f>
        <v>-</v>
      </c>
      <c r="U147" t="str">
        <f>IFERROR(__xludf.DUMMYFUNCTION("""COMPUTED_VALUE"""),"-")</f>
        <v>-</v>
      </c>
      <c r="V147" t="str">
        <f>IFERROR(__xludf.DUMMYFUNCTION("""COMPUTED_VALUE"""),"-")</f>
        <v>-</v>
      </c>
      <c r="W147" t="str">
        <f>IFERROR(__xludf.DUMMYFUNCTION("""COMPUTED_VALUE"""),"-")</f>
        <v>-</v>
      </c>
      <c r="X147" t="str">
        <f>IFERROR(__xludf.DUMMYFUNCTION("""COMPUTED_VALUE"""),"-")</f>
        <v>-</v>
      </c>
      <c r="Y147" t="str">
        <f>IFERROR(__xludf.DUMMYFUNCTION("""COMPUTED_VALUE"""),"-")</f>
        <v>-</v>
      </c>
      <c r="Z147" t="str">
        <f>IFERROR(__xludf.DUMMYFUNCTION("""COMPUTED_VALUE"""),"-")</f>
        <v>-</v>
      </c>
      <c r="AA147" t="str">
        <f>IFERROR(__xludf.DUMMYFUNCTION("""COMPUTED_VALUE"""),"-")</f>
        <v>-</v>
      </c>
    </row>
    <row r="148">
      <c r="A148" t="str">
        <f>IFERROR(__xludf.DUMMYFUNCTION("""COMPUTED_VALUE"""),"#147")</f>
        <v>#147</v>
      </c>
      <c r="B148" t="str">
        <f>IFERROR(__xludf.DUMMYFUNCTION("""COMPUTED_VALUE"""),"Michèle Rivasi")</f>
        <v>Michèle Rivasi</v>
      </c>
      <c r="C148">
        <f>IFERROR(__xludf.DUMMYFUNCTION("""COMPUTED_VALUE"""),49122.0)</f>
        <v>49122</v>
      </c>
      <c r="D148" t="str">
        <f>IFERROR(__xludf.DUMMYFUNCTION("""COMPUTED_VALUE"""),"-")</f>
        <v>-</v>
      </c>
      <c r="E148" t="str">
        <f>IFERROR(__xludf.DUMMYFUNCTION("""COMPUTED_VALUE"""),"-")</f>
        <v>-</v>
      </c>
      <c r="F148" t="str">
        <f>IFERROR(__xludf.DUMMYFUNCTION("""COMPUTED_VALUE"""),"-")</f>
        <v>-</v>
      </c>
      <c r="G148" t="str">
        <f>IFERROR(__xludf.DUMMYFUNCTION("""COMPUTED_VALUE"""),"-")</f>
        <v>-</v>
      </c>
      <c r="H148" t="str">
        <f>IFERROR(__xludf.DUMMYFUNCTION("""COMPUTED_VALUE"""),"-")</f>
        <v>-</v>
      </c>
      <c r="I148" t="str">
        <f>IFERROR(__xludf.DUMMYFUNCTION("""COMPUTED_VALUE"""),"-")</f>
        <v>-</v>
      </c>
      <c r="J148" t="str">
        <f>IFERROR(__xludf.DUMMYFUNCTION("""COMPUTED_VALUE"""),"-")</f>
        <v>-</v>
      </c>
      <c r="K148" t="str">
        <f>IFERROR(__xludf.DUMMYFUNCTION("""COMPUTED_VALUE"""),"-")</f>
        <v>-</v>
      </c>
      <c r="L148" t="str">
        <f>IFERROR(__xludf.DUMMYFUNCTION("""COMPUTED_VALUE"""),"-")</f>
        <v>-</v>
      </c>
      <c r="M148" t="str">
        <f>IFERROR(__xludf.DUMMYFUNCTION("""COMPUTED_VALUE"""),"-")</f>
        <v>-</v>
      </c>
      <c r="O148" t="str">
        <f>IFERROR(__xludf.DUMMYFUNCTION("""COMPUTED_VALUE"""),"#147")</f>
        <v>#147</v>
      </c>
      <c r="P148" t="str">
        <f>IFERROR(__xludf.DUMMYFUNCTION("""COMPUTED_VALUE"""),"Michèle Rivasi")</f>
        <v>Michèle Rivasi</v>
      </c>
      <c r="Q148">
        <f>IFERROR(__xludf.DUMMYFUNCTION("""COMPUTED_VALUE"""),49122.0)</f>
        <v>49122</v>
      </c>
      <c r="R148" t="str">
        <f>IFERROR(__xludf.DUMMYFUNCTION("""COMPUTED_VALUE"""),"-")</f>
        <v>-</v>
      </c>
      <c r="S148" t="str">
        <f>IFERROR(__xludf.DUMMYFUNCTION("""COMPUTED_VALUE"""),"-")</f>
        <v>-</v>
      </c>
      <c r="T148" t="str">
        <f>IFERROR(__xludf.DUMMYFUNCTION("""COMPUTED_VALUE"""),"-")</f>
        <v>-</v>
      </c>
      <c r="U148" t="str">
        <f>IFERROR(__xludf.DUMMYFUNCTION("""COMPUTED_VALUE"""),"-")</f>
        <v>-</v>
      </c>
      <c r="V148" t="str">
        <f>IFERROR(__xludf.DUMMYFUNCTION("""COMPUTED_VALUE"""),"-")</f>
        <v>-</v>
      </c>
      <c r="W148" t="str">
        <f>IFERROR(__xludf.DUMMYFUNCTION("""COMPUTED_VALUE"""),"-")</f>
        <v>-</v>
      </c>
      <c r="X148" t="str">
        <f>IFERROR(__xludf.DUMMYFUNCTION("""COMPUTED_VALUE"""),"-")</f>
        <v>-</v>
      </c>
      <c r="Y148" t="str">
        <f>IFERROR(__xludf.DUMMYFUNCTION("""COMPUTED_VALUE"""),"-")</f>
        <v>-</v>
      </c>
      <c r="Z148" t="str">
        <f>IFERROR(__xludf.DUMMYFUNCTION("""COMPUTED_VALUE"""),"-")</f>
        <v>-</v>
      </c>
      <c r="AA148" t="str">
        <f>IFERROR(__xludf.DUMMYFUNCTION("""COMPUTED_VALUE"""),"-")</f>
        <v>-</v>
      </c>
    </row>
    <row r="149">
      <c r="A149" t="str">
        <f>IFERROR(__xludf.DUMMYFUNCTION("""COMPUTED_VALUE"""),"#148")</f>
        <v>#148</v>
      </c>
      <c r="B149" t="str">
        <f>IFERROR(__xludf.DUMMYFUNCTION("""COMPUTED_VALUE"""),"Jérôme Rivière")</f>
        <v>Jérôme Rivière</v>
      </c>
      <c r="C149">
        <f>IFERROR(__xludf.DUMMYFUNCTION("""COMPUTED_VALUE"""),48528.0)</f>
        <v>48528</v>
      </c>
      <c r="D149" t="str">
        <f>IFERROR(__xludf.DUMMYFUNCTION("""COMPUTED_VALUE"""),"-")</f>
        <v>-</v>
      </c>
      <c r="E149" t="str">
        <f>IFERROR(__xludf.DUMMYFUNCTION("""COMPUTED_VALUE"""),"-")</f>
        <v>-</v>
      </c>
      <c r="F149" t="str">
        <f>IFERROR(__xludf.DUMMYFUNCTION("""COMPUTED_VALUE"""),"-")</f>
        <v>-</v>
      </c>
      <c r="G149" t="str">
        <f>IFERROR(__xludf.DUMMYFUNCTION("""COMPUTED_VALUE"""),"-")</f>
        <v>-</v>
      </c>
      <c r="H149" t="str">
        <f>IFERROR(__xludf.DUMMYFUNCTION("""COMPUTED_VALUE"""),"-")</f>
        <v>-</v>
      </c>
      <c r="I149" t="str">
        <f>IFERROR(__xludf.DUMMYFUNCTION("""COMPUTED_VALUE"""),"-")</f>
        <v>-</v>
      </c>
      <c r="J149" t="str">
        <f>IFERROR(__xludf.DUMMYFUNCTION("""COMPUTED_VALUE"""),"-")</f>
        <v>-</v>
      </c>
      <c r="K149" t="str">
        <f>IFERROR(__xludf.DUMMYFUNCTION("""COMPUTED_VALUE"""),"-")</f>
        <v>-</v>
      </c>
      <c r="L149" t="str">
        <f>IFERROR(__xludf.DUMMYFUNCTION("""COMPUTED_VALUE"""),"-")</f>
        <v>-</v>
      </c>
      <c r="M149" t="str">
        <f>IFERROR(__xludf.DUMMYFUNCTION("""COMPUTED_VALUE"""),"-")</f>
        <v>-</v>
      </c>
      <c r="O149" t="str">
        <f>IFERROR(__xludf.DUMMYFUNCTION("""COMPUTED_VALUE"""),"#148")</f>
        <v>#148</v>
      </c>
      <c r="P149" t="str">
        <f>IFERROR(__xludf.DUMMYFUNCTION("""COMPUTED_VALUE"""),"Jérôme Rivière")</f>
        <v>Jérôme Rivière</v>
      </c>
      <c r="Q149">
        <f>IFERROR(__xludf.DUMMYFUNCTION("""COMPUTED_VALUE"""),48528.0)</f>
        <v>48528</v>
      </c>
      <c r="R149" t="str">
        <f>IFERROR(__xludf.DUMMYFUNCTION("""COMPUTED_VALUE"""),"-")</f>
        <v>-</v>
      </c>
      <c r="S149" t="str">
        <f>IFERROR(__xludf.DUMMYFUNCTION("""COMPUTED_VALUE"""),"-")</f>
        <v>-</v>
      </c>
      <c r="T149" t="str">
        <f>IFERROR(__xludf.DUMMYFUNCTION("""COMPUTED_VALUE"""),"-")</f>
        <v>-</v>
      </c>
      <c r="U149" t="str">
        <f>IFERROR(__xludf.DUMMYFUNCTION("""COMPUTED_VALUE"""),"-")</f>
        <v>-</v>
      </c>
      <c r="V149" t="str">
        <f>IFERROR(__xludf.DUMMYFUNCTION("""COMPUTED_VALUE"""),"-")</f>
        <v>-</v>
      </c>
      <c r="W149" t="str">
        <f>IFERROR(__xludf.DUMMYFUNCTION("""COMPUTED_VALUE"""),"-")</f>
        <v>-</v>
      </c>
      <c r="X149" t="str">
        <f>IFERROR(__xludf.DUMMYFUNCTION("""COMPUTED_VALUE"""),"-")</f>
        <v>-</v>
      </c>
      <c r="Y149" t="str">
        <f>IFERROR(__xludf.DUMMYFUNCTION("""COMPUTED_VALUE"""),"-")</f>
        <v>-</v>
      </c>
      <c r="Z149" t="str">
        <f>IFERROR(__xludf.DUMMYFUNCTION("""COMPUTED_VALUE"""),"-")</f>
        <v>-</v>
      </c>
      <c r="AA149" t="str">
        <f>IFERROR(__xludf.DUMMYFUNCTION("""COMPUTED_VALUE"""),"-")</f>
        <v>-</v>
      </c>
    </row>
    <row r="150">
      <c r="A150" t="str">
        <f>IFERROR(__xludf.DUMMYFUNCTION("""COMPUTED_VALUE"""),"#149")</f>
        <v>#149</v>
      </c>
      <c r="B150" t="str">
        <f>IFERROR(__xludf.DUMMYFUNCTION("""COMPUTED_VALUE"""),"Sébastien Chenu")</f>
        <v>Sébastien Chenu</v>
      </c>
      <c r="C150">
        <f>IFERROR(__xludf.DUMMYFUNCTION("""COMPUTED_VALUE"""),48404.0)</f>
        <v>48404</v>
      </c>
      <c r="D150" t="str">
        <f>IFERROR(__xludf.DUMMYFUNCTION("""COMPUTED_VALUE"""),"-")</f>
        <v>-</v>
      </c>
      <c r="E150" t="str">
        <f>IFERROR(__xludf.DUMMYFUNCTION("""COMPUTED_VALUE"""),"-")</f>
        <v>-</v>
      </c>
      <c r="F150" t="str">
        <f>IFERROR(__xludf.DUMMYFUNCTION("""COMPUTED_VALUE"""),"-")</f>
        <v>-</v>
      </c>
      <c r="G150" t="str">
        <f>IFERROR(__xludf.DUMMYFUNCTION("""COMPUTED_VALUE"""),"-")</f>
        <v>-</v>
      </c>
      <c r="H150" t="str">
        <f>IFERROR(__xludf.DUMMYFUNCTION("""COMPUTED_VALUE"""),"-")</f>
        <v>-</v>
      </c>
      <c r="I150" t="str">
        <f>IFERROR(__xludf.DUMMYFUNCTION("""COMPUTED_VALUE"""),"-")</f>
        <v>-</v>
      </c>
      <c r="J150" t="str">
        <f>IFERROR(__xludf.DUMMYFUNCTION("""COMPUTED_VALUE"""),"-")</f>
        <v>-</v>
      </c>
      <c r="K150" t="str">
        <f>IFERROR(__xludf.DUMMYFUNCTION("""COMPUTED_VALUE"""),"-")</f>
        <v>-</v>
      </c>
      <c r="L150" t="str">
        <f>IFERROR(__xludf.DUMMYFUNCTION("""COMPUTED_VALUE"""),"-")</f>
        <v>-</v>
      </c>
      <c r="M150" t="str">
        <f>IFERROR(__xludf.DUMMYFUNCTION("""COMPUTED_VALUE"""),"-")</f>
        <v>-</v>
      </c>
      <c r="O150" t="str">
        <f>IFERROR(__xludf.DUMMYFUNCTION("""COMPUTED_VALUE"""),"#149")</f>
        <v>#149</v>
      </c>
      <c r="P150" t="str">
        <f>IFERROR(__xludf.DUMMYFUNCTION("""COMPUTED_VALUE"""),"Sébastien Chenu")</f>
        <v>Sébastien Chenu</v>
      </c>
      <c r="Q150">
        <f>IFERROR(__xludf.DUMMYFUNCTION("""COMPUTED_VALUE"""),48404.0)</f>
        <v>48404</v>
      </c>
      <c r="R150" t="str">
        <f>IFERROR(__xludf.DUMMYFUNCTION("""COMPUTED_VALUE"""),"-")</f>
        <v>-</v>
      </c>
      <c r="S150" t="str">
        <f>IFERROR(__xludf.DUMMYFUNCTION("""COMPUTED_VALUE"""),"-")</f>
        <v>-</v>
      </c>
      <c r="T150" t="str">
        <f>IFERROR(__xludf.DUMMYFUNCTION("""COMPUTED_VALUE"""),"-")</f>
        <v>-</v>
      </c>
      <c r="U150" t="str">
        <f>IFERROR(__xludf.DUMMYFUNCTION("""COMPUTED_VALUE"""),"-")</f>
        <v>-</v>
      </c>
      <c r="V150" t="str">
        <f>IFERROR(__xludf.DUMMYFUNCTION("""COMPUTED_VALUE"""),"-")</f>
        <v>-</v>
      </c>
      <c r="W150" t="str">
        <f>IFERROR(__xludf.DUMMYFUNCTION("""COMPUTED_VALUE"""),"-")</f>
        <v>-</v>
      </c>
      <c r="X150" t="str">
        <f>IFERROR(__xludf.DUMMYFUNCTION("""COMPUTED_VALUE"""),"-")</f>
        <v>-</v>
      </c>
      <c r="Y150" t="str">
        <f>IFERROR(__xludf.DUMMYFUNCTION("""COMPUTED_VALUE"""),"-")</f>
        <v>-</v>
      </c>
      <c r="Z150" t="str">
        <f>IFERROR(__xludf.DUMMYFUNCTION("""COMPUTED_VALUE"""),"-")</f>
        <v>-</v>
      </c>
      <c r="AA150" t="str">
        <f>IFERROR(__xludf.DUMMYFUNCTION("""COMPUTED_VALUE"""),"-")</f>
        <v>-</v>
      </c>
    </row>
    <row r="151">
      <c r="A151" t="str">
        <f>IFERROR(__xludf.DUMMYFUNCTION("""COMPUTED_VALUE"""),"#150")</f>
        <v>#150</v>
      </c>
      <c r="B151" t="str">
        <f>IFERROR(__xludf.DUMMYFUNCTION("""COMPUTED_VALUE"""),"Laurence Rossignol")</f>
        <v>Laurence Rossignol</v>
      </c>
      <c r="C151">
        <f>IFERROR(__xludf.DUMMYFUNCTION("""COMPUTED_VALUE"""),48326.0)</f>
        <v>48326</v>
      </c>
      <c r="D151" t="str">
        <f>IFERROR(__xludf.DUMMYFUNCTION("""COMPUTED_VALUE"""),"-")</f>
        <v>-</v>
      </c>
      <c r="E151" t="str">
        <f>IFERROR(__xludf.DUMMYFUNCTION("""COMPUTED_VALUE"""),"-")</f>
        <v>-</v>
      </c>
      <c r="F151" t="str">
        <f>IFERROR(__xludf.DUMMYFUNCTION("""COMPUTED_VALUE"""),"-")</f>
        <v>-</v>
      </c>
      <c r="G151" t="str">
        <f>IFERROR(__xludf.DUMMYFUNCTION("""COMPUTED_VALUE"""),"-")</f>
        <v>-</v>
      </c>
      <c r="H151" t="str">
        <f>IFERROR(__xludf.DUMMYFUNCTION("""COMPUTED_VALUE"""),"-")</f>
        <v>-</v>
      </c>
      <c r="I151" t="str">
        <f>IFERROR(__xludf.DUMMYFUNCTION("""COMPUTED_VALUE"""),"-")</f>
        <v>-</v>
      </c>
      <c r="J151" t="str">
        <f>IFERROR(__xludf.DUMMYFUNCTION("""COMPUTED_VALUE"""),"-")</f>
        <v>-</v>
      </c>
      <c r="K151" t="str">
        <f>IFERROR(__xludf.DUMMYFUNCTION("""COMPUTED_VALUE"""),"-")</f>
        <v>-</v>
      </c>
      <c r="L151" t="str">
        <f>IFERROR(__xludf.DUMMYFUNCTION("""COMPUTED_VALUE"""),"-")</f>
        <v>-</v>
      </c>
      <c r="M151" t="str">
        <f>IFERROR(__xludf.DUMMYFUNCTION("""COMPUTED_VALUE"""),"-")</f>
        <v>-</v>
      </c>
      <c r="O151" t="str">
        <f>IFERROR(__xludf.DUMMYFUNCTION("""COMPUTED_VALUE"""),"#150")</f>
        <v>#150</v>
      </c>
      <c r="P151" t="str">
        <f>IFERROR(__xludf.DUMMYFUNCTION("""COMPUTED_VALUE"""),"Laurence Rossignol")</f>
        <v>Laurence Rossignol</v>
      </c>
      <c r="Q151">
        <f>IFERROR(__xludf.DUMMYFUNCTION("""COMPUTED_VALUE"""),48326.0)</f>
        <v>48326</v>
      </c>
      <c r="R151" t="str">
        <f>IFERROR(__xludf.DUMMYFUNCTION("""COMPUTED_VALUE"""),"-")</f>
        <v>-</v>
      </c>
      <c r="S151" t="str">
        <f>IFERROR(__xludf.DUMMYFUNCTION("""COMPUTED_VALUE"""),"-")</f>
        <v>-</v>
      </c>
      <c r="T151" t="str">
        <f>IFERROR(__xludf.DUMMYFUNCTION("""COMPUTED_VALUE"""),"-")</f>
        <v>-</v>
      </c>
      <c r="U151" t="str">
        <f>IFERROR(__xludf.DUMMYFUNCTION("""COMPUTED_VALUE"""),"-")</f>
        <v>-</v>
      </c>
      <c r="V151" t="str">
        <f>IFERROR(__xludf.DUMMYFUNCTION("""COMPUTED_VALUE"""),"-")</f>
        <v>-</v>
      </c>
      <c r="W151" t="str">
        <f>IFERROR(__xludf.DUMMYFUNCTION("""COMPUTED_VALUE"""),"-")</f>
        <v>-</v>
      </c>
      <c r="X151" t="str">
        <f>IFERROR(__xludf.DUMMYFUNCTION("""COMPUTED_VALUE"""),"-")</f>
        <v>-</v>
      </c>
      <c r="Y151" t="str">
        <f>IFERROR(__xludf.DUMMYFUNCTION("""COMPUTED_VALUE"""),"-")</f>
        <v>-</v>
      </c>
      <c r="Z151" t="str">
        <f>IFERROR(__xludf.DUMMYFUNCTION("""COMPUTED_VALUE"""),"-")</f>
        <v>-</v>
      </c>
      <c r="AA151" t="str">
        <f>IFERROR(__xludf.DUMMYFUNCTION("""COMPUTED_VALUE"""),"-")</f>
        <v>-</v>
      </c>
    </row>
    <row r="152">
      <c r="A152" t="str">
        <f>IFERROR(__xludf.DUMMYFUNCTION("""COMPUTED_VALUE"""),"#151")</f>
        <v>#151</v>
      </c>
      <c r="B152" t="str">
        <f>IFERROR(__xludf.DUMMYFUNCTION("""COMPUTED_VALUE"""),"Esther Benbassa")</f>
        <v>Esther Benbassa</v>
      </c>
      <c r="C152">
        <f>IFERROR(__xludf.DUMMYFUNCTION("""COMPUTED_VALUE"""),47592.0)</f>
        <v>47592</v>
      </c>
      <c r="D152" t="str">
        <f>IFERROR(__xludf.DUMMYFUNCTION("""COMPUTED_VALUE"""),"-")</f>
        <v>-</v>
      </c>
      <c r="E152" t="str">
        <f>IFERROR(__xludf.DUMMYFUNCTION("""COMPUTED_VALUE"""),"-")</f>
        <v>-</v>
      </c>
      <c r="F152" t="str">
        <f>IFERROR(__xludf.DUMMYFUNCTION("""COMPUTED_VALUE"""),"-")</f>
        <v>-</v>
      </c>
      <c r="G152" t="str">
        <f>IFERROR(__xludf.DUMMYFUNCTION("""COMPUTED_VALUE"""),"-")</f>
        <v>-</v>
      </c>
      <c r="H152" t="str">
        <f>IFERROR(__xludf.DUMMYFUNCTION("""COMPUTED_VALUE"""),"-")</f>
        <v>-</v>
      </c>
      <c r="I152" t="str">
        <f>IFERROR(__xludf.DUMMYFUNCTION("""COMPUTED_VALUE"""),"-")</f>
        <v>-</v>
      </c>
      <c r="J152" t="str">
        <f>IFERROR(__xludf.DUMMYFUNCTION("""COMPUTED_VALUE"""),"-")</f>
        <v>-</v>
      </c>
      <c r="K152" t="str">
        <f>IFERROR(__xludf.DUMMYFUNCTION("""COMPUTED_VALUE"""),"-")</f>
        <v>-</v>
      </c>
      <c r="L152" t="str">
        <f>IFERROR(__xludf.DUMMYFUNCTION("""COMPUTED_VALUE"""),"-")</f>
        <v>-</v>
      </c>
      <c r="M152" t="str">
        <f>IFERROR(__xludf.DUMMYFUNCTION("""COMPUTED_VALUE"""),"-")</f>
        <v>-</v>
      </c>
      <c r="O152" t="str">
        <f>IFERROR(__xludf.DUMMYFUNCTION("""COMPUTED_VALUE"""),"#151")</f>
        <v>#151</v>
      </c>
      <c r="P152" t="str">
        <f>IFERROR(__xludf.DUMMYFUNCTION("""COMPUTED_VALUE"""),"Esther Benbassa")</f>
        <v>Esther Benbassa</v>
      </c>
      <c r="Q152">
        <f>IFERROR(__xludf.DUMMYFUNCTION("""COMPUTED_VALUE"""),47592.0)</f>
        <v>47592</v>
      </c>
      <c r="R152" t="str">
        <f>IFERROR(__xludf.DUMMYFUNCTION("""COMPUTED_VALUE"""),"-")</f>
        <v>-</v>
      </c>
      <c r="S152" t="str">
        <f>IFERROR(__xludf.DUMMYFUNCTION("""COMPUTED_VALUE"""),"-")</f>
        <v>-</v>
      </c>
      <c r="T152" t="str">
        <f>IFERROR(__xludf.DUMMYFUNCTION("""COMPUTED_VALUE"""),"-")</f>
        <v>-</v>
      </c>
      <c r="U152" t="str">
        <f>IFERROR(__xludf.DUMMYFUNCTION("""COMPUTED_VALUE"""),"-")</f>
        <v>-</v>
      </c>
      <c r="V152" t="str">
        <f>IFERROR(__xludf.DUMMYFUNCTION("""COMPUTED_VALUE"""),"-")</f>
        <v>-</v>
      </c>
      <c r="W152" t="str">
        <f>IFERROR(__xludf.DUMMYFUNCTION("""COMPUTED_VALUE"""),"-")</f>
        <v>-</v>
      </c>
      <c r="X152" t="str">
        <f>IFERROR(__xludf.DUMMYFUNCTION("""COMPUTED_VALUE"""),"-")</f>
        <v>-</v>
      </c>
      <c r="Y152" t="str">
        <f>IFERROR(__xludf.DUMMYFUNCTION("""COMPUTED_VALUE"""),"-")</f>
        <v>-</v>
      </c>
      <c r="Z152" t="str">
        <f>IFERROR(__xludf.DUMMYFUNCTION("""COMPUTED_VALUE"""),"-")</f>
        <v>-</v>
      </c>
      <c r="AA152" t="str">
        <f>IFERROR(__xludf.DUMMYFUNCTION("""COMPUTED_VALUE"""),"-")</f>
        <v>-</v>
      </c>
    </row>
    <row r="153">
      <c r="A153" t="str">
        <f>IFERROR(__xludf.DUMMYFUNCTION("""COMPUTED_VALUE"""),"#152")</f>
        <v>#152</v>
      </c>
      <c r="B153" t="str">
        <f>IFERROR(__xludf.DUMMYFUNCTION("""COMPUTED_VALUE"""),"Frédéric Lefebvre")</f>
        <v>Frédéric Lefebvre</v>
      </c>
      <c r="C153">
        <f>IFERROR(__xludf.DUMMYFUNCTION("""COMPUTED_VALUE"""),47467.0)</f>
        <v>47467</v>
      </c>
      <c r="D153" t="str">
        <f>IFERROR(__xludf.DUMMYFUNCTION("""COMPUTED_VALUE"""),"-")</f>
        <v>-</v>
      </c>
      <c r="E153" t="str">
        <f>IFERROR(__xludf.DUMMYFUNCTION("""COMPUTED_VALUE"""),"-")</f>
        <v>-</v>
      </c>
      <c r="F153" t="str">
        <f>IFERROR(__xludf.DUMMYFUNCTION("""COMPUTED_VALUE"""),"-")</f>
        <v>-</v>
      </c>
      <c r="G153" t="str">
        <f>IFERROR(__xludf.DUMMYFUNCTION("""COMPUTED_VALUE"""),"-")</f>
        <v>-</v>
      </c>
      <c r="H153" t="str">
        <f>IFERROR(__xludf.DUMMYFUNCTION("""COMPUTED_VALUE"""),"-")</f>
        <v>-</v>
      </c>
      <c r="I153" t="str">
        <f>IFERROR(__xludf.DUMMYFUNCTION("""COMPUTED_VALUE"""),"-")</f>
        <v>-</v>
      </c>
      <c r="J153" t="str">
        <f>IFERROR(__xludf.DUMMYFUNCTION("""COMPUTED_VALUE"""),"-")</f>
        <v>-</v>
      </c>
      <c r="K153" t="str">
        <f>IFERROR(__xludf.DUMMYFUNCTION("""COMPUTED_VALUE"""),"-")</f>
        <v>-</v>
      </c>
      <c r="L153" t="str">
        <f>IFERROR(__xludf.DUMMYFUNCTION("""COMPUTED_VALUE"""),"-")</f>
        <v>-</v>
      </c>
      <c r="M153" t="str">
        <f>IFERROR(__xludf.DUMMYFUNCTION("""COMPUTED_VALUE"""),"-")</f>
        <v>-</v>
      </c>
      <c r="O153" t="str">
        <f>IFERROR(__xludf.DUMMYFUNCTION("""COMPUTED_VALUE"""),"#152")</f>
        <v>#152</v>
      </c>
      <c r="P153" t="str">
        <f>IFERROR(__xludf.DUMMYFUNCTION("""COMPUTED_VALUE"""),"Frédéric Lefebvre")</f>
        <v>Frédéric Lefebvre</v>
      </c>
      <c r="Q153">
        <f>IFERROR(__xludf.DUMMYFUNCTION("""COMPUTED_VALUE"""),47467.0)</f>
        <v>47467</v>
      </c>
      <c r="R153" t="str">
        <f>IFERROR(__xludf.DUMMYFUNCTION("""COMPUTED_VALUE"""),"-")</f>
        <v>-</v>
      </c>
      <c r="S153" t="str">
        <f>IFERROR(__xludf.DUMMYFUNCTION("""COMPUTED_VALUE"""),"-")</f>
        <v>-</v>
      </c>
      <c r="T153" t="str">
        <f>IFERROR(__xludf.DUMMYFUNCTION("""COMPUTED_VALUE"""),"-")</f>
        <v>-</v>
      </c>
      <c r="U153" t="str">
        <f>IFERROR(__xludf.DUMMYFUNCTION("""COMPUTED_VALUE"""),"-")</f>
        <v>-</v>
      </c>
      <c r="V153" t="str">
        <f>IFERROR(__xludf.DUMMYFUNCTION("""COMPUTED_VALUE"""),"-")</f>
        <v>-</v>
      </c>
      <c r="W153" t="str">
        <f>IFERROR(__xludf.DUMMYFUNCTION("""COMPUTED_VALUE"""),"-")</f>
        <v>-</v>
      </c>
      <c r="X153" t="str">
        <f>IFERROR(__xludf.DUMMYFUNCTION("""COMPUTED_VALUE"""),"-")</f>
        <v>-</v>
      </c>
      <c r="Y153" t="str">
        <f>IFERROR(__xludf.DUMMYFUNCTION("""COMPUTED_VALUE"""),"-")</f>
        <v>-</v>
      </c>
      <c r="Z153" t="str">
        <f>IFERROR(__xludf.DUMMYFUNCTION("""COMPUTED_VALUE"""),"-")</f>
        <v>-</v>
      </c>
      <c r="AA153" t="str">
        <f>IFERROR(__xludf.DUMMYFUNCTION("""COMPUTED_VALUE"""),"-")</f>
        <v>-</v>
      </c>
    </row>
    <row r="154">
      <c r="A154" t="str">
        <f>IFERROR(__xludf.DUMMYFUNCTION("""COMPUTED_VALUE"""),"#153")</f>
        <v>#153</v>
      </c>
      <c r="B154" t="str">
        <f>IFERROR(__xludf.DUMMYFUNCTION("""COMPUTED_VALUE"""),"Fabienne Keller")</f>
        <v>Fabienne Keller</v>
      </c>
      <c r="C154">
        <f>IFERROR(__xludf.DUMMYFUNCTION("""COMPUTED_VALUE"""),46796.0)</f>
        <v>46796</v>
      </c>
      <c r="D154" t="str">
        <f>IFERROR(__xludf.DUMMYFUNCTION("""COMPUTED_VALUE"""),"-")</f>
        <v>-</v>
      </c>
      <c r="E154" t="str">
        <f>IFERROR(__xludf.DUMMYFUNCTION("""COMPUTED_VALUE"""),"-")</f>
        <v>-</v>
      </c>
      <c r="F154" t="str">
        <f>IFERROR(__xludf.DUMMYFUNCTION("""COMPUTED_VALUE"""),"-")</f>
        <v>-</v>
      </c>
      <c r="G154" t="str">
        <f>IFERROR(__xludf.DUMMYFUNCTION("""COMPUTED_VALUE"""),"-")</f>
        <v>-</v>
      </c>
      <c r="H154" t="str">
        <f>IFERROR(__xludf.DUMMYFUNCTION("""COMPUTED_VALUE"""),"-")</f>
        <v>-</v>
      </c>
      <c r="I154" t="str">
        <f>IFERROR(__xludf.DUMMYFUNCTION("""COMPUTED_VALUE"""),"-")</f>
        <v>-</v>
      </c>
      <c r="J154" t="str">
        <f>IFERROR(__xludf.DUMMYFUNCTION("""COMPUTED_VALUE"""),"-")</f>
        <v>-</v>
      </c>
      <c r="K154" t="str">
        <f>IFERROR(__xludf.DUMMYFUNCTION("""COMPUTED_VALUE"""),"-")</f>
        <v>-</v>
      </c>
      <c r="L154" t="str">
        <f>IFERROR(__xludf.DUMMYFUNCTION("""COMPUTED_VALUE"""),"-")</f>
        <v>-</v>
      </c>
      <c r="M154" t="str">
        <f>IFERROR(__xludf.DUMMYFUNCTION("""COMPUTED_VALUE"""),"-")</f>
        <v>-</v>
      </c>
      <c r="O154" t="str">
        <f>IFERROR(__xludf.DUMMYFUNCTION("""COMPUTED_VALUE"""),"#153")</f>
        <v>#153</v>
      </c>
      <c r="P154" t="str">
        <f>IFERROR(__xludf.DUMMYFUNCTION("""COMPUTED_VALUE"""),"Fabienne Keller")</f>
        <v>Fabienne Keller</v>
      </c>
      <c r="Q154">
        <f>IFERROR(__xludf.DUMMYFUNCTION("""COMPUTED_VALUE"""),46796.0)</f>
        <v>46796</v>
      </c>
      <c r="R154" t="str">
        <f>IFERROR(__xludf.DUMMYFUNCTION("""COMPUTED_VALUE"""),"-")</f>
        <v>-</v>
      </c>
      <c r="S154" t="str">
        <f>IFERROR(__xludf.DUMMYFUNCTION("""COMPUTED_VALUE"""),"-")</f>
        <v>-</v>
      </c>
      <c r="T154" t="str">
        <f>IFERROR(__xludf.DUMMYFUNCTION("""COMPUTED_VALUE"""),"-")</f>
        <v>-</v>
      </c>
      <c r="U154" t="str">
        <f>IFERROR(__xludf.DUMMYFUNCTION("""COMPUTED_VALUE"""),"-")</f>
        <v>-</v>
      </c>
      <c r="V154" t="str">
        <f>IFERROR(__xludf.DUMMYFUNCTION("""COMPUTED_VALUE"""),"-")</f>
        <v>-</v>
      </c>
      <c r="W154" t="str">
        <f>IFERROR(__xludf.DUMMYFUNCTION("""COMPUTED_VALUE"""),"-")</f>
        <v>-</v>
      </c>
      <c r="X154" t="str">
        <f>IFERROR(__xludf.DUMMYFUNCTION("""COMPUTED_VALUE"""),"-")</f>
        <v>-</v>
      </c>
      <c r="Y154" t="str">
        <f>IFERROR(__xludf.DUMMYFUNCTION("""COMPUTED_VALUE"""),"-")</f>
        <v>-</v>
      </c>
      <c r="Z154" t="str">
        <f>IFERROR(__xludf.DUMMYFUNCTION("""COMPUTED_VALUE"""),"-")</f>
        <v>-</v>
      </c>
      <c r="AA154" t="str">
        <f>IFERROR(__xludf.DUMMYFUNCTION("""COMPUTED_VALUE"""),"-")</f>
        <v>-</v>
      </c>
    </row>
    <row r="155">
      <c r="A155" t="str">
        <f>IFERROR(__xludf.DUMMYFUNCTION("""COMPUTED_VALUE"""),"#154")</f>
        <v>#154</v>
      </c>
      <c r="B155" t="str">
        <f>IFERROR(__xludf.DUMMYFUNCTION("""COMPUTED_VALUE"""),"Chantal Jouanno")</f>
        <v>Chantal Jouanno</v>
      </c>
      <c r="C155">
        <f>IFERROR(__xludf.DUMMYFUNCTION("""COMPUTED_VALUE"""),46191.0)</f>
        <v>46191</v>
      </c>
      <c r="D155" t="str">
        <f>IFERROR(__xludf.DUMMYFUNCTION("""COMPUTED_VALUE"""),"-")</f>
        <v>-</v>
      </c>
      <c r="E155" t="str">
        <f>IFERROR(__xludf.DUMMYFUNCTION("""COMPUTED_VALUE"""),"-")</f>
        <v>-</v>
      </c>
      <c r="F155" t="str">
        <f>IFERROR(__xludf.DUMMYFUNCTION("""COMPUTED_VALUE"""),"-")</f>
        <v>-</v>
      </c>
      <c r="G155" t="str">
        <f>IFERROR(__xludf.DUMMYFUNCTION("""COMPUTED_VALUE"""),"-")</f>
        <v>-</v>
      </c>
      <c r="H155" t="str">
        <f>IFERROR(__xludf.DUMMYFUNCTION("""COMPUTED_VALUE"""),"-")</f>
        <v>-</v>
      </c>
      <c r="I155" t="str">
        <f>IFERROR(__xludf.DUMMYFUNCTION("""COMPUTED_VALUE"""),"-")</f>
        <v>-</v>
      </c>
      <c r="J155" t="str">
        <f>IFERROR(__xludf.DUMMYFUNCTION("""COMPUTED_VALUE"""),"-")</f>
        <v>-</v>
      </c>
      <c r="K155" t="str">
        <f>IFERROR(__xludf.DUMMYFUNCTION("""COMPUTED_VALUE"""),"-")</f>
        <v>-</v>
      </c>
      <c r="L155" t="str">
        <f>IFERROR(__xludf.DUMMYFUNCTION("""COMPUTED_VALUE"""),"-")</f>
        <v>-</v>
      </c>
      <c r="M155" t="str">
        <f>IFERROR(__xludf.DUMMYFUNCTION("""COMPUTED_VALUE"""),"-")</f>
        <v>-</v>
      </c>
      <c r="O155" t="str">
        <f>IFERROR(__xludf.DUMMYFUNCTION("""COMPUTED_VALUE"""),"#154")</f>
        <v>#154</v>
      </c>
      <c r="P155" t="str">
        <f>IFERROR(__xludf.DUMMYFUNCTION("""COMPUTED_VALUE"""),"Chantal Jouanno")</f>
        <v>Chantal Jouanno</v>
      </c>
      <c r="Q155">
        <f>IFERROR(__xludf.DUMMYFUNCTION("""COMPUTED_VALUE"""),46191.0)</f>
        <v>46191</v>
      </c>
      <c r="R155" t="str">
        <f>IFERROR(__xludf.DUMMYFUNCTION("""COMPUTED_VALUE"""),"-")</f>
        <v>-</v>
      </c>
      <c r="S155" t="str">
        <f>IFERROR(__xludf.DUMMYFUNCTION("""COMPUTED_VALUE"""),"-")</f>
        <v>-</v>
      </c>
      <c r="T155" t="str">
        <f>IFERROR(__xludf.DUMMYFUNCTION("""COMPUTED_VALUE"""),"-")</f>
        <v>-</v>
      </c>
      <c r="U155" t="str">
        <f>IFERROR(__xludf.DUMMYFUNCTION("""COMPUTED_VALUE"""),"-")</f>
        <v>-</v>
      </c>
      <c r="V155" t="str">
        <f>IFERROR(__xludf.DUMMYFUNCTION("""COMPUTED_VALUE"""),"-")</f>
        <v>-</v>
      </c>
      <c r="W155" t="str">
        <f>IFERROR(__xludf.DUMMYFUNCTION("""COMPUTED_VALUE"""),"-")</f>
        <v>-</v>
      </c>
      <c r="X155" t="str">
        <f>IFERROR(__xludf.DUMMYFUNCTION("""COMPUTED_VALUE"""),"-")</f>
        <v>-</v>
      </c>
      <c r="Y155" t="str">
        <f>IFERROR(__xludf.DUMMYFUNCTION("""COMPUTED_VALUE"""),"-")</f>
        <v>-</v>
      </c>
      <c r="Z155" t="str">
        <f>IFERROR(__xludf.DUMMYFUNCTION("""COMPUTED_VALUE"""),"-")</f>
        <v>-</v>
      </c>
      <c r="AA155" t="str">
        <f>IFERROR(__xludf.DUMMYFUNCTION("""COMPUTED_VALUE"""),"-")</f>
        <v>-</v>
      </c>
    </row>
    <row r="156">
      <c r="A156" t="str">
        <f>IFERROR(__xludf.DUMMYFUNCTION("""COMPUTED_VALUE"""),"#155")</f>
        <v>#155</v>
      </c>
      <c r="B156" t="str">
        <f>IFERROR(__xludf.DUMMYFUNCTION("""COMPUTED_VALUE"""),"Renaud Muselier")</f>
        <v>Renaud Muselier</v>
      </c>
      <c r="C156">
        <f>IFERROR(__xludf.DUMMYFUNCTION("""COMPUTED_VALUE"""),46160.0)</f>
        <v>46160</v>
      </c>
      <c r="D156" t="str">
        <f>IFERROR(__xludf.DUMMYFUNCTION("""COMPUTED_VALUE"""),"-")</f>
        <v>-</v>
      </c>
      <c r="E156" t="str">
        <f>IFERROR(__xludf.DUMMYFUNCTION("""COMPUTED_VALUE"""),"-")</f>
        <v>-</v>
      </c>
      <c r="F156" t="str">
        <f>IFERROR(__xludf.DUMMYFUNCTION("""COMPUTED_VALUE"""),"-")</f>
        <v>-</v>
      </c>
      <c r="G156" t="str">
        <f>IFERROR(__xludf.DUMMYFUNCTION("""COMPUTED_VALUE"""),"-")</f>
        <v>-</v>
      </c>
      <c r="H156" t="str">
        <f>IFERROR(__xludf.DUMMYFUNCTION("""COMPUTED_VALUE"""),"-")</f>
        <v>-</v>
      </c>
      <c r="I156" t="str">
        <f>IFERROR(__xludf.DUMMYFUNCTION("""COMPUTED_VALUE"""),"-")</f>
        <v>-</v>
      </c>
      <c r="J156" t="str">
        <f>IFERROR(__xludf.DUMMYFUNCTION("""COMPUTED_VALUE"""),"-")</f>
        <v>-</v>
      </c>
      <c r="K156" t="str">
        <f>IFERROR(__xludf.DUMMYFUNCTION("""COMPUTED_VALUE"""),"-")</f>
        <v>-</v>
      </c>
      <c r="L156" t="str">
        <f>IFERROR(__xludf.DUMMYFUNCTION("""COMPUTED_VALUE"""),"-")</f>
        <v>-</v>
      </c>
      <c r="M156" t="str">
        <f>IFERROR(__xludf.DUMMYFUNCTION("""COMPUTED_VALUE"""),"-")</f>
        <v>-</v>
      </c>
      <c r="O156" t="str">
        <f>IFERROR(__xludf.DUMMYFUNCTION("""COMPUTED_VALUE"""),"#155")</f>
        <v>#155</v>
      </c>
      <c r="P156" t="str">
        <f>IFERROR(__xludf.DUMMYFUNCTION("""COMPUTED_VALUE"""),"Renaud Muselier")</f>
        <v>Renaud Muselier</v>
      </c>
      <c r="Q156">
        <f>IFERROR(__xludf.DUMMYFUNCTION("""COMPUTED_VALUE"""),46160.0)</f>
        <v>46160</v>
      </c>
      <c r="R156" t="str">
        <f>IFERROR(__xludf.DUMMYFUNCTION("""COMPUTED_VALUE"""),"-")</f>
        <v>-</v>
      </c>
      <c r="S156" t="str">
        <f>IFERROR(__xludf.DUMMYFUNCTION("""COMPUTED_VALUE"""),"-")</f>
        <v>-</v>
      </c>
      <c r="T156" t="str">
        <f>IFERROR(__xludf.DUMMYFUNCTION("""COMPUTED_VALUE"""),"-")</f>
        <v>-</v>
      </c>
      <c r="U156" t="str">
        <f>IFERROR(__xludf.DUMMYFUNCTION("""COMPUTED_VALUE"""),"-")</f>
        <v>-</v>
      </c>
      <c r="V156" t="str">
        <f>IFERROR(__xludf.DUMMYFUNCTION("""COMPUTED_VALUE"""),"-")</f>
        <v>-</v>
      </c>
      <c r="W156" t="str">
        <f>IFERROR(__xludf.DUMMYFUNCTION("""COMPUTED_VALUE"""),"-")</f>
        <v>-</v>
      </c>
      <c r="X156" t="str">
        <f>IFERROR(__xludf.DUMMYFUNCTION("""COMPUTED_VALUE"""),"-")</f>
        <v>-</v>
      </c>
      <c r="Y156" t="str">
        <f>IFERROR(__xludf.DUMMYFUNCTION("""COMPUTED_VALUE"""),"-")</f>
        <v>-</v>
      </c>
      <c r="Z156" t="str">
        <f>IFERROR(__xludf.DUMMYFUNCTION("""COMPUTED_VALUE"""),"-")</f>
        <v>-</v>
      </c>
      <c r="AA156" t="str">
        <f>IFERROR(__xludf.DUMMYFUNCTION("""COMPUTED_VALUE"""),"-")</f>
        <v>-</v>
      </c>
    </row>
    <row r="157">
      <c r="A157" t="str">
        <f>IFERROR(__xludf.DUMMYFUNCTION("""COMPUTED_VALUE"""),"#156")</f>
        <v>#156</v>
      </c>
      <c r="B157" t="str">
        <f>IFERROR(__xludf.DUMMYFUNCTION("""COMPUTED_VALUE"""),"Rafik Smati")</f>
        <v>Rafik Smati</v>
      </c>
      <c r="C157">
        <f>IFERROR(__xludf.DUMMYFUNCTION("""COMPUTED_VALUE"""),45943.0)</f>
        <v>45943</v>
      </c>
      <c r="D157" t="str">
        <f>IFERROR(__xludf.DUMMYFUNCTION("""COMPUTED_VALUE"""),"-")</f>
        <v>-</v>
      </c>
      <c r="E157" t="str">
        <f>IFERROR(__xludf.DUMMYFUNCTION("""COMPUTED_VALUE"""),"-")</f>
        <v>-</v>
      </c>
      <c r="F157" t="str">
        <f>IFERROR(__xludf.DUMMYFUNCTION("""COMPUTED_VALUE"""),"-")</f>
        <v>-</v>
      </c>
      <c r="G157" t="str">
        <f>IFERROR(__xludf.DUMMYFUNCTION("""COMPUTED_VALUE"""),"-")</f>
        <v>-</v>
      </c>
      <c r="H157" t="str">
        <f>IFERROR(__xludf.DUMMYFUNCTION("""COMPUTED_VALUE"""),"-")</f>
        <v>-</v>
      </c>
      <c r="I157" t="str">
        <f>IFERROR(__xludf.DUMMYFUNCTION("""COMPUTED_VALUE"""),"-")</f>
        <v>-</v>
      </c>
      <c r="J157" t="str">
        <f>IFERROR(__xludf.DUMMYFUNCTION("""COMPUTED_VALUE"""),"-")</f>
        <v>-</v>
      </c>
      <c r="K157" t="str">
        <f>IFERROR(__xludf.DUMMYFUNCTION("""COMPUTED_VALUE"""),"-")</f>
        <v>-</v>
      </c>
      <c r="L157" t="str">
        <f>IFERROR(__xludf.DUMMYFUNCTION("""COMPUTED_VALUE"""),"-")</f>
        <v>-</v>
      </c>
      <c r="M157" t="str">
        <f>IFERROR(__xludf.DUMMYFUNCTION("""COMPUTED_VALUE"""),"-")</f>
        <v>-</v>
      </c>
      <c r="O157" t="str">
        <f>IFERROR(__xludf.DUMMYFUNCTION("""COMPUTED_VALUE"""),"#156")</f>
        <v>#156</v>
      </c>
      <c r="P157" t="str">
        <f>IFERROR(__xludf.DUMMYFUNCTION("""COMPUTED_VALUE"""),"Rafik Smati")</f>
        <v>Rafik Smati</v>
      </c>
      <c r="Q157">
        <f>IFERROR(__xludf.DUMMYFUNCTION("""COMPUTED_VALUE"""),45943.0)</f>
        <v>45943</v>
      </c>
      <c r="R157" t="str">
        <f>IFERROR(__xludf.DUMMYFUNCTION("""COMPUTED_VALUE"""),"-")</f>
        <v>-</v>
      </c>
      <c r="S157" t="str">
        <f>IFERROR(__xludf.DUMMYFUNCTION("""COMPUTED_VALUE"""),"-")</f>
        <v>-</v>
      </c>
      <c r="T157" t="str">
        <f>IFERROR(__xludf.DUMMYFUNCTION("""COMPUTED_VALUE"""),"-")</f>
        <v>-</v>
      </c>
      <c r="U157" t="str">
        <f>IFERROR(__xludf.DUMMYFUNCTION("""COMPUTED_VALUE"""),"-")</f>
        <v>-</v>
      </c>
      <c r="V157" t="str">
        <f>IFERROR(__xludf.DUMMYFUNCTION("""COMPUTED_VALUE"""),"-")</f>
        <v>-</v>
      </c>
      <c r="W157" t="str">
        <f>IFERROR(__xludf.DUMMYFUNCTION("""COMPUTED_VALUE"""),"-")</f>
        <v>-</v>
      </c>
      <c r="X157" t="str">
        <f>IFERROR(__xludf.DUMMYFUNCTION("""COMPUTED_VALUE"""),"-")</f>
        <v>-</v>
      </c>
      <c r="Y157" t="str">
        <f>IFERROR(__xludf.DUMMYFUNCTION("""COMPUTED_VALUE"""),"-")</f>
        <v>-</v>
      </c>
      <c r="Z157" t="str">
        <f>IFERROR(__xludf.DUMMYFUNCTION("""COMPUTED_VALUE"""),"-")</f>
        <v>-</v>
      </c>
      <c r="AA157" t="str">
        <f>IFERROR(__xludf.DUMMYFUNCTION("""COMPUTED_VALUE"""),"-")</f>
        <v>-</v>
      </c>
    </row>
    <row r="158">
      <c r="A158" t="str">
        <f>IFERROR(__xludf.DUMMYFUNCTION("""COMPUTED_VALUE"""),"#157")</f>
        <v>#157</v>
      </c>
      <c r="B158" t="str">
        <f>IFERROR(__xludf.DUMMYFUNCTION("""COMPUTED_VALUE"""),"Steeve Briois")</f>
        <v>Steeve Briois</v>
      </c>
      <c r="C158">
        <f>IFERROR(__xludf.DUMMYFUNCTION("""COMPUTED_VALUE"""),44812.0)</f>
        <v>44812</v>
      </c>
      <c r="D158" t="str">
        <f>IFERROR(__xludf.DUMMYFUNCTION("""COMPUTED_VALUE"""),"-")</f>
        <v>-</v>
      </c>
      <c r="E158" t="str">
        <f>IFERROR(__xludf.DUMMYFUNCTION("""COMPUTED_VALUE"""),"-")</f>
        <v>-</v>
      </c>
      <c r="F158" t="str">
        <f>IFERROR(__xludf.DUMMYFUNCTION("""COMPUTED_VALUE"""),"-")</f>
        <v>-</v>
      </c>
      <c r="G158" t="str">
        <f>IFERROR(__xludf.DUMMYFUNCTION("""COMPUTED_VALUE"""),"-")</f>
        <v>-</v>
      </c>
      <c r="H158" t="str">
        <f>IFERROR(__xludf.DUMMYFUNCTION("""COMPUTED_VALUE"""),"-")</f>
        <v>-</v>
      </c>
      <c r="I158" t="str">
        <f>IFERROR(__xludf.DUMMYFUNCTION("""COMPUTED_VALUE"""),"-")</f>
        <v>-</v>
      </c>
      <c r="J158" t="str">
        <f>IFERROR(__xludf.DUMMYFUNCTION("""COMPUTED_VALUE"""),"-")</f>
        <v>-</v>
      </c>
      <c r="K158" t="str">
        <f>IFERROR(__xludf.DUMMYFUNCTION("""COMPUTED_VALUE"""),"-")</f>
        <v>-</v>
      </c>
      <c r="L158" t="str">
        <f>IFERROR(__xludf.DUMMYFUNCTION("""COMPUTED_VALUE"""),"-")</f>
        <v>-</v>
      </c>
      <c r="M158" t="str">
        <f>IFERROR(__xludf.DUMMYFUNCTION("""COMPUTED_VALUE"""),"-")</f>
        <v>-</v>
      </c>
      <c r="O158" t="str">
        <f>IFERROR(__xludf.DUMMYFUNCTION("""COMPUTED_VALUE"""),"#157")</f>
        <v>#157</v>
      </c>
      <c r="P158" t="str">
        <f>IFERROR(__xludf.DUMMYFUNCTION("""COMPUTED_VALUE"""),"Steeve Briois")</f>
        <v>Steeve Briois</v>
      </c>
      <c r="Q158">
        <f>IFERROR(__xludf.DUMMYFUNCTION("""COMPUTED_VALUE"""),44812.0)</f>
        <v>44812</v>
      </c>
      <c r="R158" t="str">
        <f>IFERROR(__xludf.DUMMYFUNCTION("""COMPUTED_VALUE"""),"-")</f>
        <v>-</v>
      </c>
      <c r="S158" t="str">
        <f>IFERROR(__xludf.DUMMYFUNCTION("""COMPUTED_VALUE"""),"-")</f>
        <v>-</v>
      </c>
      <c r="T158" t="str">
        <f>IFERROR(__xludf.DUMMYFUNCTION("""COMPUTED_VALUE"""),"-")</f>
        <v>-</v>
      </c>
      <c r="U158" t="str">
        <f>IFERROR(__xludf.DUMMYFUNCTION("""COMPUTED_VALUE"""),"-")</f>
        <v>-</v>
      </c>
      <c r="V158" t="str">
        <f>IFERROR(__xludf.DUMMYFUNCTION("""COMPUTED_VALUE"""),"-")</f>
        <v>-</v>
      </c>
      <c r="W158" t="str">
        <f>IFERROR(__xludf.DUMMYFUNCTION("""COMPUTED_VALUE"""),"-")</f>
        <v>-</v>
      </c>
      <c r="X158" t="str">
        <f>IFERROR(__xludf.DUMMYFUNCTION("""COMPUTED_VALUE"""),"-")</f>
        <v>-</v>
      </c>
      <c r="Y158" t="str">
        <f>IFERROR(__xludf.DUMMYFUNCTION("""COMPUTED_VALUE"""),"-")</f>
        <v>-</v>
      </c>
      <c r="Z158" t="str">
        <f>IFERROR(__xludf.DUMMYFUNCTION("""COMPUTED_VALUE"""),"-")</f>
        <v>-</v>
      </c>
      <c r="AA158" t="str">
        <f>IFERROR(__xludf.DUMMYFUNCTION("""COMPUTED_VALUE"""),"-")</f>
        <v>-</v>
      </c>
    </row>
    <row r="159">
      <c r="A159" t="str">
        <f>IFERROR(__xludf.DUMMYFUNCTION("""COMPUTED_VALUE"""),"#158")</f>
        <v>#158</v>
      </c>
      <c r="B159" t="str">
        <f>IFERROR(__xludf.DUMMYFUNCTION("""COMPUTED_VALUE"""),"Philippe Vardon")</f>
        <v>Philippe Vardon</v>
      </c>
      <c r="C159">
        <f>IFERROR(__xludf.DUMMYFUNCTION("""COMPUTED_VALUE"""),44365.0)</f>
        <v>44365</v>
      </c>
      <c r="D159" t="str">
        <f>IFERROR(__xludf.DUMMYFUNCTION("""COMPUTED_VALUE"""),"-")</f>
        <v>-</v>
      </c>
      <c r="E159" t="str">
        <f>IFERROR(__xludf.DUMMYFUNCTION("""COMPUTED_VALUE"""),"-")</f>
        <v>-</v>
      </c>
      <c r="F159" t="str">
        <f>IFERROR(__xludf.DUMMYFUNCTION("""COMPUTED_VALUE"""),"-")</f>
        <v>-</v>
      </c>
      <c r="G159" t="str">
        <f>IFERROR(__xludf.DUMMYFUNCTION("""COMPUTED_VALUE"""),"-")</f>
        <v>-</v>
      </c>
      <c r="H159" t="str">
        <f>IFERROR(__xludf.DUMMYFUNCTION("""COMPUTED_VALUE"""),"-")</f>
        <v>-</v>
      </c>
      <c r="I159" t="str">
        <f>IFERROR(__xludf.DUMMYFUNCTION("""COMPUTED_VALUE"""),"-")</f>
        <v>-</v>
      </c>
      <c r="J159" t="str">
        <f>IFERROR(__xludf.DUMMYFUNCTION("""COMPUTED_VALUE"""),"-")</f>
        <v>-</v>
      </c>
      <c r="K159" t="str">
        <f>IFERROR(__xludf.DUMMYFUNCTION("""COMPUTED_VALUE"""),"-")</f>
        <v>-</v>
      </c>
      <c r="L159" t="str">
        <f>IFERROR(__xludf.DUMMYFUNCTION("""COMPUTED_VALUE"""),"-")</f>
        <v>-</v>
      </c>
      <c r="M159" t="str">
        <f>IFERROR(__xludf.DUMMYFUNCTION("""COMPUTED_VALUE"""),"-")</f>
        <v>-</v>
      </c>
      <c r="O159" t="str">
        <f>IFERROR(__xludf.DUMMYFUNCTION("""COMPUTED_VALUE"""),"#158")</f>
        <v>#158</v>
      </c>
      <c r="P159" t="str">
        <f>IFERROR(__xludf.DUMMYFUNCTION("""COMPUTED_VALUE"""),"Philippe Vardon")</f>
        <v>Philippe Vardon</v>
      </c>
      <c r="Q159">
        <f>IFERROR(__xludf.DUMMYFUNCTION("""COMPUTED_VALUE"""),44365.0)</f>
        <v>44365</v>
      </c>
      <c r="R159" t="str">
        <f>IFERROR(__xludf.DUMMYFUNCTION("""COMPUTED_VALUE"""),"-")</f>
        <v>-</v>
      </c>
      <c r="S159" t="str">
        <f>IFERROR(__xludf.DUMMYFUNCTION("""COMPUTED_VALUE"""),"-")</f>
        <v>-</v>
      </c>
      <c r="T159" t="str">
        <f>IFERROR(__xludf.DUMMYFUNCTION("""COMPUTED_VALUE"""),"-")</f>
        <v>-</v>
      </c>
      <c r="U159" t="str">
        <f>IFERROR(__xludf.DUMMYFUNCTION("""COMPUTED_VALUE"""),"-")</f>
        <v>-</v>
      </c>
      <c r="V159" t="str">
        <f>IFERROR(__xludf.DUMMYFUNCTION("""COMPUTED_VALUE"""),"-")</f>
        <v>-</v>
      </c>
      <c r="W159" t="str">
        <f>IFERROR(__xludf.DUMMYFUNCTION("""COMPUTED_VALUE"""),"-")</f>
        <v>-</v>
      </c>
      <c r="X159" t="str">
        <f>IFERROR(__xludf.DUMMYFUNCTION("""COMPUTED_VALUE"""),"-")</f>
        <v>-</v>
      </c>
      <c r="Y159" t="str">
        <f>IFERROR(__xludf.DUMMYFUNCTION("""COMPUTED_VALUE"""),"-")</f>
        <v>-</v>
      </c>
      <c r="Z159" t="str">
        <f>IFERROR(__xludf.DUMMYFUNCTION("""COMPUTED_VALUE"""),"-")</f>
        <v>-</v>
      </c>
      <c r="AA159" t="str">
        <f>IFERROR(__xludf.DUMMYFUNCTION("""COMPUTED_VALUE"""),"-")</f>
        <v>-</v>
      </c>
    </row>
    <row r="160">
      <c r="A160" t="str">
        <f>IFERROR(__xludf.DUMMYFUNCTION("""COMPUTED_VALUE"""),"#159")</f>
        <v>#159</v>
      </c>
      <c r="B160" t="str">
        <f>IFERROR(__xludf.DUMMYFUNCTION("""COMPUTED_VALUE"""),"Arnaud Robinet")</f>
        <v>Arnaud Robinet</v>
      </c>
      <c r="C160">
        <f>IFERROR(__xludf.DUMMYFUNCTION("""COMPUTED_VALUE"""),43116.0)</f>
        <v>43116</v>
      </c>
      <c r="D160" t="str">
        <f>IFERROR(__xludf.DUMMYFUNCTION("""COMPUTED_VALUE"""),"-")</f>
        <v>-</v>
      </c>
      <c r="E160" t="str">
        <f>IFERROR(__xludf.DUMMYFUNCTION("""COMPUTED_VALUE"""),"-")</f>
        <v>-</v>
      </c>
      <c r="F160" t="str">
        <f>IFERROR(__xludf.DUMMYFUNCTION("""COMPUTED_VALUE"""),"-")</f>
        <v>-</v>
      </c>
      <c r="G160" t="str">
        <f>IFERROR(__xludf.DUMMYFUNCTION("""COMPUTED_VALUE"""),"-")</f>
        <v>-</v>
      </c>
      <c r="H160" t="str">
        <f>IFERROR(__xludf.DUMMYFUNCTION("""COMPUTED_VALUE"""),"-")</f>
        <v>-</v>
      </c>
      <c r="I160" t="str">
        <f>IFERROR(__xludf.DUMMYFUNCTION("""COMPUTED_VALUE"""),"-")</f>
        <v>-</v>
      </c>
      <c r="J160" t="str">
        <f>IFERROR(__xludf.DUMMYFUNCTION("""COMPUTED_VALUE"""),"-")</f>
        <v>-</v>
      </c>
      <c r="K160" t="str">
        <f>IFERROR(__xludf.DUMMYFUNCTION("""COMPUTED_VALUE"""),"-")</f>
        <v>-</v>
      </c>
      <c r="L160" t="str">
        <f>IFERROR(__xludf.DUMMYFUNCTION("""COMPUTED_VALUE"""),"-")</f>
        <v>-</v>
      </c>
      <c r="M160" t="str">
        <f>IFERROR(__xludf.DUMMYFUNCTION("""COMPUTED_VALUE"""),"-")</f>
        <v>-</v>
      </c>
      <c r="O160" t="str">
        <f>IFERROR(__xludf.DUMMYFUNCTION("""COMPUTED_VALUE"""),"#159")</f>
        <v>#159</v>
      </c>
      <c r="P160" t="str">
        <f>IFERROR(__xludf.DUMMYFUNCTION("""COMPUTED_VALUE"""),"Arnaud Robinet")</f>
        <v>Arnaud Robinet</v>
      </c>
      <c r="Q160">
        <f>IFERROR(__xludf.DUMMYFUNCTION("""COMPUTED_VALUE"""),43116.0)</f>
        <v>43116</v>
      </c>
      <c r="R160" t="str">
        <f>IFERROR(__xludf.DUMMYFUNCTION("""COMPUTED_VALUE"""),"-")</f>
        <v>-</v>
      </c>
      <c r="S160" t="str">
        <f>IFERROR(__xludf.DUMMYFUNCTION("""COMPUTED_VALUE"""),"-")</f>
        <v>-</v>
      </c>
      <c r="T160" t="str">
        <f>IFERROR(__xludf.DUMMYFUNCTION("""COMPUTED_VALUE"""),"-")</f>
        <v>-</v>
      </c>
      <c r="U160" t="str">
        <f>IFERROR(__xludf.DUMMYFUNCTION("""COMPUTED_VALUE"""),"-")</f>
        <v>-</v>
      </c>
      <c r="V160" t="str">
        <f>IFERROR(__xludf.DUMMYFUNCTION("""COMPUTED_VALUE"""),"-")</f>
        <v>-</v>
      </c>
      <c r="W160" t="str">
        <f>IFERROR(__xludf.DUMMYFUNCTION("""COMPUTED_VALUE"""),"-")</f>
        <v>-</v>
      </c>
      <c r="X160" t="str">
        <f>IFERROR(__xludf.DUMMYFUNCTION("""COMPUTED_VALUE"""),"-")</f>
        <v>-</v>
      </c>
      <c r="Y160" t="str">
        <f>IFERROR(__xludf.DUMMYFUNCTION("""COMPUTED_VALUE"""),"-")</f>
        <v>-</v>
      </c>
      <c r="Z160" t="str">
        <f>IFERROR(__xludf.DUMMYFUNCTION("""COMPUTED_VALUE"""),"-")</f>
        <v>-</v>
      </c>
      <c r="AA160" t="str">
        <f>IFERROR(__xludf.DUMMYFUNCTION("""COMPUTED_VALUE"""),"-")</f>
        <v>-</v>
      </c>
    </row>
    <row r="161">
      <c r="A161" t="str">
        <f>IFERROR(__xludf.DUMMYFUNCTION("""COMPUTED_VALUE"""),"#160")</f>
        <v>#160</v>
      </c>
      <c r="B161" t="str">
        <f>IFERROR(__xludf.DUMMYFUNCTION("""COMPUTED_VALUE"""),"Julien Dray")</f>
        <v>Julien Dray</v>
      </c>
      <c r="C161">
        <f>IFERROR(__xludf.DUMMYFUNCTION("""COMPUTED_VALUE"""),42872.0)</f>
        <v>42872</v>
      </c>
      <c r="D161" t="str">
        <f>IFERROR(__xludf.DUMMYFUNCTION("""COMPUTED_VALUE"""),"-")</f>
        <v>-</v>
      </c>
      <c r="E161" t="str">
        <f>IFERROR(__xludf.DUMMYFUNCTION("""COMPUTED_VALUE"""),"-")</f>
        <v>-</v>
      </c>
      <c r="F161" t="str">
        <f>IFERROR(__xludf.DUMMYFUNCTION("""COMPUTED_VALUE"""),"-")</f>
        <v>-</v>
      </c>
      <c r="G161" t="str">
        <f>IFERROR(__xludf.DUMMYFUNCTION("""COMPUTED_VALUE"""),"-")</f>
        <v>-</v>
      </c>
      <c r="H161" t="str">
        <f>IFERROR(__xludf.DUMMYFUNCTION("""COMPUTED_VALUE"""),"-")</f>
        <v>-</v>
      </c>
      <c r="I161" t="str">
        <f>IFERROR(__xludf.DUMMYFUNCTION("""COMPUTED_VALUE"""),"-")</f>
        <v>-</v>
      </c>
      <c r="J161" t="str">
        <f>IFERROR(__xludf.DUMMYFUNCTION("""COMPUTED_VALUE"""),"-")</f>
        <v>-</v>
      </c>
      <c r="K161" t="str">
        <f>IFERROR(__xludf.DUMMYFUNCTION("""COMPUTED_VALUE"""),"-")</f>
        <v>-</v>
      </c>
      <c r="L161" t="str">
        <f>IFERROR(__xludf.DUMMYFUNCTION("""COMPUTED_VALUE"""),"-")</f>
        <v>-</v>
      </c>
      <c r="M161" t="str">
        <f>IFERROR(__xludf.DUMMYFUNCTION("""COMPUTED_VALUE"""),"-")</f>
        <v>-</v>
      </c>
      <c r="O161" t="str">
        <f>IFERROR(__xludf.DUMMYFUNCTION("""COMPUTED_VALUE"""),"#160")</f>
        <v>#160</v>
      </c>
      <c r="P161" t="str">
        <f>IFERROR(__xludf.DUMMYFUNCTION("""COMPUTED_VALUE"""),"Julien Dray")</f>
        <v>Julien Dray</v>
      </c>
      <c r="Q161">
        <f>IFERROR(__xludf.DUMMYFUNCTION("""COMPUTED_VALUE"""),42872.0)</f>
        <v>42872</v>
      </c>
      <c r="R161" t="str">
        <f>IFERROR(__xludf.DUMMYFUNCTION("""COMPUTED_VALUE"""),"-")</f>
        <v>-</v>
      </c>
      <c r="S161" t="str">
        <f>IFERROR(__xludf.DUMMYFUNCTION("""COMPUTED_VALUE"""),"-")</f>
        <v>-</v>
      </c>
      <c r="T161" t="str">
        <f>IFERROR(__xludf.DUMMYFUNCTION("""COMPUTED_VALUE"""),"-")</f>
        <v>-</v>
      </c>
      <c r="U161" t="str">
        <f>IFERROR(__xludf.DUMMYFUNCTION("""COMPUTED_VALUE"""),"-")</f>
        <v>-</v>
      </c>
      <c r="V161" t="str">
        <f>IFERROR(__xludf.DUMMYFUNCTION("""COMPUTED_VALUE"""),"-")</f>
        <v>-</v>
      </c>
      <c r="W161" t="str">
        <f>IFERROR(__xludf.DUMMYFUNCTION("""COMPUTED_VALUE"""),"-")</f>
        <v>-</v>
      </c>
      <c r="X161" t="str">
        <f>IFERROR(__xludf.DUMMYFUNCTION("""COMPUTED_VALUE"""),"-")</f>
        <v>-</v>
      </c>
      <c r="Y161" t="str">
        <f>IFERROR(__xludf.DUMMYFUNCTION("""COMPUTED_VALUE"""),"-")</f>
        <v>-</v>
      </c>
      <c r="Z161" t="str">
        <f>IFERROR(__xludf.DUMMYFUNCTION("""COMPUTED_VALUE"""),"-")</f>
        <v>-</v>
      </c>
      <c r="AA161" t="str">
        <f>IFERROR(__xludf.DUMMYFUNCTION("""COMPUTED_VALUE"""),"-")</f>
        <v>-</v>
      </c>
    </row>
    <row r="162">
      <c r="A162" t="str">
        <f>IFERROR(__xludf.DUMMYFUNCTION("""COMPUTED_VALUE"""),"#161")</f>
        <v>#161</v>
      </c>
      <c r="B162" t="str">
        <f>IFERROR(__xludf.DUMMYFUNCTION("""COMPUTED_VALUE"""),"Gaspard Gantzer")</f>
        <v>Gaspard Gantzer</v>
      </c>
      <c r="C162">
        <f>IFERROR(__xludf.DUMMYFUNCTION("""COMPUTED_VALUE"""),42404.0)</f>
        <v>42404</v>
      </c>
      <c r="D162" t="str">
        <f>IFERROR(__xludf.DUMMYFUNCTION("""COMPUTED_VALUE"""),"-")</f>
        <v>-</v>
      </c>
      <c r="E162" t="str">
        <f>IFERROR(__xludf.DUMMYFUNCTION("""COMPUTED_VALUE"""),"-")</f>
        <v>-</v>
      </c>
      <c r="F162" t="str">
        <f>IFERROR(__xludf.DUMMYFUNCTION("""COMPUTED_VALUE"""),"-")</f>
        <v>-</v>
      </c>
      <c r="G162" t="str">
        <f>IFERROR(__xludf.DUMMYFUNCTION("""COMPUTED_VALUE"""),"-")</f>
        <v>-</v>
      </c>
      <c r="H162" t="str">
        <f>IFERROR(__xludf.DUMMYFUNCTION("""COMPUTED_VALUE"""),"-")</f>
        <v>-</v>
      </c>
      <c r="I162" t="str">
        <f>IFERROR(__xludf.DUMMYFUNCTION("""COMPUTED_VALUE"""),"-")</f>
        <v>-</v>
      </c>
      <c r="J162" t="str">
        <f>IFERROR(__xludf.DUMMYFUNCTION("""COMPUTED_VALUE"""),"-")</f>
        <v>-</v>
      </c>
      <c r="K162" t="str">
        <f>IFERROR(__xludf.DUMMYFUNCTION("""COMPUTED_VALUE"""),"-")</f>
        <v>-</v>
      </c>
      <c r="L162" t="str">
        <f>IFERROR(__xludf.DUMMYFUNCTION("""COMPUTED_VALUE"""),"-")</f>
        <v>-</v>
      </c>
      <c r="M162" t="str">
        <f>IFERROR(__xludf.DUMMYFUNCTION("""COMPUTED_VALUE"""),"-")</f>
        <v>-</v>
      </c>
      <c r="O162" t="str">
        <f>IFERROR(__xludf.DUMMYFUNCTION("""COMPUTED_VALUE"""),"#161")</f>
        <v>#161</v>
      </c>
      <c r="P162" t="str">
        <f>IFERROR(__xludf.DUMMYFUNCTION("""COMPUTED_VALUE"""),"Gaspard Gantzer")</f>
        <v>Gaspard Gantzer</v>
      </c>
      <c r="Q162">
        <f>IFERROR(__xludf.DUMMYFUNCTION("""COMPUTED_VALUE"""),42404.0)</f>
        <v>42404</v>
      </c>
      <c r="R162" t="str">
        <f>IFERROR(__xludf.DUMMYFUNCTION("""COMPUTED_VALUE"""),"-")</f>
        <v>-</v>
      </c>
      <c r="S162" t="str">
        <f>IFERROR(__xludf.DUMMYFUNCTION("""COMPUTED_VALUE"""),"-")</f>
        <v>-</v>
      </c>
      <c r="T162" t="str">
        <f>IFERROR(__xludf.DUMMYFUNCTION("""COMPUTED_VALUE"""),"-")</f>
        <v>-</v>
      </c>
      <c r="U162" t="str">
        <f>IFERROR(__xludf.DUMMYFUNCTION("""COMPUTED_VALUE"""),"-")</f>
        <v>-</v>
      </c>
      <c r="V162" t="str">
        <f>IFERROR(__xludf.DUMMYFUNCTION("""COMPUTED_VALUE"""),"-")</f>
        <v>-</v>
      </c>
      <c r="W162" t="str">
        <f>IFERROR(__xludf.DUMMYFUNCTION("""COMPUTED_VALUE"""),"-")</f>
        <v>-</v>
      </c>
      <c r="X162" t="str">
        <f>IFERROR(__xludf.DUMMYFUNCTION("""COMPUTED_VALUE"""),"-")</f>
        <v>-</v>
      </c>
      <c r="Y162" t="str">
        <f>IFERROR(__xludf.DUMMYFUNCTION("""COMPUTED_VALUE"""),"-")</f>
        <v>-</v>
      </c>
      <c r="Z162" t="str">
        <f>IFERROR(__xludf.DUMMYFUNCTION("""COMPUTED_VALUE"""),"-")</f>
        <v>-</v>
      </c>
      <c r="AA162" t="str">
        <f>IFERROR(__xludf.DUMMYFUNCTION("""COMPUTED_VALUE"""),"-")</f>
        <v>-</v>
      </c>
    </row>
    <row r="163">
      <c r="A163" t="str">
        <f>IFERROR(__xludf.DUMMYFUNCTION("""COMPUTED_VALUE"""),"#162")</f>
        <v>#162</v>
      </c>
      <c r="B163" t="str">
        <f>IFERROR(__xludf.DUMMYFUNCTION("""COMPUTED_VALUE"""),"Gilles Le Gendre")</f>
        <v>Gilles Le Gendre</v>
      </c>
      <c r="C163">
        <f>IFERROR(__xludf.DUMMYFUNCTION("""COMPUTED_VALUE"""),42295.0)</f>
        <v>42295</v>
      </c>
      <c r="D163" t="str">
        <f>IFERROR(__xludf.DUMMYFUNCTION("""COMPUTED_VALUE"""),"-")</f>
        <v>-</v>
      </c>
      <c r="E163" t="str">
        <f>IFERROR(__xludf.DUMMYFUNCTION("""COMPUTED_VALUE"""),"-")</f>
        <v>-</v>
      </c>
      <c r="F163" t="str">
        <f>IFERROR(__xludf.DUMMYFUNCTION("""COMPUTED_VALUE"""),"-")</f>
        <v>-</v>
      </c>
      <c r="G163" t="str">
        <f>IFERROR(__xludf.DUMMYFUNCTION("""COMPUTED_VALUE"""),"-")</f>
        <v>-</v>
      </c>
      <c r="H163" t="str">
        <f>IFERROR(__xludf.DUMMYFUNCTION("""COMPUTED_VALUE"""),"-")</f>
        <v>-</v>
      </c>
      <c r="I163" t="str">
        <f>IFERROR(__xludf.DUMMYFUNCTION("""COMPUTED_VALUE"""),"-")</f>
        <v>-</v>
      </c>
      <c r="J163" t="str">
        <f>IFERROR(__xludf.DUMMYFUNCTION("""COMPUTED_VALUE"""),"-")</f>
        <v>-</v>
      </c>
      <c r="K163" t="str">
        <f>IFERROR(__xludf.DUMMYFUNCTION("""COMPUTED_VALUE"""),"-")</f>
        <v>-</v>
      </c>
      <c r="L163" t="str">
        <f>IFERROR(__xludf.DUMMYFUNCTION("""COMPUTED_VALUE"""),"-")</f>
        <v>-</v>
      </c>
      <c r="M163" t="str">
        <f>IFERROR(__xludf.DUMMYFUNCTION("""COMPUTED_VALUE"""),"-")</f>
        <v>-</v>
      </c>
      <c r="O163" t="str">
        <f>IFERROR(__xludf.DUMMYFUNCTION("""COMPUTED_VALUE"""),"#162")</f>
        <v>#162</v>
      </c>
      <c r="P163" t="str">
        <f>IFERROR(__xludf.DUMMYFUNCTION("""COMPUTED_VALUE"""),"Gilles Le Gendre")</f>
        <v>Gilles Le Gendre</v>
      </c>
      <c r="Q163">
        <f>IFERROR(__xludf.DUMMYFUNCTION("""COMPUTED_VALUE"""),42295.0)</f>
        <v>42295</v>
      </c>
      <c r="R163" t="str">
        <f>IFERROR(__xludf.DUMMYFUNCTION("""COMPUTED_VALUE"""),"-")</f>
        <v>-</v>
      </c>
      <c r="S163" t="str">
        <f>IFERROR(__xludf.DUMMYFUNCTION("""COMPUTED_VALUE"""),"-")</f>
        <v>-</v>
      </c>
      <c r="T163" t="str">
        <f>IFERROR(__xludf.DUMMYFUNCTION("""COMPUTED_VALUE"""),"-")</f>
        <v>-</v>
      </c>
      <c r="U163" t="str">
        <f>IFERROR(__xludf.DUMMYFUNCTION("""COMPUTED_VALUE"""),"-")</f>
        <v>-</v>
      </c>
      <c r="V163" t="str">
        <f>IFERROR(__xludf.DUMMYFUNCTION("""COMPUTED_VALUE"""),"-")</f>
        <v>-</v>
      </c>
      <c r="W163" t="str">
        <f>IFERROR(__xludf.DUMMYFUNCTION("""COMPUTED_VALUE"""),"-")</f>
        <v>-</v>
      </c>
      <c r="X163" t="str">
        <f>IFERROR(__xludf.DUMMYFUNCTION("""COMPUTED_VALUE"""),"-")</f>
        <v>-</v>
      </c>
      <c r="Y163" t="str">
        <f>IFERROR(__xludf.DUMMYFUNCTION("""COMPUTED_VALUE"""),"-")</f>
        <v>-</v>
      </c>
      <c r="Z163" t="str">
        <f>IFERROR(__xludf.DUMMYFUNCTION("""COMPUTED_VALUE"""),"-")</f>
        <v>-</v>
      </c>
      <c r="AA163" t="str">
        <f>IFERROR(__xludf.DUMMYFUNCTION("""COMPUTED_VALUE"""),"-")</f>
        <v>-</v>
      </c>
    </row>
    <row r="164">
      <c r="A164" t="str">
        <f>IFERROR(__xludf.DUMMYFUNCTION("""COMPUTED_VALUE"""),"#163")</f>
        <v>#163</v>
      </c>
      <c r="B164" t="str">
        <f>IFERROR(__xludf.DUMMYFUNCTION("""COMPUTED_VALUE"""),"Adrien Taquet")</f>
        <v>Adrien Taquet</v>
      </c>
      <c r="C164">
        <f>IFERROR(__xludf.DUMMYFUNCTION("""COMPUTED_VALUE"""),42016.0)</f>
        <v>42016</v>
      </c>
      <c r="D164" t="str">
        <f>IFERROR(__xludf.DUMMYFUNCTION("""COMPUTED_VALUE"""),"-")</f>
        <v>-</v>
      </c>
      <c r="E164" t="str">
        <f>IFERROR(__xludf.DUMMYFUNCTION("""COMPUTED_VALUE"""),"-")</f>
        <v>-</v>
      </c>
      <c r="F164" t="str">
        <f>IFERROR(__xludf.DUMMYFUNCTION("""COMPUTED_VALUE"""),"-")</f>
        <v>-</v>
      </c>
      <c r="G164" t="str">
        <f>IFERROR(__xludf.DUMMYFUNCTION("""COMPUTED_VALUE"""),"-")</f>
        <v>-</v>
      </c>
      <c r="H164" t="str">
        <f>IFERROR(__xludf.DUMMYFUNCTION("""COMPUTED_VALUE"""),"-")</f>
        <v>-</v>
      </c>
      <c r="I164" t="str">
        <f>IFERROR(__xludf.DUMMYFUNCTION("""COMPUTED_VALUE"""),"-")</f>
        <v>-</v>
      </c>
      <c r="J164" t="str">
        <f>IFERROR(__xludf.DUMMYFUNCTION("""COMPUTED_VALUE"""),"-")</f>
        <v>-</v>
      </c>
      <c r="K164" t="str">
        <f>IFERROR(__xludf.DUMMYFUNCTION("""COMPUTED_VALUE"""),"-")</f>
        <v>-</v>
      </c>
      <c r="L164" t="str">
        <f>IFERROR(__xludf.DUMMYFUNCTION("""COMPUTED_VALUE"""),"-")</f>
        <v>-</v>
      </c>
      <c r="M164" t="str">
        <f>IFERROR(__xludf.DUMMYFUNCTION("""COMPUTED_VALUE"""),"-")</f>
        <v>-</v>
      </c>
      <c r="O164" t="str">
        <f>IFERROR(__xludf.DUMMYFUNCTION("""COMPUTED_VALUE"""),"#163")</f>
        <v>#163</v>
      </c>
      <c r="P164" t="str">
        <f>IFERROR(__xludf.DUMMYFUNCTION("""COMPUTED_VALUE"""),"Adrien Taquet")</f>
        <v>Adrien Taquet</v>
      </c>
      <c r="Q164">
        <f>IFERROR(__xludf.DUMMYFUNCTION("""COMPUTED_VALUE"""),42016.0)</f>
        <v>42016</v>
      </c>
      <c r="R164" t="str">
        <f>IFERROR(__xludf.DUMMYFUNCTION("""COMPUTED_VALUE"""),"-")</f>
        <v>-</v>
      </c>
      <c r="S164" t="str">
        <f>IFERROR(__xludf.DUMMYFUNCTION("""COMPUTED_VALUE"""),"-")</f>
        <v>-</v>
      </c>
      <c r="T164" t="str">
        <f>IFERROR(__xludf.DUMMYFUNCTION("""COMPUTED_VALUE"""),"-")</f>
        <v>-</v>
      </c>
      <c r="U164" t="str">
        <f>IFERROR(__xludf.DUMMYFUNCTION("""COMPUTED_VALUE"""),"-")</f>
        <v>-</v>
      </c>
      <c r="V164" t="str">
        <f>IFERROR(__xludf.DUMMYFUNCTION("""COMPUTED_VALUE"""),"-")</f>
        <v>-</v>
      </c>
      <c r="W164" t="str">
        <f>IFERROR(__xludf.DUMMYFUNCTION("""COMPUTED_VALUE"""),"-")</f>
        <v>-</v>
      </c>
      <c r="X164" t="str">
        <f>IFERROR(__xludf.DUMMYFUNCTION("""COMPUTED_VALUE"""),"-")</f>
        <v>-</v>
      </c>
      <c r="Y164" t="str">
        <f>IFERROR(__xludf.DUMMYFUNCTION("""COMPUTED_VALUE"""),"-")</f>
        <v>-</v>
      </c>
      <c r="Z164" t="str">
        <f>IFERROR(__xludf.DUMMYFUNCTION("""COMPUTED_VALUE"""),"-")</f>
        <v>-</v>
      </c>
      <c r="AA164" t="str">
        <f>IFERROR(__xludf.DUMMYFUNCTION("""COMPUTED_VALUE"""),"-")</f>
        <v>-</v>
      </c>
    </row>
    <row r="165">
      <c r="A165" t="str">
        <f>IFERROR(__xludf.DUMMYFUNCTION("""COMPUTED_VALUE"""),"#164")</f>
        <v>#164</v>
      </c>
      <c r="B165" t="str">
        <f>IFERROR(__xludf.DUMMYFUNCTION("""COMPUTED_VALUE"""),"Pierre Laurent")</f>
        <v>Pierre Laurent</v>
      </c>
      <c r="C165">
        <f>IFERROR(__xludf.DUMMYFUNCTION("""COMPUTED_VALUE"""),41847.0)</f>
        <v>41847</v>
      </c>
      <c r="D165" t="str">
        <f>IFERROR(__xludf.DUMMYFUNCTION("""COMPUTED_VALUE"""),"-")</f>
        <v>-</v>
      </c>
      <c r="E165" t="str">
        <f>IFERROR(__xludf.DUMMYFUNCTION("""COMPUTED_VALUE"""),"-")</f>
        <v>-</v>
      </c>
      <c r="F165" t="str">
        <f>IFERROR(__xludf.DUMMYFUNCTION("""COMPUTED_VALUE"""),"-")</f>
        <v>-</v>
      </c>
      <c r="G165" t="str">
        <f>IFERROR(__xludf.DUMMYFUNCTION("""COMPUTED_VALUE"""),"-")</f>
        <v>-</v>
      </c>
      <c r="H165" t="str">
        <f>IFERROR(__xludf.DUMMYFUNCTION("""COMPUTED_VALUE"""),"-")</f>
        <v>-</v>
      </c>
      <c r="I165" t="str">
        <f>IFERROR(__xludf.DUMMYFUNCTION("""COMPUTED_VALUE"""),"-")</f>
        <v>-</v>
      </c>
      <c r="J165" t="str">
        <f>IFERROR(__xludf.DUMMYFUNCTION("""COMPUTED_VALUE"""),"-")</f>
        <v>-</v>
      </c>
      <c r="K165" t="str">
        <f>IFERROR(__xludf.DUMMYFUNCTION("""COMPUTED_VALUE"""),"-")</f>
        <v>-</v>
      </c>
      <c r="L165" t="str">
        <f>IFERROR(__xludf.DUMMYFUNCTION("""COMPUTED_VALUE"""),"-")</f>
        <v>-</v>
      </c>
      <c r="M165" t="str">
        <f>IFERROR(__xludf.DUMMYFUNCTION("""COMPUTED_VALUE"""),"-")</f>
        <v>-</v>
      </c>
      <c r="O165" t="str">
        <f>IFERROR(__xludf.DUMMYFUNCTION("""COMPUTED_VALUE"""),"#164")</f>
        <v>#164</v>
      </c>
      <c r="P165" t="str">
        <f>IFERROR(__xludf.DUMMYFUNCTION("""COMPUTED_VALUE"""),"Pierre Laurent")</f>
        <v>Pierre Laurent</v>
      </c>
      <c r="Q165">
        <f>IFERROR(__xludf.DUMMYFUNCTION("""COMPUTED_VALUE"""),41847.0)</f>
        <v>41847</v>
      </c>
      <c r="R165" t="str">
        <f>IFERROR(__xludf.DUMMYFUNCTION("""COMPUTED_VALUE"""),"-")</f>
        <v>-</v>
      </c>
      <c r="S165" t="str">
        <f>IFERROR(__xludf.DUMMYFUNCTION("""COMPUTED_VALUE"""),"-")</f>
        <v>-</v>
      </c>
      <c r="T165" t="str">
        <f>IFERROR(__xludf.DUMMYFUNCTION("""COMPUTED_VALUE"""),"-")</f>
        <v>-</v>
      </c>
      <c r="U165" t="str">
        <f>IFERROR(__xludf.DUMMYFUNCTION("""COMPUTED_VALUE"""),"-")</f>
        <v>-</v>
      </c>
      <c r="V165" t="str">
        <f>IFERROR(__xludf.DUMMYFUNCTION("""COMPUTED_VALUE"""),"-")</f>
        <v>-</v>
      </c>
      <c r="W165" t="str">
        <f>IFERROR(__xludf.DUMMYFUNCTION("""COMPUTED_VALUE"""),"-")</f>
        <v>-</v>
      </c>
      <c r="X165" t="str">
        <f>IFERROR(__xludf.DUMMYFUNCTION("""COMPUTED_VALUE"""),"-")</f>
        <v>-</v>
      </c>
      <c r="Y165" t="str">
        <f>IFERROR(__xludf.DUMMYFUNCTION("""COMPUTED_VALUE"""),"-")</f>
        <v>-</v>
      </c>
      <c r="Z165" t="str">
        <f>IFERROR(__xludf.DUMMYFUNCTION("""COMPUTED_VALUE"""),"-")</f>
        <v>-</v>
      </c>
      <c r="AA165" t="str">
        <f>IFERROR(__xludf.DUMMYFUNCTION("""COMPUTED_VALUE"""),"-")</f>
        <v>-</v>
      </c>
    </row>
    <row r="166">
      <c r="A166" t="str">
        <f>IFERROR(__xludf.DUMMYFUNCTION("""COMPUTED_VALUE"""),"#165")</f>
        <v>#165</v>
      </c>
      <c r="B166" t="str">
        <f>IFERROR(__xludf.DUMMYFUNCTION("""COMPUTED_VALUE"""),"Bruno Gollnisch")</f>
        <v>Bruno Gollnisch</v>
      </c>
      <c r="C166">
        <f>IFERROR(__xludf.DUMMYFUNCTION("""COMPUTED_VALUE"""),40502.0)</f>
        <v>40502</v>
      </c>
      <c r="D166" t="str">
        <f>IFERROR(__xludf.DUMMYFUNCTION("""COMPUTED_VALUE"""),"-")</f>
        <v>-</v>
      </c>
      <c r="E166" t="str">
        <f>IFERROR(__xludf.DUMMYFUNCTION("""COMPUTED_VALUE"""),"-")</f>
        <v>-</v>
      </c>
      <c r="F166" t="str">
        <f>IFERROR(__xludf.DUMMYFUNCTION("""COMPUTED_VALUE"""),"-")</f>
        <v>-</v>
      </c>
      <c r="G166" t="str">
        <f>IFERROR(__xludf.DUMMYFUNCTION("""COMPUTED_VALUE"""),"-")</f>
        <v>-</v>
      </c>
      <c r="H166" t="str">
        <f>IFERROR(__xludf.DUMMYFUNCTION("""COMPUTED_VALUE"""),"-")</f>
        <v>-</v>
      </c>
      <c r="I166" t="str">
        <f>IFERROR(__xludf.DUMMYFUNCTION("""COMPUTED_VALUE"""),"-")</f>
        <v>-</v>
      </c>
      <c r="J166" t="str">
        <f>IFERROR(__xludf.DUMMYFUNCTION("""COMPUTED_VALUE"""),"-")</f>
        <v>-</v>
      </c>
      <c r="K166" t="str">
        <f>IFERROR(__xludf.DUMMYFUNCTION("""COMPUTED_VALUE"""),"-")</f>
        <v>-</v>
      </c>
      <c r="L166" t="str">
        <f>IFERROR(__xludf.DUMMYFUNCTION("""COMPUTED_VALUE"""),"-")</f>
        <v>-</v>
      </c>
      <c r="M166" t="str">
        <f>IFERROR(__xludf.DUMMYFUNCTION("""COMPUTED_VALUE"""),"-")</f>
        <v>-</v>
      </c>
      <c r="O166" t="str">
        <f>IFERROR(__xludf.DUMMYFUNCTION("""COMPUTED_VALUE"""),"#165")</f>
        <v>#165</v>
      </c>
      <c r="P166" t="str">
        <f>IFERROR(__xludf.DUMMYFUNCTION("""COMPUTED_VALUE"""),"Bruno Gollnisch")</f>
        <v>Bruno Gollnisch</v>
      </c>
      <c r="Q166">
        <f>IFERROR(__xludf.DUMMYFUNCTION("""COMPUTED_VALUE"""),40502.0)</f>
        <v>40502</v>
      </c>
      <c r="R166" t="str">
        <f>IFERROR(__xludf.DUMMYFUNCTION("""COMPUTED_VALUE"""),"-")</f>
        <v>-</v>
      </c>
      <c r="S166" t="str">
        <f>IFERROR(__xludf.DUMMYFUNCTION("""COMPUTED_VALUE"""),"-")</f>
        <v>-</v>
      </c>
      <c r="T166" t="str">
        <f>IFERROR(__xludf.DUMMYFUNCTION("""COMPUTED_VALUE"""),"-")</f>
        <v>-</v>
      </c>
      <c r="U166" t="str">
        <f>IFERROR(__xludf.DUMMYFUNCTION("""COMPUTED_VALUE"""),"-")</f>
        <v>-</v>
      </c>
      <c r="V166" t="str">
        <f>IFERROR(__xludf.DUMMYFUNCTION("""COMPUTED_VALUE"""),"-")</f>
        <v>-</v>
      </c>
      <c r="W166" t="str">
        <f>IFERROR(__xludf.DUMMYFUNCTION("""COMPUTED_VALUE"""),"-")</f>
        <v>-</v>
      </c>
      <c r="X166" t="str">
        <f>IFERROR(__xludf.DUMMYFUNCTION("""COMPUTED_VALUE"""),"-")</f>
        <v>-</v>
      </c>
      <c r="Y166" t="str">
        <f>IFERROR(__xludf.DUMMYFUNCTION("""COMPUTED_VALUE"""),"-")</f>
        <v>-</v>
      </c>
      <c r="Z166" t="str">
        <f>IFERROR(__xludf.DUMMYFUNCTION("""COMPUTED_VALUE"""),"-")</f>
        <v>-</v>
      </c>
      <c r="AA166" t="str">
        <f>IFERROR(__xludf.DUMMYFUNCTION("""COMPUTED_VALUE"""),"-")</f>
        <v>-</v>
      </c>
    </row>
    <row r="167">
      <c r="A167" t="str">
        <f>IFERROR(__xludf.DUMMYFUNCTION("""COMPUTED_VALUE"""),"#166")</f>
        <v>#166</v>
      </c>
      <c r="B167" t="str">
        <f>IFERROR(__xludf.DUMMYFUNCTION("""COMPUTED_VALUE"""),"Elsa Faucillon")</f>
        <v>Elsa Faucillon</v>
      </c>
      <c r="C167">
        <f>IFERROR(__xludf.DUMMYFUNCTION("""COMPUTED_VALUE"""),39968.0)</f>
        <v>39968</v>
      </c>
      <c r="D167" t="str">
        <f>IFERROR(__xludf.DUMMYFUNCTION("""COMPUTED_VALUE"""),"-")</f>
        <v>-</v>
      </c>
      <c r="E167" t="str">
        <f>IFERROR(__xludf.DUMMYFUNCTION("""COMPUTED_VALUE"""),"-")</f>
        <v>-</v>
      </c>
      <c r="F167" t="str">
        <f>IFERROR(__xludf.DUMMYFUNCTION("""COMPUTED_VALUE"""),"-")</f>
        <v>-</v>
      </c>
      <c r="G167" t="str">
        <f>IFERROR(__xludf.DUMMYFUNCTION("""COMPUTED_VALUE"""),"-")</f>
        <v>-</v>
      </c>
      <c r="H167" t="str">
        <f>IFERROR(__xludf.DUMMYFUNCTION("""COMPUTED_VALUE"""),"-")</f>
        <v>-</v>
      </c>
      <c r="I167" t="str">
        <f>IFERROR(__xludf.DUMMYFUNCTION("""COMPUTED_VALUE"""),"-")</f>
        <v>-</v>
      </c>
      <c r="J167" t="str">
        <f>IFERROR(__xludf.DUMMYFUNCTION("""COMPUTED_VALUE"""),"-")</f>
        <v>-</v>
      </c>
      <c r="K167" t="str">
        <f>IFERROR(__xludf.DUMMYFUNCTION("""COMPUTED_VALUE"""),"-")</f>
        <v>-</v>
      </c>
      <c r="L167" t="str">
        <f>IFERROR(__xludf.DUMMYFUNCTION("""COMPUTED_VALUE"""),"-")</f>
        <v>-</v>
      </c>
      <c r="M167" t="str">
        <f>IFERROR(__xludf.DUMMYFUNCTION("""COMPUTED_VALUE"""),"-")</f>
        <v>-</v>
      </c>
      <c r="O167" t="str">
        <f>IFERROR(__xludf.DUMMYFUNCTION("""COMPUTED_VALUE"""),"#166")</f>
        <v>#166</v>
      </c>
      <c r="P167" t="str">
        <f>IFERROR(__xludf.DUMMYFUNCTION("""COMPUTED_VALUE"""),"Elsa Faucillon")</f>
        <v>Elsa Faucillon</v>
      </c>
      <c r="Q167">
        <f>IFERROR(__xludf.DUMMYFUNCTION("""COMPUTED_VALUE"""),39968.0)</f>
        <v>39968</v>
      </c>
      <c r="R167" t="str">
        <f>IFERROR(__xludf.DUMMYFUNCTION("""COMPUTED_VALUE"""),"-")</f>
        <v>-</v>
      </c>
      <c r="S167" t="str">
        <f>IFERROR(__xludf.DUMMYFUNCTION("""COMPUTED_VALUE"""),"-")</f>
        <v>-</v>
      </c>
      <c r="T167" t="str">
        <f>IFERROR(__xludf.DUMMYFUNCTION("""COMPUTED_VALUE"""),"-")</f>
        <v>-</v>
      </c>
      <c r="U167" t="str">
        <f>IFERROR(__xludf.DUMMYFUNCTION("""COMPUTED_VALUE"""),"-")</f>
        <v>-</v>
      </c>
      <c r="V167" t="str">
        <f>IFERROR(__xludf.DUMMYFUNCTION("""COMPUTED_VALUE"""),"-")</f>
        <v>-</v>
      </c>
      <c r="W167" t="str">
        <f>IFERROR(__xludf.DUMMYFUNCTION("""COMPUTED_VALUE"""),"-")</f>
        <v>-</v>
      </c>
      <c r="X167" t="str">
        <f>IFERROR(__xludf.DUMMYFUNCTION("""COMPUTED_VALUE"""),"-")</f>
        <v>-</v>
      </c>
      <c r="Y167" t="str">
        <f>IFERROR(__xludf.DUMMYFUNCTION("""COMPUTED_VALUE"""),"-")</f>
        <v>-</v>
      </c>
      <c r="Z167" t="str">
        <f>IFERROR(__xludf.DUMMYFUNCTION("""COMPUTED_VALUE"""),"-")</f>
        <v>-</v>
      </c>
      <c r="AA167" t="str">
        <f>IFERROR(__xludf.DUMMYFUNCTION("""COMPUTED_VALUE"""),"-")</f>
        <v>-</v>
      </c>
    </row>
    <row r="168">
      <c r="A168" t="str">
        <f>IFERROR(__xludf.DUMMYFUNCTION("""COMPUTED_VALUE"""),"#167")</f>
        <v>#167</v>
      </c>
      <c r="B168" t="str">
        <f>IFERROR(__xludf.DUMMYFUNCTION("""COMPUTED_VALUE"""),"Geoffroy Didier")</f>
        <v>Geoffroy Didier</v>
      </c>
      <c r="C168">
        <f>IFERROR(__xludf.DUMMYFUNCTION("""COMPUTED_VALUE"""),39296.0)</f>
        <v>39296</v>
      </c>
      <c r="D168" t="str">
        <f>IFERROR(__xludf.DUMMYFUNCTION("""COMPUTED_VALUE"""),"-")</f>
        <v>-</v>
      </c>
      <c r="E168" t="str">
        <f>IFERROR(__xludf.DUMMYFUNCTION("""COMPUTED_VALUE"""),"-")</f>
        <v>-</v>
      </c>
      <c r="F168" t="str">
        <f>IFERROR(__xludf.DUMMYFUNCTION("""COMPUTED_VALUE"""),"-")</f>
        <v>-</v>
      </c>
      <c r="G168" t="str">
        <f>IFERROR(__xludf.DUMMYFUNCTION("""COMPUTED_VALUE"""),"-")</f>
        <v>-</v>
      </c>
      <c r="H168" t="str">
        <f>IFERROR(__xludf.DUMMYFUNCTION("""COMPUTED_VALUE"""),"-")</f>
        <v>-</v>
      </c>
      <c r="I168" t="str">
        <f>IFERROR(__xludf.DUMMYFUNCTION("""COMPUTED_VALUE"""),"-")</f>
        <v>-</v>
      </c>
      <c r="J168" t="str">
        <f>IFERROR(__xludf.DUMMYFUNCTION("""COMPUTED_VALUE"""),"-")</f>
        <v>-</v>
      </c>
      <c r="K168" t="str">
        <f>IFERROR(__xludf.DUMMYFUNCTION("""COMPUTED_VALUE"""),"-")</f>
        <v>-</v>
      </c>
      <c r="L168" t="str">
        <f>IFERROR(__xludf.DUMMYFUNCTION("""COMPUTED_VALUE"""),"-")</f>
        <v>-</v>
      </c>
      <c r="M168" t="str">
        <f>IFERROR(__xludf.DUMMYFUNCTION("""COMPUTED_VALUE"""),"-")</f>
        <v>-</v>
      </c>
      <c r="O168" t="str">
        <f>IFERROR(__xludf.DUMMYFUNCTION("""COMPUTED_VALUE"""),"#167")</f>
        <v>#167</v>
      </c>
      <c r="P168" t="str">
        <f>IFERROR(__xludf.DUMMYFUNCTION("""COMPUTED_VALUE"""),"Geoffroy Didier")</f>
        <v>Geoffroy Didier</v>
      </c>
      <c r="Q168">
        <f>IFERROR(__xludf.DUMMYFUNCTION("""COMPUTED_VALUE"""),39296.0)</f>
        <v>39296</v>
      </c>
      <c r="R168" t="str">
        <f>IFERROR(__xludf.DUMMYFUNCTION("""COMPUTED_VALUE"""),"-")</f>
        <v>-</v>
      </c>
      <c r="S168" t="str">
        <f>IFERROR(__xludf.DUMMYFUNCTION("""COMPUTED_VALUE"""),"-")</f>
        <v>-</v>
      </c>
      <c r="T168" t="str">
        <f>IFERROR(__xludf.DUMMYFUNCTION("""COMPUTED_VALUE"""),"-")</f>
        <v>-</v>
      </c>
      <c r="U168" t="str">
        <f>IFERROR(__xludf.DUMMYFUNCTION("""COMPUTED_VALUE"""),"-")</f>
        <v>-</v>
      </c>
      <c r="V168" t="str">
        <f>IFERROR(__xludf.DUMMYFUNCTION("""COMPUTED_VALUE"""),"-")</f>
        <v>-</v>
      </c>
      <c r="W168" t="str">
        <f>IFERROR(__xludf.DUMMYFUNCTION("""COMPUTED_VALUE"""),"-")</f>
        <v>-</v>
      </c>
      <c r="X168" t="str">
        <f>IFERROR(__xludf.DUMMYFUNCTION("""COMPUTED_VALUE"""),"-")</f>
        <v>-</v>
      </c>
      <c r="Y168" t="str">
        <f>IFERROR(__xludf.DUMMYFUNCTION("""COMPUTED_VALUE"""),"-")</f>
        <v>-</v>
      </c>
      <c r="Z168" t="str">
        <f>IFERROR(__xludf.DUMMYFUNCTION("""COMPUTED_VALUE"""),"-")</f>
        <v>-</v>
      </c>
      <c r="AA168" t="str">
        <f>IFERROR(__xludf.DUMMYFUNCTION("""COMPUTED_VALUE"""),"-")</f>
        <v>-</v>
      </c>
    </row>
    <row r="169">
      <c r="A169" t="str">
        <f>IFERROR(__xludf.DUMMYFUNCTION("""COMPUTED_VALUE"""),"#168")</f>
        <v>#168</v>
      </c>
      <c r="B169" t="str">
        <f>IFERROR(__xludf.DUMMYFUNCTION("""COMPUTED_VALUE"""),"Fabien Gay")</f>
        <v>Fabien Gay</v>
      </c>
      <c r="C169">
        <f>IFERROR(__xludf.DUMMYFUNCTION("""COMPUTED_VALUE"""),38412.0)</f>
        <v>38412</v>
      </c>
      <c r="D169" t="str">
        <f>IFERROR(__xludf.DUMMYFUNCTION("""COMPUTED_VALUE"""),"-")</f>
        <v>-</v>
      </c>
      <c r="E169" t="str">
        <f>IFERROR(__xludf.DUMMYFUNCTION("""COMPUTED_VALUE"""),"-")</f>
        <v>-</v>
      </c>
      <c r="F169" t="str">
        <f>IFERROR(__xludf.DUMMYFUNCTION("""COMPUTED_VALUE"""),"-")</f>
        <v>-</v>
      </c>
      <c r="G169" t="str">
        <f>IFERROR(__xludf.DUMMYFUNCTION("""COMPUTED_VALUE"""),"-")</f>
        <v>-</v>
      </c>
      <c r="H169" t="str">
        <f>IFERROR(__xludf.DUMMYFUNCTION("""COMPUTED_VALUE"""),"-")</f>
        <v>-</v>
      </c>
      <c r="I169" t="str">
        <f>IFERROR(__xludf.DUMMYFUNCTION("""COMPUTED_VALUE"""),"-")</f>
        <v>-</v>
      </c>
      <c r="J169" t="str">
        <f>IFERROR(__xludf.DUMMYFUNCTION("""COMPUTED_VALUE"""),"-")</f>
        <v>-</v>
      </c>
      <c r="K169" t="str">
        <f>IFERROR(__xludf.DUMMYFUNCTION("""COMPUTED_VALUE"""),"-")</f>
        <v>-</v>
      </c>
      <c r="L169" t="str">
        <f>IFERROR(__xludf.DUMMYFUNCTION("""COMPUTED_VALUE"""),"-")</f>
        <v>-</v>
      </c>
      <c r="M169" t="str">
        <f>IFERROR(__xludf.DUMMYFUNCTION("""COMPUTED_VALUE"""),"-")</f>
        <v>-</v>
      </c>
      <c r="O169" t="str">
        <f>IFERROR(__xludf.DUMMYFUNCTION("""COMPUTED_VALUE"""),"#168")</f>
        <v>#168</v>
      </c>
      <c r="P169" t="str">
        <f>IFERROR(__xludf.DUMMYFUNCTION("""COMPUTED_VALUE"""),"Fabien Gay")</f>
        <v>Fabien Gay</v>
      </c>
      <c r="Q169">
        <f>IFERROR(__xludf.DUMMYFUNCTION("""COMPUTED_VALUE"""),38412.0)</f>
        <v>38412</v>
      </c>
      <c r="R169" t="str">
        <f>IFERROR(__xludf.DUMMYFUNCTION("""COMPUTED_VALUE"""),"-")</f>
        <v>-</v>
      </c>
      <c r="S169" t="str">
        <f>IFERROR(__xludf.DUMMYFUNCTION("""COMPUTED_VALUE"""),"-")</f>
        <v>-</v>
      </c>
      <c r="T169" t="str">
        <f>IFERROR(__xludf.DUMMYFUNCTION("""COMPUTED_VALUE"""),"-")</f>
        <v>-</v>
      </c>
      <c r="U169" t="str">
        <f>IFERROR(__xludf.DUMMYFUNCTION("""COMPUTED_VALUE"""),"-")</f>
        <v>-</v>
      </c>
      <c r="V169" t="str">
        <f>IFERROR(__xludf.DUMMYFUNCTION("""COMPUTED_VALUE"""),"-")</f>
        <v>-</v>
      </c>
      <c r="W169" t="str">
        <f>IFERROR(__xludf.DUMMYFUNCTION("""COMPUTED_VALUE"""),"-")</f>
        <v>-</v>
      </c>
      <c r="X169" t="str">
        <f>IFERROR(__xludf.DUMMYFUNCTION("""COMPUTED_VALUE"""),"-")</f>
        <v>-</v>
      </c>
      <c r="Y169" t="str">
        <f>IFERROR(__xludf.DUMMYFUNCTION("""COMPUTED_VALUE"""),"-")</f>
        <v>-</v>
      </c>
      <c r="Z169" t="str">
        <f>IFERROR(__xludf.DUMMYFUNCTION("""COMPUTED_VALUE"""),"-")</f>
        <v>-</v>
      </c>
      <c r="AA169" t="str">
        <f>IFERROR(__xludf.DUMMYFUNCTION("""COMPUTED_VALUE"""),"-")</f>
        <v>-</v>
      </c>
    </row>
    <row r="170">
      <c r="A170" t="str">
        <f>IFERROR(__xludf.DUMMYFUNCTION("""COMPUTED_VALUE"""),"#169")</f>
        <v>#169</v>
      </c>
      <c r="B170" t="str">
        <f>IFERROR(__xludf.DUMMYFUNCTION("""COMPUTED_VALUE"""),"Yves Jégo")</f>
        <v>Yves Jégo</v>
      </c>
      <c r="C170">
        <f>IFERROR(__xludf.DUMMYFUNCTION("""COMPUTED_VALUE"""),37472.0)</f>
        <v>37472</v>
      </c>
      <c r="D170" t="str">
        <f>IFERROR(__xludf.DUMMYFUNCTION("""COMPUTED_VALUE"""),"-")</f>
        <v>-</v>
      </c>
      <c r="E170" t="str">
        <f>IFERROR(__xludf.DUMMYFUNCTION("""COMPUTED_VALUE"""),"-")</f>
        <v>-</v>
      </c>
      <c r="F170" t="str">
        <f>IFERROR(__xludf.DUMMYFUNCTION("""COMPUTED_VALUE"""),"-")</f>
        <v>-</v>
      </c>
      <c r="G170" t="str">
        <f>IFERROR(__xludf.DUMMYFUNCTION("""COMPUTED_VALUE"""),"-")</f>
        <v>-</v>
      </c>
      <c r="H170" t="str">
        <f>IFERROR(__xludf.DUMMYFUNCTION("""COMPUTED_VALUE"""),"-")</f>
        <v>-</v>
      </c>
      <c r="I170" t="str">
        <f>IFERROR(__xludf.DUMMYFUNCTION("""COMPUTED_VALUE"""),"-")</f>
        <v>-</v>
      </c>
      <c r="J170" t="str">
        <f>IFERROR(__xludf.DUMMYFUNCTION("""COMPUTED_VALUE"""),"-")</f>
        <v>-</v>
      </c>
      <c r="K170" t="str">
        <f>IFERROR(__xludf.DUMMYFUNCTION("""COMPUTED_VALUE"""),"-")</f>
        <v>-</v>
      </c>
      <c r="L170" t="str">
        <f>IFERROR(__xludf.DUMMYFUNCTION("""COMPUTED_VALUE"""),"-")</f>
        <v>-</v>
      </c>
      <c r="M170" t="str">
        <f>IFERROR(__xludf.DUMMYFUNCTION("""COMPUTED_VALUE"""),"-")</f>
        <v>-</v>
      </c>
      <c r="O170" t="str">
        <f>IFERROR(__xludf.DUMMYFUNCTION("""COMPUTED_VALUE"""),"#169")</f>
        <v>#169</v>
      </c>
      <c r="P170" t="str">
        <f>IFERROR(__xludf.DUMMYFUNCTION("""COMPUTED_VALUE"""),"Yves Jégo")</f>
        <v>Yves Jégo</v>
      </c>
      <c r="Q170">
        <f>IFERROR(__xludf.DUMMYFUNCTION("""COMPUTED_VALUE"""),37472.0)</f>
        <v>37472</v>
      </c>
      <c r="R170" t="str">
        <f>IFERROR(__xludf.DUMMYFUNCTION("""COMPUTED_VALUE"""),"-")</f>
        <v>-</v>
      </c>
      <c r="S170" t="str">
        <f>IFERROR(__xludf.DUMMYFUNCTION("""COMPUTED_VALUE"""),"-")</f>
        <v>-</v>
      </c>
      <c r="T170" t="str">
        <f>IFERROR(__xludf.DUMMYFUNCTION("""COMPUTED_VALUE"""),"-")</f>
        <v>-</v>
      </c>
      <c r="U170" t="str">
        <f>IFERROR(__xludf.DUMMYFUNCTION("""COMPUTED_VALUE"""),"-")</f>
        <v>-</v>
      </c>
      <c r="V170" t="str">
        <f>IFERROR(__xludf.DUMMYFUNCTION("""COMPUTED_VALUE"""),"-")</f>
        <v>-</v>
      </c>
      <c r="W170" t="str">
        <f>IFERROR(__xludf.DUMMYFUNCTION("""COMPUTED_VALUE"""),"-")</f>
        <v>-</v>
      </c>
      <c r="X170" t="str">
        <f>IFERROR(__xludf.DUMMYFUNCTION("""COMPUTED_VALUE"""),"-")</f>
        <v>-</v>
      </c>
      <c r="Y170" t="str">
        <f>IFERROR(__xludf.DUMMYFUNCTION("""COMPUTED_VALUE"""),"-")</f>
        <v>-</v>
      </c>
      <c r="Z170" t="str">
        <f>IFERROR(__xludf.DUMMYFUNCTION("""COMPUTED_VALUE"""),"-")</f>
        <v>-</v>
      </c>
      <c r="AA170" t="str">
        <f>IFERROR(__xludf.DUMMYFUNCTION("""COMPUTED_VALUE"""),"-")</f>
        <v>-</v>
      </c>
    </row>
    <row r="171">
      <c r="A171" t="str">
        <f>IFERROR(__xludf.DUMMYFUNCTION("""COMPUTED_VALUE"""),"#170")</f>
        <v>#170</v>
      </c>
      <c r="B171" t="str">
        <f>IFERROR(__xludf.DUMMYFUNCTION("""COMPUTED_VALUE"""),"Laetitia Avia")</f>
        <v>Laetitia Avia</v>
      </c>
      <c r="C171">
        <f>IFERROR(__xludf.DUMMYFUNCTION("""COMPUTED_VALUE"""),37102.0)</f>
        <v>37102</v>
      </c>
      <c r="D171" t="str">
        <f>IFERROR(__xludf.DUMMYFUNCTION("""COMPUTED_VALUE"""),"-")</f>
        <v>-</v>
      </c>
      <c r="E171" t="str">
        <f>IFERROR(__xludf.DUMMYFUNCTION("""COMPUTED_VALUE"""),"-")</f>
        <v>-</v>
      </c>
      <c r="F171" t="str">
        <f>IFERROR(__xludf.DUMMYFUNCTION("""COMPUTED_VALUE"""),"-")</f>
        <v>-</v>
      </c>
      <c r="G171" t="str">
        <f>IFERROR(__xludf.DUMMYFUNCTION("""COMPUTED_VALUE"""),"-")</f>
        <v>-</v>
      </c>
      <c r="H171" t="str">
        <f>IFERROR(__xludf.DUMMYFUNCTION("""COMPUTED_VALUE"""),"-")</f>
        <v>-</v>
      </c>
      <c r="I171" t="str">
        <f>IFERROR(__xludf.DUMMYFUNCTION("""COMPUTED_VALUE"""),"-")</f>
        <v>-</v>
      </c>
      <c r="J171" t="str">
        <f>IFERROR(__xludf.DUMMYFUNCTION("""COMPUTED_VALUE"""),"-")</f>
        <v>-</v>
      </c>
      <c r="K171" t="str">
        <f>IFERROR(__xludf.DUMMYFUNCTION("""COMPUTED_VALUE"""),"-")</f>
        <v>-</v>
      </c>
      <c r="L171" t="str">
        <f>IFERROR(__xludf.DUMMYFUNCTION("""COMPUTED_VALUE"""),"-")</f>
        <v>-</v>
      </c>
      <c r="M171" t="str">
        <f>IFERROR(__xludf.DUMMYFUNCTION("""COMPUTED_VALUE"""),"-")</f>
        <v>-</v>
      </c>
      <c r="O171" t="str">
        <f>IFERROR(__xludf.DUMMYFUNCTION("""COMPUTED_VALUE"""),"#170")</f>
        <v>#170</v>
      </c>
      <c r="P171" t="str">
        <f>IFERROR(__xludf.DUMMYFUNCTION("""COMPUTED_VALUE"""),"Laetitia Avia")</f>
        <v>Laetitia Avia</v>
      </c>
      <c r="Q171">
        <f>IFERROR(__xludf.DUMMYFUNCTION("""COMPUTED_VALUE"""),37102.0)</f>
        <v>37102</v>
      </c>
      <c r="R171" t="str">
        <f>IFERROR(__xludf.DUMMYFUNCTION("""COMPUTED_VALUE"""),"-")</f>
        <v>-</v>
      </c>
      <c r="S171" t="str">
        <f>IFERROR(__xludf.DUMMYFUNCTION("""COMPUTED_VALUE"""),"-")</f>
        <v>-</v>
      </c>
      <c r="T171" t="str">
        <f>IFERROR(__xludf.DUMMYFUNCTION("""COMPUTED_VALUE"""),"-")</f>
        <v>-</v>
      </c>
      <c r="U171" t="str">
        <f>IFERROR(__xludf.DUMMYFUNCTION("""COMPUTED_VALUE"""),"-")</f>
        <v>-</v>
      </c>
      <c r="V171" t="str">
        <f>IFERROR(__xludf.DUMMYFUNCTION("""COMPUTED_VALUE"""),"-")</f>
        <v>-</v>
      </c>
      <c r="W171" t="str">
        <f>IFERROR(__xludf.DUMMYFUNCTION("""COMPUTED_VALUE"""),"-")</f>
        <v>-</v>
      </c>
      <c r="X171" t="str">
        <f>IFERROR(__xludf.DUMMYFUNCTION("""COMPUTED_VALUE"""),"-")</f>
        <v>-</v>
      </c>
      <c r="Y171" t="str">
        <f>IFERROR(__xludf.DUMMYFUNCTION("""COMPUTED_VALUE"""),"-")</f>
        <v>-</v>
      </c>
      <c r="Z171" t="str">
        <f>IFERROR(__xludf.DUMMYFUNCTION("""COMPUTED_VALUE"""),"-")</f>
        <v>-</v>
      </c>
      <c r="AA171" t="str">
        <f>IFERROR(__xludf.DUMMYFUNCTION("""COMPUTED_VALUE"""),"-")</f>
        <v>-</v>
      </c>
    </row>
    <row r="172">
      <c r="A172" t="str">
        <f>IFERROR(__xludf.DUMMYFUNCTION("""COMPUTED_VALUE"""),"#171")</f>
        <v>#171</v>
      </c>
      <c r="B172" t="str">
        <f>IFERROR(__xludf.DUMMYFUNCTION("""COMPUTED_VALUE"""),"Aurélien Taché")</f>
        <v>Aurélien Taché</v>
      </c>
      <c r="C172">
        <f>IFERROR(__xludf.DUMMYFUNCTION("""COMPUTED_VALUE"""),37064.0)</f>
        <v>37064</v>
      </c>
      <c r="D172" t="str">
        <f>IFERROR(__xludf.DUMMYFUNCTION("""COMPUTED_VALUE"""),"-")</f>
        <v>-</v>
      </c>
      <c r="E172" t="str">
        <f>IFERROR(__xludf.DUMMYFUNCTION("""COMPUTED_VALUE"""),"-")</f>
        <v>-</v>
      </c>
      <c r="F172" t="str">
        <f>IFERROR(__xludf.DUMMYFUNCTION("""COMPUTED_VALUE"""),"-")</f>
        <v>-</v>
      </c>
      <c r="G172" t="str">
        <f>IFERROR(__xludf.DUMMYFUNCTION("""COMPUTED_VALUE"""),"-")</f>
        <v>-</v>
      </c>
      <c r="H172" t="str">
        <f>IFERROR(__xludf.DUMMYFUNCTION("""COMPUTED_VALUE"""),"-")</f>
        <v>-</v>
      </c>
      <c r="I172" t="str">
        <f>IFERROR(__xludf.DUMMYFUNCTION("""COMPUTED_VALUE"""),"-")</f>
        <v>-</v>
      </c>
      <c r="J172" t="str">
        <f>IFERROR(__xludf.DUMMYFUNCTION("""COMPUTED_VALUE"""),"-")</f>
        <v>-</v>
      </c>
      <c r="K172" t="str">
        <f>IFERROR(__xludf.DUMMYFUNCTION("""COMPUTED_VALUE"""),"-")</f>
        <v>-</v>
      </c>
      <c r="L172" t="str">
        <f>IFERROR(__xludf.DUMMYFUNCTION("""COMPUTED_VALUE"""),"-")</f>
        <v>-</v>
      </c>
      <c r="M172" t="str">
        <f>IFERROR(__xludf.DUMMYFUNCTION("""COMPUTED_VALUE"""),"-")</f>
        <v>-</v>
      </c>
      <c r="O172" t="str">
        <f>IFERROR(__xludf.DUMMYFUNCTION("""COMPUTED_VALUE"""),"#171")</f>
        <v>#171</v>
      </c>
      <c r="P172" t="str">
        <f>IFERROR(__xludf.DUMMYFUNCTION("""COMPUTED_VALUE"""),"Aurélien Taché")</f>
        <v>Aurélien Taché</v>
      </c>
      <c r="Q172">
        <f>IFERROR(__xludf.DUMMYFUNCTION("""COMPUTED_VALUE"""),37064.0)</f>
        <v>37064</v>
      </c>
      <c r="R172" t="str">
        <f>IFERROR(__xludf.DUMMYFUNCTION("""COMPUTED_VALUE"""),"-")</f>
        <v>-</v>
      </c>
      <c r="S172" t="str">
        <f>IFERROR(__xludf.DUMMYFUNCTION("""COMPUTED_VALUE"""),"-")</f>
        <v>-</v>
      </c>
      <c r="T172" t="str">
        <f>IFERROR(__xludf.DUMMYFUNCTION("""COMPUTED_VALUE"""),"-")</f>
        <v>-</v>
      </c>
      <c r="U172" t="str">
        <f>IFERROR(__xludf.DUMMYFUNCTION("""COMPUTED_VALUE"""),"-")</f>
        <v>-</v>
      </c>
      <c r="V172" t="str">
        <f>IFERROR(__xludf.DUMMYFUNCTION("""COMPUTED_VALUE"""),"-")</f>
        <v>-</v>
      </c>
      <c r="W172" t="str">
        <f>IFERROR(__xludf.DUMMYFUNCTION("""COMPUTED_VALUE"""),"-")</f>
        <v>-</v>
      </c>
      <c r="X172" t="str">
        <f>IFERROR(__xludf.DUMMYFUNCTION("""COMPUTED_VALUE"""),"-")</f>
        <v>-</v>
      </c>
      <c r="Y172" t="str">
        <f>IFERROR(__xludf.DUMMYFUNCTION("""COMPUTED_VALUE"""),"-")</f>
        <v>-</v>
      </c>
      <c r="Z172" t="str">
        <f>IFERROR(__xludf.DUMMYFUNCTION("""COMPUTED_VALUE"""),"-")</f>
        <v>-</v>
      </c>
      <c r="AA172" t="str">
        <f>IFERROR(__xludf.DUMMYFUNCTION("""COMPUTED_VALUE"""),"-")</f>
        <v>-</v>
      </c>
    </row>
    <row r="173">
      <c r="A173" t="str">
        <f>IFERROR(__xludf.DUMMYFUNCTION("""COMPUTED_VALUE"""),"#172")</f>
        <v>#172</v>
      </c>
      <c r="B173" t="str">
        <f>IFERROR(__xludf.DUMMYFUNCTION("""COMPUTED_VALUE"""),"Franck Allisio")</f>
        <v>Franck Allisio</v>
      </c>
      <c r="C173">
        <f>IFERROR(__xludf.DUMMYFUNCTION("""COMPUTED_VALUE"""),36723.0)</f>
        <v>36723</v>
      </c>
      <c r="D173" t="str">
        <f>IFERROR(__xludf.DUMMYFUNCTION("""COMPUTED_VALUE"""),"-")</f>
        <v>-</v>
      </c>
      <c r="E173" t="str">
        <f>IFERROR(__xludf.DUMMYFUNCTION("""COMPUTED_VALUE"""),"-")</f>
        <v>-</v>
      </c>
      <c r="F173" t="str">
        <f>IFERROR(__xludf.DUMMYFUNCTION("""COMPUTED_VALUE"""),"-")</f>
        <v>-</v>
      </c>
      <c r="G173" t="str">
        <f>IFERROR(__xludf.DUMMYFUNCTION("""COMPUTED_VALUE"""),"-")</f>
        <v>-</v>
      </c>
      <c r="H173" t="str">
        <f>IFERROR(__xludf.DUMMYFUNCTION("""COMPUTED_VALUE"""),"-")</f>
        <v>-</v>
      </c>
      <c r="I173" t="str">
        <f>IFERROR(__xludf.DUMMYFUNCTION("""COMPUTED_VALUE"""),"-")</f>
        <v>-</v>
      </c>
      <c r="J173" t="str">
        <f>IFERROR(__xludf.DUMMYFUNCTION("""COMPUTED_VALUE"""),"-")</f>
        <v>-</v>
      </c>
      <c r="K173" t="str">
        <f>IFERROR(__xludf.DUMMYFUNCTION("""COMPUTED_VALUE"""),"-")</f>
        <v>-</v>
      </c>
      <c r="L173" t="str">
        <f>IFERROR(__xludf.DUMMYFUNCTION("""COMPUTED_VALUE"""),"-")</f>
        <v>-</v>
      </c>
      <c r="M173" t="str">
        <f>IFERROR(__xludf.DUMMYFUNCTION("""COMPUTED_VALUE"""),"-")</f>
        <v>-</v>
      </c>
      <c r="O173" t="str">
        <f>IFERROR(__xludf.DUMMYFUNCTION("""COMPUTED_VALUE"""),"#172")</f>
        <v>#172</v>
      </c>
      <c r="P173" t="str">
        <f>IFERROR(__xludf.DUMMYFUNCTION("""COMPUTED_VALUE"""),"Franck Allisio")</f>
        <v>Franck Allisio</v>
      </c>
      <c r="Q173">
        <f>IFERROR(__xludf.DUMMYFUNCTION("""COMPUTED_VALUE"""),36723.0)</f>
        <v>36723</v>
      </c>
      <c r="R173" t="str">
        <f>IFERROR(__xludf.DUMMYFUNCTION("""COMPUTED_VALUE"""),"-")</f>
        <v>-</v>
      </c>
      <c r="S173" t="str">
        <f>IFERROR(__xludf.DUMMYFUNCTION("""COMPUTED_VALUE"""),"-")</f>
        <v>-</v>
      </c>
      <c r="T173" t="str">
        <f>IFERROR(__xludf.DUMMYFUNCTION("""COMPUTED_VALUE"""),"-")</f>
        <v>-</v>
      </c>
      <c r="U173" t="str">
        <f>IFERROR(__xludf.DUMMYFUNCTION("""COMPUTED_VALUE"""),"-")</f>
        <v>-</v>
      </c>
      <c r="V173" t="str">
        <f>IFERROR(__xludf.DUMMYFUNCTION("""COMPUTED_VALUE"""),"-")</f>
        <v>-</v>
      </c>
      <c r="W173" t="str">
        <f>IFERROR(__xludf.DUMMYFUNCTION("""COMPUTED_VALUE"""),"-")</f>
        <v>-</v>
      </c>
      <c r="X173" t="str">
        <f>IFERROR(__xludf.DUMMYFUNCTION("""COMPUTED_VALUE"""),"-")</f>
        <v>-</v>
      </c>
      <c r="Y173" t="str">
        <f>IFERROR(__xludf.DUMMYFUNCTION("""COMPUTED_VALUE"""),"-")</f>
        <v>-</v>
      </c>
      <c r="Z173" t="str">
        <f>IFERROR(__xludf.DUMMYFUNCTION("""COMPUTED_VALUE"""),"-")</f>
        <v>-</v>
      </c>
      <c r="AA173" t="str">
        <f>IFERROR(__xludf.DUMMYFUNCTION("""COMPUTED_VALUE"""),"-")</f>
        <v>-</v>
      </c>
    </row>
    <row r="174">
      <c r="A174" t="str">
        <f>IFERROR(__xludf.DUMMYFUNCTION("""COMPUTED_VALUE"""),"#173")</f>
        <v>#173</v>
      </c>
      <c r="B174" t="str">
        <f>IFERROR(__xludf.DUMMYFUNCTION("""COMPUTED_VALUE"""),"Jean-Philippe Tanguy")</f>
        <v>Jean-Philippe Tanguy</v>
      </c>
      <c r="C174">
        <f>IFERROR(__xludf.DUMMYFUNCTION("""COMPUTED_VALUE"""),36577.0)</f>
        <v>36577</v>
      </c>
      <c r="D174" t="str">
        <f>IFERROR(__xludf.DUMMYFUNCTION("""COMPUTED_VALUE"""),"-")</f>
        <v>-</v>
      </c>
      <c r="E174" t="str">
        <f>IFERROR(__xludf.DUMMYFUNCTION("""COMPUTED_VALUE"""),"-")</f>
        <v>-</v>
      </c>
      <c r="F174" t="str">
        <f>IFERROR(__xludf.DUMMYFUNCTION("""COMPUTED_VALUE"""),"-")</f>
        <v>-</v>
      </c>
      <c r="G174" t="str">
        <f>IFERROR(__xludf.DUMMYFUNCTION("""COMPUTED_VALUE"""),"-")</f>
        <v>-</v>
      </c>
      <c r="H174" t="str">
        <f>IFERROR(__xludf.DUMMYFUNCTION("""COMPUTED_VALUE"""),"-")</f>
        <v>-</v>
      </c>
      <c r="I174" t="str">
        <f>IFERROR(__xludf.DUMMYFUNCTION("""COMPUTED_VALUE"""),"-")</f>
        <v>-</v>
      </c>
      <c r="J174" t="str">
        <f>IFERROR(__xludf.DUMMYFUNCTION("""COMPUTED_VALUE"""),"-")</f>
        <v>-</v>
      </c>
      <c r="K174" t="str">
        <f>IFERROR(__xludf.DUMMYFUNCTION("""COMPUTED_VALUE"""),"-")</f>
        <v>-</v>
      </c>
      <c r="L174" t="str">
        <f>IFERROR(__xludf.DUMMYFUNCTION("""COMPUTED_VALUE"""),"-")</f>
        <v>-</v>
      </c>
      <c r="M174" t="str">
        <f>IFERROR(__xludf.DUMMYFUNCTION("""COMPUTED_VALUE"""),"-")</f>
        <v>-</v>
      </c>
      <c r="O174" t="str">
        <f>IFERROR(__xludf.DUMMYFUNCTION("""COMPUTED_VALUE"""),"#173")</f>
        <v>#173</v>
      </c>
      <c r="P174" t="str">
        <f>IFERROR(__xludf.DUMMYFUNCTION("""COMPUTED_VALUE"""),"Jean-Philippe Tanguy")</f>
        <v>Jean-Philippe Tanguy</v>
      </c>
      <c r="Q174">
        <f>IFERROR(__xludf.DUMMYFUNCTION("""COMPUTED_VALUE"""),36577.0)</f>
        <v>36577</v>
      </c>
      <c r="R174" t="str">
        <f>IFERROR(__xludf.DUMMYFUNCTION("""COMPUTED_VALUE"""),"-")</f>
        <v>-</v>
      </c>
      <c r="S174" t="str">
        <f>IFERROR(__xludf.DUMMYFUNCTION("""COMPUTED_VALUE"""),"-")</f>
        <v>-</v>
      </c>
      <c r="T174" t="str">
        <f>IFERROR(__xludf.DUMMYFUNCTION("""COMPUTED_VALUE"""),"-")</f>
        <v>-</v>
      </c>
      <c r="U174" t="str">
        <f>IFERROR(__xludf.DUMMYFUNCTION("""COMPUTED_VALUE"""),"-")</f>
        <v>-</v>
      </c>
      <c r="V174" t="str">
        <f>IFERROR(__xludf.DUMMYFUNCTION("""COMPUTED_VALUE"""),"-")</f>
        <v>-</v>
      </c>
      <c r="W174" t="str">
        <f>IFERROR(__xludf.DUMMYFUNCTION("""COMPUTED_VALUE"""),"-")</f>
        <v>-</v>
      </c>
      <c r="X174" t="str">
        <f>IFERROR(__xludf.DUMMYFUNCTION("""COMPUTED_VALUE"""),"-")</f>
        <v>-</v>
      </c>
      <c r="Y174" t="str">
        <f>IFERROR(__xludf.DUMMYFUNCTION("""COMPUTED_VALUE"""),"-")</f>
        <v>-</v>
      </c>
      <c r="Z174" t="str">
        <f>IFERROR(__xludf.DUMMYFUNCTION("""COMPUTED_VALUE"""),"-")</f>
        <v>-</v>
      </c>
      <c r="AA174" t="str">
        <f>IFERROR(__xludf.DUMMYFUNCTION("""COMPUTED_VALUE"""),"-")</f>
        <v>-</v>
      </c>
    </row>
    <row r="175">
      <c r="A175" t="str">
        <f>IFERROR(__xludf.DUMMYFUNCTION("""COMPUTED_VALUE"""),"#174")</f>
        <v>#174</v>
      </c>
      <c r="B175" t="str">
        <f>IFERROR(__xludf.DUMMYFUNCTION("""COMPUTED_VALUE"""),"Isabelle Balkany")</f>
        <v>Isabelle Balkany</v>
      </c>
      <c r="C175">
        <f>IFERROR(__xludf.DUMMYFUNCTION("""COMPUTED_VALUE"""),36575.0)</f>
        <v>36575</v>
      </c>
      <c r="D175" t="str">
        <f>IFERROR(__xludf.DUMMYFUNCTION("""COMPUTED_VALUE"""),"-")</f>
        <v>-</v>
      </c>
      <c r="E175" t="str">
        <f>IFERROR(__xludf.DUMMYFUNCTION("""COMPUTED_VALUE"""),"-")</f>
        <v>-</v>
      </c>
      <c r="F175" t="str">
        <f>IFERROR(__xludf.DUMMYFUNCTION("""COMPUTED_VALUE"""),"-")</f>
        <v>-</v>
      </c>
      <c r="G175" t="str">
        <f>IFERROR(__xludf.DUMMYFUNCTION("""COMPUTED_VALUE"""),"-")</f>
        <v>-</v>
      </c>
      <c r="H175" t="str">
        <f>IFERROR(__xludf.DUMMYFUNCTION("""COMPUTED_VALUE"""),"-")</f>
        <v>-</v>
      </c>
      <c r="I175" t="str">
        <f>IFERROR(__xludf.DUMMYFUNCTION("""COMPUTED_VALUE"""),"-")</f>
        <v>-</v>
      </c>
      <c r="J175" t="str">
        <f>IFERROR(__xludf.DUMMYFUNCTION("""COMPUTED_VALUE"""),"-")</f>
        <v>-</v>
      </c>
      <c r="K175" t="str">
        <f>IFERROR(__xludf.DUMMYFUNCTION("""COMPUTED_VALUE"""),"-")</f>
        <v>-</v>
      </c>
      <c r="L175" t="str">
        <f>IFERROR(__xludf.DUMMYFUNCTION("""COMPUTED_VALUE"""),"-")</f>
        <v>-</v>
      </c>
      <c r="M175" t="str">
        <f>IFERROR(__xludf.DUMMYFUNCTION("""COMPUTED_VALUE"""),"-")</f>
        <v>-</v>
      </c>
      <c r="O175" t="str">
        <f>IFERROR(__xludf.DUMMYFUNCTION("""COMPUTED_VALUE"""),"#174")</f>
        <v>#174</v>
      </c>
      <c r="P175" t="str">
        <f>IFERROR(__xludf.DUMMYFUNCTION("""COMPUTED_VALUE"""),"Isabelle Balkany")</f>
        <v>Isabelle Balkany</v>
      </c>
      <c r="Q175">
        <f>IFERROR(__xludf.DUMMYFUNCTION("""COMPUTED_VALUE"""),36575.0)</f>
        <v>36575</v>
      </c>
      <c r="R175" t="str">
        <f>IFERROR(__xludf.DUMMYFUNCTION("""COMPUTED_VALUE"""),"-")</f>
        <v>-</v>
      </c>
      <c r="S175" t="str">
        <f>IFERROR(__xludf.DUMMYFUNCTION("""COMPUTED_VALUE"""),"-")</f>
        <v>-</v>
      </c>
      <c r="T175" t="str">
        <f>IFERROR(__xludf.DUMMYFUNCTION("""COMPUTED_VALUE"""),"-")</f>
        <v>-</v>
      </c>
      <c r="U175" t="str">
        <f>IFERROR(__xludf.DUMMYFUNCTION("""COMPUTED_VALUE"""),"-")</f>
        <v>-</v>
      </c>
      <c r="V175" t="str">
        <f>IFERROR(__xludf.DUMMYFUNCTION("""COMPUTED_VALUE"""),"-")</f>
        <v>-</v>
      </c>
      <c r="W175" t="str">
        <f>IFERROR(__xludf.DUMMYFUNCTION("""COMPUTED_VALUE"""),"-")</f>
        <v>-</v>
      </c>
      <c r="X175" t="str">
        <f>IFERROR(__xludf.DUMMYFUNCTION("""COMPUTED_VALUE"""),"-")</f>
        <v>-</v>
      </c>
      <c r="Y175" t="str">
        <f>IFERROR(__xludf.DUMMYFUNCTION("""COMPUTED_VALUE"""),"-")</f>
        <v>-</v>
      </c>
      <c r="Z175" t="str">
        <f>IFERROR(__xludf.DUMMYFUNCTION("""COMPUTED_VALUE"""),"-")</f>
        <v>-</v>
      </c>
      <c r="AA175" t="str">
        <f>IFERROR(__xludf.DUMMYFUNCTION("""COMPUTED_VALUE"""),"-")</f>
        <v>-</v>
      </c>
    </row>
    <row r="176">
      <c r="A176" t="str">
        <f>IFERROR(__xludf.DUMMYFUNCTION("""COMPUTED_VALUE"""),"#175")</f>
        <v>#175</v>
      </c>
      <c r="B176" t="str">
        <f>IFERROR(__xludf.DUMMYFUNCTION("""COMPUTED_VALUE"""),"Marylise Lebranchu")</f>
        <v>Marylise Lebranchu</v>
      </c>
      <c r="C176">
        <f>IFERROR(__xludf.DUMMYFUNCTION("""COMPUTED_VALUE"""),36488.0)</f>
        <v>36488</v>
      </c>
      <c r="D176" t="str">
        <f>IFERROR(__xludf.DUMMYFUNCTION("""COMPUTED_VALUE"""),"-")</f>
        <v>-</v>
      </c>
      <c r="E176" t="str">
        <f>IFERROR(__xludf.DUMMYFUNCTION("""COMPUTED_VALUE"""),"-")</f>
        <v>-</v>
      </c>
      <c r="F176" t="str">
        <f>IFERROR(__xludf.DUMMYFUNCTION("""COMPUTED_VALUE"""),"-")</f>
        <v>-</v>
      </c>
      <c r="G176" t="str">
        <f>IFERROR(__xludf.DUMMYFUNCTION("""COMPUTED_VALUE"""),"-")</f>
        <v>-</v>
      </c>
      <c r="H176" t="str">
        <f>IFERROR(__xludf.DUMMYFUNCTION("""COMPUTED_VALUE"""),"-")</f>
        <v>-</v>
      </c>
      <c r="I176" t="str">
        <f>IFERROR(__xludf.DUMMYFUNCTION("""COMPUTED_VALUE"""),"-")</f>
        <v>-</v>
      </c>
      <c r="J176" t="str">
        <f>IFERROR(__xludf.DUMMYFUNCTION("""COMPUTED_VALUE"""),"-")</f>
        <v>-</v>
      </c>
      <c r="K176" t="str">
        <f>IFERROR(__xludf.DUMMYFUNCTION("""COMPUTED_VALUE"""),"-")</f>
        <v>-</v>
      </c>
      <c r="L176" t="str">
        <f>IFERROR(__xludf.DUMMYFUNCTION("""COMPUTED_VALUE"""),"-")</f>
        <v>-</v>
      </c>
      <c r="M176" t="str">
        <f>IFERROR(__xludf.DUMMYFUNCTION("""COMPUTED_VALUE"""),"-")</f>
        <v>-</v>
      </c>
      <c r="O176" t="str">
        <f>IFERROR(__xludf.DUMMYFUNCTION("""COMPUTED_VALUE"""),"#175")</f>
        <v>#175</v>
      </c>
      <c r="P176" t="str">
        <f>IFERROR(__xludf.DUMMYFUNCTION("""COMPUTED_VALUE"""),"Marylise Lebranchu")</f>
        <v>Marylise Lebranchu</v>
      </c>
      <c r="Q176">
        <f>IFERROR(__xludf.DUMMYFUNCTION("""COMPUTED_VALUE"""),36488.0)</f>
        <v>36488</v>
      </c>
      <c r="R176" t="str">
        <f>IFERROR(__xludf.DUMMYFUNCTION("""COMPUTED_VALUE"""),"-")</f>
        <v>-</v>
      </c>
      <c r="S176" t="str">
        <f>IFERROR(__xludf.DUMMYFUNCTION("""COMPUTED_VALUE"""),"-")</f>
        <v>-</v>
      </c>
      <c r="T176" t="str">
        <f>IFERROR(__xludf.DUMMYFUNCTION("""COMPUTED_VALUE"""),"-")</f>
        <v>-</v>
      </c>
      <c r="U176" t="str">
        <f>IFERROR(__xludf.DUMMYFUNCTION("""COMPUTED_VALUE"""),"-")</f>
        <v>-</v>
      </c>
      <c r="V176" t="str">
        <f>IFERROR(__xludf.DUMMYFUNCTION("""COMPUTED_VALUE"""),"-")</f>
        <v>-</v>
      </c>
      <c r="W176" t="str">
        <f>IFERROR(__xludf.DUMMYFUNCTION("""COMPUTED_VALUE"""),"-")</f>
        <v>-</v>
      </c>
      <c r="X176" t="str">
        <f>IFERROR(__xludf.DUMMYFUNCTION("""COMPUTED_VALUE"""),"-")</f>
        <v>-</v>
      </c>
      <c r="Y176" t="str">
        <f>IFERROR(__xludf.DUMMYFUNCTION("""COMPUTED_VALUE"""),"-")</f>
        <v>-</v>
      </c>
      <c r="Z176" t="str">
        <f>IFERROR(__xludf.DUMMYFUNCTION("""COMPUTED_VALUE"""),"-")</f>
        <v>-</v>
      </c>
      <c r="AA176" t="str">
        <f>IFERROR(__xludf.DUMMYFUNCTION("""COMPUTED_VALUE"""),"-")</f>
        <v>-</v>
      </c>
    </row>
    <row r="177">
      <c r="A177" t="str">
        <f>IFERROR(__xludf.DUMMYFUNCTION("""COMPUTED_VALUE"""),"#176")</f>
        <v>#176</v>
      </c>
      <c r="B177" t="str">
        <f>IFERROR(__xludf.DUMMYFUNCTION("""COMPUTED_VALUE"""),"Charles-Henri Gallois")</f>
        <v>Charles-Henri Gallois</v>
      </c>
      <c r="C177">
        <f>IFERROR(__xludf.DUMMYFUNCTION("""COMPUTED_VALUE"""),35997.0)</f>
        <v>35997</v>
      </c>
      <c r="D177" t="str">
        <f>IFERROR(__xludf.DUMMYFUNCTION("""COMPUTED_VALUE"""),"-")</f>
        <v>-</v>
      </c>
      <c r="E177" t="str">
        <f>IFERROR(__xludf.DUMMYFUNCTION("""COMPUTED_VALUE"""),"-")</f>
        <v>-</v>
      </c>
      <c r="F177" t="str">
        <f>IFERROR(__xludf.DUMMYFUNCTION("""COMPUTED_VALUE"""),"-")</f>
        <v>-</v>
      </c>
      <c r="G177" t="str">
        <f>IFERROR(__xludf.DUMMYFUNCTION("""COMPUTED_VALUE"""),"-")</f>
        <v>-</v>
      </c>
      <c r="H177" t="str">
        <f>IFERROR(__xludf.DUMMYFUNCTION("""COMPUTED_VALUE"""),"-")</f>
        <v>-</v>
      </c>
      <c r="I177" t="str">
        <f>IFERROR(__xludf.DUMMYFUNCTION("""COMPUTED_VALUE"""),"-")</f>
        <v>-</v>
      </c>
      <c r="J177" t="str">
        <f>IFERROR(__xludf.DUMMYFUNCTION("""COMPUTED_VALUE"""),"-")</f>
        <v>-</v>
      </c>
      <c r="K177" t="str">
        <f>IFERROR(__xludf.DUMMYFUNCTION("""COMPUTED_VALUE"""),"-")</f>
        <v>-</v>
      </c>
      <c r="L177" t="str">
        <f>IFERROR(__xludf.DUMMYFUNCTION("""COMPUTED_VALUE"""),"-")</f>
        <v>-</v>
      </c>
      <c r="M177" t="str">
        <f>IFERROR(__xludf.DUMMYFUNCTION("""COMPUTED_VALUE"""),"-")</f>
        <v>-</v>
      </c>
      <c r="O177" t="str">
        <f>IFERROR(__xludf.DUMMYFUNCTION("""COMPUTED_VALUE"""),"#176")</f>
        <v>#176</v>
      </c>
      <c r="P177" t="str">
        <f>IFERROR(__xludf.DUMMYFUNCTION("""COMPUTED_VALUE"""),"Charles-Henri Gallois")</f>
        <v>Charles-Henri Gallois</v>
      </c>
      <c r="Q177">
        <f>IFERROR(__xludf.DUMMYFUNCTION("""COMPUTED_VALUE"""),35997.0)</f>
        <v>35997</v>
      </c>
      <c r="R177" t="str">
        <f>IFERROR(__xludf.DUMMYFUNCTION("""COMPUTED_VALUE"""),"-")</f>
        <v>-</v>
      </c>
      <c r="S177" t="str">
        <f>IFERROR(__xludf.DUMMYFUNCTION("""COMPUTED_VALUE"""),"-")</f>
        <v>-</v>
      </c>
      <c r="T177" t="str">
        <f>IFERROR(__xludf.DUMMYFUNCTION("""COMPUTED_VALUE"""),"-")</f>
        <v>-</v>
      </c>
      <c r="U177" t="str">
        <f>IFERROR(__xludf.DUMMYFUNCTION("""COMPUTED_VALUE"""),"-")</f>
        <v>-</v>
      </c>
      <c r="V177" t="str">
        <f>IFERROR(__xludf.DUMMYFUNCTION("""COMPUTED_VALUE"""),"-")</f>
        <v>-</v>
      </c>
      <c r="W177" t="str">
        <f>IFERROR(__xludf.DUMMYFUNCTION("""COMPUTED_VALUE"""),"-")</f>
        <v>-</v>
      </c>
      <c r="X177" t="str">
        <f>IFERROR(__xludf.DUMMYFUNCTION("""COMPUTED_VALUE"""),"-")</f>
        <v>-</v>
      </c>
      <c r="Y177" t="str">
        <f>IFERROR(__xludf.DUMMYFUNCTION("""COMPUTED_VALUE"""),"-")</f>
        <v>-</v>
      </c>
      <c r="Z177" t="str">
        <f>IFERROR(__xludf.DUMMYFUNCTION("""COMPUTED_VALUE"""),"-")</f>
        <v>-</v>
      </c>
      <c r="AA177" t="str">
        <f>IFERROR(__xludf.DUMMYFUNCTION("""COMPUTED_VALUE"""),"-")</f>
        <v>-</v>
      </c>
    </row>
    <row r="178">
      <c r="A178" t="str">
        <f>IFERROR(__xludf.DUMMYFUNCTION("""COMPUTED_VALUE"""),"#177")</f>
        <v>#177</v>
      </c>
      <c r="B178" t="str">
        <f>IFERROR(__xludf.DUMMYFUNCTION("""COMPUTED_VALUE"""),"Elisabeth Guigou")</f>
        <v>Elisabeth Guigou</v>
      </c>
      <c r="C178">
        <f>IFERROR(__xludf.DUMMYFUNCTION("""COMPUTED_VALUE"""),35985.0)</f>
        <v>35985</v>
      </c>
      <c r="D178" t="str">
        <f>IFERROR(__xludf.DUMMYFUNCTION("""COMPUTED_VALUE"""),"-")</f>
        <v>-</v>
      </c>
      <c r="E178" t="str">
        <f>IFERROR(__xludf.DUMMYFUNCTION("""COMPUTED_VALUE"""),"-")</f>
        <v>-</v>
      </c>
      <c r="F178" t="str">
        <f>IFERROR(__xludf.DUMMYFUNCTION("""COMPUTED_VALUE"""),"-")</f>
        <v>-</v>
      </c>
      <c r="G178" t="str">
        <f>IFERROR(__xludf.DUMMYFUNCTION("""COMPUTED_VALUE"""),"-")</f>
        <v>-</v>
      </c>
      <c r="H178" t="str">
        <f>IFERROR(__xludf.DUMMYFUNCTION("""COMPUTED_VALUE"""),"-")</f>
        <v>-</v>
      </c>
      <c r="I178" t="str">
        <f>IFERROR(__xludf.DUMMYFUNCTION("""COMPUTED_VALUE"""),"-")</f>
        <v>-</v>
      </c>
      <c r="J178" t="str">
        <f>IFERROR(__xludf.DUMMYFUNCTION("""COMPUTED_VALUE"""),"-")</f>
        <v>-</v>
      </c>
      <c r="K178" t="str">
        <f>IFERROR(__xludf.DUMMYFUNCTION("""COMPUTED_VALUE"""),"-")</f>
        <v>-</v>
      </c>
      <c r="L178" t="str">
        <f>IFERROR(__xludf.DUMMYFUNCTION("""COMPUTED_VALUE"""),"-")</f>
        <v>-</v>
      </c>
      <c r="M178" t="str">
        <f>IFERROR(__xludf.DUMMYFUNCTION("""COMPUTED_VALUE"""),"-")</f>
        <v>-</v>
      </c>
      <c r="O178" t="str">
        <f>IFERROR(__xludf.DUMMYFUNCTION("""COMPUTED_VALUE"""),"#177")</f>
        <v>#177</v>
      </c>
      <c r="P178" t="str">
        <f>IFERROR(__xludf.DUMMYFUNCTION("""COMPUTED_VALUE"""),"Elisabeth Guigou")</f>
        <v>Elisabeth Guigou</v>
      </c>
      <c r="Q178">
        <f>IFERROR(__xludf.DUMMYFUNCTION("""COMPUTED_VALUE"""),35985.0)</f>
        <v>35985</v>
      </c>
      <c r="R178" t="str">
        <f>IFERROR(__xludf.DUMMYFUNCTION("""COMPUTED_VALUE"""),"-")</f>
        <v>-</v>
      </c>
      <c r="S178" t="str">
        <f>IFERROR(__xludf.DUMMYFUNCTION("""COMPUTED_VALUE"""),"-")</f>
        <v>-</v>
      </c>
      <c r="T178" t="str">
        <f>IFERROR(__xludf.DUMMYFUNCTION("""COMPUTED_VALUE"""),"-")</f>
        <v>-</v>
      </c>
      <c r="U178" t="str">
        <f>IFERROR(__xludf.DUMMYFUNCTION("""COMPUTED_VALUE"""),"-")</f>
        <v>-</v>
      </c>
      <c r="V178" t="str">
        <f>IFERROR(__xludf.DUMMYFUNCTION("""COMPUTED_VALUE"""),"-")</f>
        <v>-</v>
      </c>
      <c r="W178" t="str">
        <f>IFERROR(__xludf.DUMMYFUNCTION("""COMPUTED_VALUE"""),"-")</f>
        <v>-</v>
      </c>
      <c r="X178" t="str">
        <f>IFERROR(__xludf.DUMMYFUNCTION("""COMPUTED_VALUE"""),"-")</f>
        <v>-</v>
      </c>
      <c r="Y178" t="str">
        <f>IFERROR(__xludf.DUMMYFUNCTION("""COMPUTED_VALUE"""),"-")</f>
        <v>-</v>
      </c>
      <c r="Z178" t="str">
        <f>IFERROR(__xludf.DUMMYFUNCTION("""COMPUTED_VALUE"""),"-")</f>
        <v>-</v>
      </c>
      <c r="AA178" t="str">
        <f>IFERROR(__xludf.DUMMYFUNCTION("""COMPUTED_VALUE"""),"-")</f>
        <v>-</v>
      </c>
    </row>
    <row r="179">
      <c r="A179" t="str">
        <f>IFERROR(__xludf.DUMMYFUNCTION("""COMPUTED_VALUE"""),"#178")</f>
        <v>#178</v>
      </c>
      <c r="B179" t="str">
        <f>IFERROR(__xludf.DUMMYFUNCTION("""COMPUTED_VALUE"""),"Loïc Prud'homme")</f>
        <v>Loïc Prud'homme</v>
      </c>
      <c r="C179">
        <f>IFERROR(__xludf.DUMMYFUNCTION("""COMPUTED_VALUE"""),35799.0)</f>
        <v>35799</v>
      </c>
      <c r="D179" t="str">
        <f>IFERROR(__xludf.DUMMYFUNCTION("""COMPUTED_VALUE"""),"-")</f>
        <v>-</v>
      </c>
      <c r="E179" t="str">
        <f>IFERROR(__xludf.DUMMYFUNCTION("""COMPUTED_VALUE"""),"-")</f>
        <v>-</v>
      </c>
      <c r="F179" t="str">
        <f>IFERROR(__xludf.DUMMYFUNCTION("""COMPUTED_VALUE"""),"-")</f>
        <v>-</v>
      </c>
      <c r="G179" t="str">
        <f>IFERROR(__xludf.DUMMYFUNCTION("""COMPUTED_VALUE"""),"-")</f>
        <v>-</v>
      </c>
      <c r="H179" t="str">
        <f>IFERROR(__xludf.DUMMYFUNCTION("""COMPUTED_VALUE"""),"-")</f>
        <v>-</v>
      </c>
      <c r="I179" t="str">
        <f>IFERROR(__xludf.DUMMYFUNCTION("""COMPUTED_VALUE"""),"-")</f>
        <v>-</v>
      </c>
      <c r="J179" t="str">
        <f>IFERROR(__xludf.DUMMYFUNCTION("""COMPUTED_VALUE"""),"-")</f>
        <v>-</v>
      </c>
      <c r="K179" t="str">
        <f>IFERROR(__xludf.DUMMYFUNCTION("""COMPUTED_VALUE"""),"-")</f>
        <v>-</v>
      </c>
      <c r="L179" t="str">
        <f>IFERROR(__xludf.DUMMYFUNCTION("""COMPUTED_VALUE"""),"-")</f>
        <v>-</v>
      </c>
      <c r="M179" t="str">
        <f>IFERROR(__xludf.DUMMYFUNCTION("""COMPUTED_VALUE"""),"-")</f>
        <v>-</v>
      </c>
      <c r="O179" t="str">
        <f>IFERROR(__xludf.DUMMYFUNCTION("""COMPUTED_VALUE"""),"#178")</f>
        <v>#178</v>
      </c>
      <c r="P179" t="str">
        <f>IFERROR(__xludf.DUMMYFUNCTION("""COMPUTED_VALUE"""),"Loïc Prud'homme")</f>
        <v>Loïc Prud'homme</v>
      </c>
      <c r="Q179">
        <f>IFERROR(__xludf.DUMMYFUNCTION("""COMPUTED_VALUE"""),35799.0)</f>
        <v>35799</v>
      </c>
      <c r="R179" t="str">
        <f>IFERROR(__xludf.DUMMYFUNCTION("""COMPUTED_VALUE"""),"-")</f>
        <v>-</v>
      </c>
      <c r="S179" t="str">
        <f>IFERROR(__xludf.DUMMYFUNCTION("""COMPUTED_VALUE"""),"-")</f>
        <v>-</v>
      </c>
      <c r="T179" t="str">
        <f>IFERROR(__xludf.DUMMYFUNCTION("""COMPUTED_VALUE"""),"-")</f>
        <v>-</v>
      </c>
      <c r="U179" t="str">
        <f>IFERROR(__xludf.DUMMYFUNCTION("""COMPUTED_VALUE"""),"-")</f>
        <v>-</v>
      </c>
      <c r="V179" t="str">
        <f>IFERROR(__xludf.DUMMYFUNCTION("""COMPUTED_VALUE"""),"-")</f>
        <v>-</v>
      </c>
      <c r="W179" t="str">
        <f>IFERROR(__xludf.DUMMYFUNCTION("""COMPUTED_VALUE"""),"-")</f>
        <v>-</v>
      </c>
      <c r="X179" t="str">
        <f>IFERROR(__xludf.DUMMYFUNCTION("""COMPUTED_VALUE"""),"-")</f>
        <v>-</v>
      </c>
      <c r="Y179" t="str">
        <f>IFERROR(__xludf.DUMMYFUNCTION("""COMPUTED_VALUE"""),"-")</f>
        <v>-</v>
      </c>
      <c r="Z179" t="str">
        <f>IFERROR(__xludf.DUMMYFUNCTION("""COMPUTED_VALUE"""),"-")</f>
        <v>-</v>
      </c>
      <c r="AA179" t="str">
        <f>IFERROR(__xludf.DUMMYFUNCTION("""COMPUTED_VALUE"""),"-")</f>
        <v>-</v>
      </c>
    </row>
    <row r="180">
      <c r="A180" t="str">
        <f>IFERROR(__xludf.DUMMYFUNCTION("""COMPUTED_VALUE"""),"#179")</f>
        <v>#179</v>
      </c>
      <c r="B180" t="str">
        <f>IFERROR(__xludf.DUMMYFUNCTION("""COMPUTED_VALUE"""),"Patrick Kanner")</f>
        <v>Patrick Kanner</v>
      </c>
      <c r="C180">
        <f>IFERROR(__xludf.DUMMYFUNCTION("""COMPUTED_VALUE"""),35798.0)</f>
        <v>35798</v>
      </c>
      <c r="D180" t="str">
        <f>IFERROR(__xludf.DUMMYFUNCTION("""COMPUTED_VALUE"""),"-")</f>
        <v>-</v>
      </c>
      <c r="E180" t="str">
        <f>IFERROR(__xludf.DUMMYFUNCTION("""COMPUTED_VALUE"""),"-")</f>
        <v>-</v>
      </c>
      <c r="F180" t="str">
        <f>IFERROR(__xludf.DUMMYFUNCTION("""COMPUTED_VALUE"""),"-")</f>
        <v>-</v>
      </c>
      <c r="G180" t="str">
        <f>IFERROR(__xludf.DUMMYFUNCTION("""COMPUTED_VALUE"""),"-")</f>
        <v>-</v>
      </c>
      <c r="H180" t="str">
        <f>IFERROR(__xludf.DUMMYFUNCTION("""COMPUTED_VALUE"""),"-")</f>
        <v>-</v>
      </c>
      <c r="I180" t="str">
        <f>IFERROR(__xludf.DUMMYFUNCTION("""COMPUTED_VALUE"""),"-")</f>
        <v>-</v>
      </c>
      <c r="J180" t="str">
        <f>IFERROR(__xludf.DUMMYFUNCTION("""COMPUTED_VALUE"""),"-")</f>
        <v>-</v>
      </c>
      <c r="K180" t="str">
        <f>IFERROR(__xludf.DUMMYFUNCTION("""COMPUTED_VALUE"""),"-")</f>
        <v>-</v>
      </c>
      <c r="L180" t="str">
        <f>IFERROR(__xludf.DUMMYFUNCTION("""COMPUTED_VALUE"""),"-")</f>
        <v>-</v>
      </c>
      <c r="M180" t="str">
        <f>IFERROR(__xludf.DUMMYFUNCTION("""COMPUTED_VALUE"""),"-")</f>
        <v>-</v>
      </c>
      <c r="O180" t="str">
        <f>IFERROR(__xludf.DUMMYFUNCTION("""COMPUTED_VALUE"""),"#179")</f>
        <v>#179</v>
      </c>
      <c r="P180" t="str">
        <f>IFERROR(__xludf.DUMMYFUNCTION("""COMPUTED_VALUE"""),"Patrick Kanner")</f>
        <v>Patrick Kanner</v>
      </c>
      <c r="Q180">
        <f>IFERROR(__xludf.DUMMYFUNCTION("""COMPUTED_VALUE"""),35798.0)</f>
        <v>35798</v>
      </c>
      <c r="R180" t="str">
        <f>IFERROR(__xludf.DUMMYFUNCTION("""COMPUTED_VALUE"""),"-")</f>
        <v>-</v>
      </c>
      <c r="S180" t="str">
        <f>IFERROR(__xludf.DUMMYFUNCTION("""COMPUTED_VALUE"""),"-")</f>
        <v>-</v>
      </c>
      <c r="T180" t="str">
        <f>IFERROR(__xludf.DUMMYFUNCTION("""COMPUTED_VALUE"""),"-")</f>
        <v>-</v>
      </c>
      <c r="U180" t="str">
        <f>IFERROR(__xludf.DUMMYFUNCTION("""COMPUTED_VALUE"""),"-")</f>
        <v>-</v>
      </c>
      <c r="V180" t="str">
        <f>IFERROR(__xludf.DUMMYFUNCTION("""COMPUTED_VALUE"""),"-")</f>
        <v>-</v>
      </c>
      <c r="W180" t="str">
        <f>IFERROR(__xludf.DUMMYFUNCTION("""COMPUTED_VALUE"""),"-")</f>
        <v>-</v>
      </c>
      <c r="X180" t="str">
        <f>IFERROR(__xludf.DUMMYFUNCTION("""COMPUTED_VALUE"""),"-")</f>
        <v>-</v>
      </c>
      <c r="Y180" t="str">
        <f>IFERROR(__xludf.DUMMYFUNCTION("""COMPUTED_VALUE"""),"-")</f>
        <v>-</v>
      </c>
      <c r="Z180" t="str">
        <f>IFERROR(__xludf.DUMMYFUNCTION("""COMPUTED_VALUE"""),"-")</f>
        <v>-</v>
      </c>
      <c r="AA180" t="str">
        <f>IFERROR(__xludf.DUMMYFUNCTION("""COMPUTED_VALUE"""),"-")</f>
        <v>-</v>
      </c>
    </row>
    <row r="181">
      <c r="A181" t="str">
        <f>IFERROR(__xludf.DUMMYFUNCTION("""COMPUTED_VALUE"""),"#180")</f>
        <v>#180</v>
      </c>
      <c r="B181" t="str">
        <f>IFERROR(__xludf.DUMMYFUNCTION("""COMPUTED_VALUE"""),"Nathalie Arthaud")</f>
        <v>Nathalie Arthaud</v>
      </c>
      <c r="C181">
        <f>IFERROR(__xludf.DUMMYFUNCTION("""COMPUTED_VALUE"""),35586.0)</f>
        <v>35586</v>
      </c>
      <c r="D181" t="str">
        <f>IFERROR(__xludf.DUMMYFUNCTION("""COMPUTED_VALUE"""),"-")</f>
        <v>-</v>
      </c>
      <c r="E181" t="str">
        <f>IFERROR(__xludf.DUMMYFUNCTION("""COMPUTED_VALUE"""),"-")</f>
        <v>-</v>
      </c>
      <c r="F181" t="str">
        <f>IFERROR(__xludf.DUMMYFUNCTION("""COMPUTED_VALUE"""),"-")</f>
        <v>-</v>
      </c>
      <c r="G181" t="str">
        <f>IFERROR(__xludf.DUMMYFUNCTION("""COMPUTED_VALUE"""),"-")</f>
        <v>-</v>
      </c>
      <c r="H181" t="str">
        <f>IFERROR(__xludf.DUMMYFUNCTION("""COMPUTED_VALUE"""),"-")</f>
        <v>-</v>
      </c>
      <c r="I181" t="str">
        <f>IFERROR(__xludf.DUMMYFUNCTION("""COMPUTED_VALUE"""),"-")</f>
        <v>-</v>
      </c>
      <c r="J181" t="str">
        <f>IFERROR(__xludf.DUMMYFUNCTION("""COMPUTED_VALUE"""),"-")</f>
        <v>-</v>
      </c>
      <c r="K181" t="str">
        <f>IFERROR(__xludf.DUMMYFUNCTION("""COMPUTED_VALUE"""),"-")</f>
        <v>-</v>
      </c>
      <c r="L181" t="str">
        <f>IFERROR(__xludf.DUMMYFUNCTION("""COMPUTED_VALUE"""),"-")</f>
        <v>-</v>
      </c>
      <c r="M181" t="str">
        <f>IFERROR(__xludf.DUMMYFUNCTION("""COMPUTED_VALUE"""),"-")</f>
        <v>-</v>
      </c>
      <c r="O181" t="str">
        <f>IFERROR(__xludf.DUMMYFUNCTION("""COMPUTED_VALUE"""),"#180")</f>
        <v>#180</v>
      </c>
      <c r="P181" t="str">
        <f>IFERROR(__xludf.DUMMYFUNCTION("""COMPUTED_VALUE"""),"Nathalie Arthaud")</f>
        <v>Nathalie Arthaud</v>
      </c>
      <c r="Q181">
        <f>IFERROR(__xludf.DUMMYFUNCTION("""COMPUTED_VALUE"""),35586.0)</f>
        <v>35586</v>
      </c>
      <c r="R181" t="str">
        <f>IFERROR(__xludf.DUMMYFUNCTION("""COMPUTED_VALUE"""),"-")</f>
        <v>-</v>
      </c>
      <c r="S181" t="str">
        <f>IFERROR(__xludf.DUMMYFUNCTION("""COMPUTED_VALUE"""),"-")</f>
        <v>-</v>
      </c>
      <c r="T181" t="str">
        <f>IFERROR(__xludf.DUMMYFUNCTION("""COMPUTED_VALUE"""),"-")</f>
        <v>-</v>
      </c>
      <c r="U181" t="str">
        <f>IFERROR(__xludf.DUMMYFUNCTION("""COMPUTED_VALUE"""),"-")</f>
        <v>-</v>
      </c>
      <c r="V181" t="str">
        <f>IFERROR(__xludf.DUMMYFUNCTION("""COMPUTED_VALUE"""),"-")</f>
        <v>-</v>
      </c>
      <c r="W181" t="str">
        <f>IFERROR(__xludf.DUMMYFUNCTION("""COMPUTED_VALUE"""),"-")</f>
        <v>-</v>
      </c>
      <c r="X181" t="str">
        <f>IFERROR(__xludf.DUMMYFUNCTION("""COMPUTED_VALUE"""),"-")</f>
        <v>-</v>
      </c>
      <c r="Y181" t="str">
        <f>IFERROR(__xludf.DUMMYFUNCTION("""COMPUTED_VALUE"""),"-")</f>
        <v>-</v>
      </c>
      <c r="Z181" t="str">
        <f>IFERROR(__xludf.DUMMYFUNCTION("""COMPUTED_VALUE"""),"-")</f>
        <v>-</v>
      </c>
      <c r="AA181" t="str">
        <f>IFERROR(__xludf.DUMMYFUNCTION("""COMPUTED_VALUE"""),"-")</f>
        <v>-</v>
      </c>
    </row>
    <row r="182">
      <c r="A182" t="str">
        <f>IFERROR(__xludf.DUMMYFUNCTION("""COMPUTED_VALUE"""),"#181")</f>
        <v>#181</v>
      </c>
      <c r="B182" t="str">
        <f>IFERROR(__xludf.DUMMYFUNCTION("""COMPUTED_VALUE"""),"Hélène Laporte")</f>
        <v>Hélène Laporte</v>
      </c>
      <c r="C182">
        <f>IFERROR(__xludf.DUMMYFUNCTION("""COMPUTED_VALUE"""),35492.0)</f>
        <v>35492</v>
      </c>
      <c r="D182" t="str">
        <f>IFERROR(__xludf.DUMMYFUNCTION("""COMPUTED_VALUE"""),"-")</f>
        <v>-</v>
      </c>
      <c r="E182" t="str">
        <f>IFERROR(__xludf.DUMMYFUNCTION("""COMPUTED_VALUE"""),"-")</f>
        <v>-</v>
      </c>
      <c r="F182" t="str">
        <f>IFERROR(__xludf.DUMMYFUNCTION("""COMPUTED_VALUE"""),"-")</f>
        <v>-</v>
      </c>
      <c r="G182" t="str">
        <f>IFERROR(__xludf.DUMMYFUNCTION("""COMPUTED_VALUE"""),"-")</f>
        <v>-</v>
      </c>
      <c r="H182" t="str">
        <f>IFERROR(__xludf.DUMMYFUNCTION("""COMPUTED_VALUE"""),"-")</f>
        <v>-</v>
      </c>
      <c r="I182" t="str">
        <f>IFERROR(__xludf.DUMMYFUNCTION("""COMPUTED_VALUE"""),"-")</f>
        <v>-</v>
      </c>
      <c r="J182" t="str">
        <f>IFERROR(__xludf.DUMMYFUNCTION("""COMPUTED_VALUE"""),"-")</f>
        <v>-</v>
      </c>
      <c r="K182" t="str">
        <f>IFERROR(__xludf.DUMMYFUNCTION("""COMPUTED_VALUE"""),"-")</f>
        <v>-</v>
      </c>
      <c r="L182" t="str">
        <f>IFERROR(__xludf.DUMMYFUNCTION("""COMPUTED_VALUE"""),"-")</f>
        <v>-</v>
      </c>
      <c r="M182" t="str">
        <f>IFERROR(__xludf.DUMMYFUNCTION("""COMPUTED_VALUE"""),"-")</f>
        <v>-</v>
      </c>
      <c r="O182" t="str">
        <f>IFERROR(__xludf.DUMMYFUNCTION("""COMPUTED_VALUE"""),"#181")</f>
        <v>#181</v>
      </c>
      <c r="P182" t="str">
        <f>IFERROR(__xludf.DUMMYFUNCTION("""COMPUTED_VALUE"""),"Hélène Laporte")</f>
        <v>Hélène Laporte</v>
      </c>
      <c r="Q182">
        <f>IFERROR(__xludf.DUMMYFUNCTION("""COMPUTED_VALUE"""),35492.0)</f>
        <v>35492</v>
      </c>
      <c r="R182" t="str">
        <f>IFERROR(__xludf.DUMMYFUNCTION("""COMPUTED_VALUE"""),"-")</f>
        <v>-</v>
      </c>
      <c r="S182" t="str">
        <f>IFERROR(__xludf.DUMMYFUNCTION("""COMPUTED_VALUE"""),"-")</f>
        <v>-</v>
      </c>
      <c r="T182" t="str">
        <f>IFERROR(__xludf.DUMMYFUNCTION("""COMPUTED_VALUE"""),"-")</f>
        <v>-</v>
      </c>
      <c r="U182" t="str">
        <f>IFERROR(__xludf.DUMMYFUNCTION("""COMPUTED_VALUE"""),"-")</f>
        <v>-</v>
      </c>
      <c r="V182" t="str">
        <f>IFERROR(__xludf.DUMMYFUNCTION("""COMPUTED_VALUE"""),"-")</f>
        <v>-</v>
      </c>
      <c r="W182" t="str">
        <f>IFERROR(__xludf.DUMMYFUNCTION("""COMPUTED_VALUE"""),"-")</f>
        <v>-</v>
      </c>
      <c r="X182" t="str">
        <f>IFERROR(__xludf.DUMMYFUNCTION("""COMPUTED_VALUE"""),"-")</f>
        <v>-</v>
      </c>
      <c r="Y182" t="str">
        <f>IFERROR(__xludf.DUMMYFUNCTION("""COMPUTED_VALUE"""),"-")</f>
        <v>-</v>
      </c>
      <c r="Z182" t="str">
        <f>IFERROR(__xludf.DUMMYFUNCTION("""COMPUTED_VALUE"""),"-")</f>
        <v>-</v>
      </c>
      <c r="AA182" t="str">
        <f>IFERROR(__xludf.DUMMYFUNCTION("""COMPUTED_VALUE"""),"-")</f>
        <v>-</v>
      </c>
    </row>
    <row r="183">
      <c r="A183" t="str">
        <f>IFERROR(__xludf.DUMMYFUNCTION("""COMPUTED_VALUE"""),"#182")</f>
        <v>#182</v>
      </c>
      <c r="B183" t="str">
        <f>IFERROR(__xludf.DUMMYFUNCTION("""COMPUTED_VALUE"""),"Sylvain Maillard")</f>
        <v>Sylvain Maillard</v>
      </c>
      <c r="C183">
        <f>IFERROR(__xludf.DUMMYFUNCTION("""COMPUTED_VALUE"""),35260.0)</f>
        <v>35260</v>
      </c>
      <c r="D183" t="str">
        <f>IFERROR(__xludf.DUMMYFUNCTION("""COMPUTED_VALUE"""),"-")</f>
        <v>-</v>
      </c>
      <c r="E183" t="str">
        <f>IFERROR(__xludf.DUMMYFUNCTION("""COMPUTED_VALUE"""),"-")</f>
        <v>-</v>
      </c>
      <c r="F183" t="str">
        <f>IFERROR(__xludf.DUMMYFUNCTION("""COMPUTED_VALUE"""),"-")</f>
        <v>-</v>
      </c>
      <c r="G183" t="str">
        <f>IFERROR(__xludf.DUMMYFUNCTION("""COMPUTED_VALUE"""),"-")</f>
        <v>-</v>
      </c>
      <c r="H183" t="str">
        <f>IFERROR(__xludf.DUMMYFUNCTION("""COMPUTED_VALUE"""),"-")</f>
        <v>-</v>
      </c>
      <c r="I183" t="str">
        <f>IFERROR(__xludf.DUMMYFUNCTION("""COMPUTED_VALUE"""),"-")</f>
        <v>-</v>
      </c>
      <c r="J183" t="str">
        <f>IFERROR(__xludf.DUMMYFUNCTION("""COMPUTED_VALUE"""),"-")</f>
        <v>-</v>
      </c>
      <c r="K183" t="str">
        <f>IFERROR(__xludf.DUMMYFUNCTION("""COMPUTED_VALUE"""),"-")</f>
        <v>-</v>
      </c>
      <c r="L183" t="str">
        <f>IFERROR(__xludf.DUMMYFUNCTION("""COMPUTED_VALUE"""),"-")</f>
        <v>-</v>
      </c>
      <c r="M183" t="str">
        <f>IFERROR(__xludf.DUMMYFUNCTION("""COMPUTED_VALUE"""),"-")</f>
        <v>-</v>
      </c>
      <c r="O183" t="str">
        <f>IFERROR(__xludf.DUMMYFUNCTION("""COMPUTED_VALUE"""),"#182")</f>
        <v>#182</v>
      </c>
      <c r="P183" t="str">
        <f>IFERROR(__xludf.DUMMYFUNCTION("""COMPUTED_VALUE"""),"Sylvain Maillard")</f>
        <v>Sylvain Maillard</v>
      </c>
      <c r="Q183">
        <f>IFERROR(__xludf.DUMMYFUNCTION("""COMPUTED_VALUE"""),35260.0)</f>
        <v>35260</v>
      </c>
      <c r="R183" t="str">
        <f>IFERROR(__xludf.DUMMYFUNCTION("""COMPUTED_VALUE"""),"-")</f>
        <v>-</v>
      </c>
      <c r="S183" t="str">
        <f>IFERROR(__xludf.DUMMYFUNCTION("""COMPUTED_VALUE"""),"-")</f>
        <v>-</v>
      </c>
      <c r="T183" t="str">
        <f>IFERROR(__xludf.DUMMYFUNCTION("""COMPUTED_VALUE"""),"-")</f>
        <v>-</v>
      </c>
      <c r="U183" t="str">
        <f>IFERROR(__xludf.DUMMYFUNCTION("""COMPUTED_VALUE"""),"-")</f>
        <v>-</v>
      </c>
      <c r="V183" t="str">
        <f>IFERROR(__xludf.DUMMYFUNCTION("""COMPUTED_VALUE"""),"-")</f>
        <v>-</v>
      </c>
      <c r="W183" t="str">
        <f>IFERROR(__xludf.DUMMYFUNCTION("""COMPUTED_VALUE"""),"-")</f>
        <v>-</v>
      </c>
      <c r="X183" t="str">
        <f>IFERROR(__xludf.DUMMYFUNCTION("""COMPUTED_VALUE"""),"-")</f>
        <v>-</v>
      </c>
      <c r="Y183" t="str">
        <f>IFERROR(__xludf.DUMMYFUNCTION("""COMPUTED_VALUE"""),"-")</f>
        <v>-</v>
      </c>
      <c r="Z183" t="str">
        <f>IFERROR(__xludf.DUMMYFUNCTION("""COMPUTED_VALUE"""),"-")</f>
        <v>-</v>
      </c>
      <c r="AA183" t="str">
        <f>IFERROR(__xludf.DUMMYFUNCTION("""COMPUTED_VALUE"""),"-")</f>
        <v>-</v>
      </c>
    </row>
    <row r="184">
      <c r="A184" t="str">
        <f>IFERROR(__xludf.DUMMYFUNCTION("""COMPUTED_VALUE"""),"#183")</f>
        <v>#183</v>
      </c>
      <c r="B184" t="str">
        <f>IFERROR(__xludf.DUMMYFUNCTION("""COMPUTED_VALUE"""),"Karl Olive")</f>
        <v>Karl Olive</v>
      </c>
      <c r="C184">
        <f>IFERROR(__xludf.DUMMYFUNCTION("""COMPUTED_VALUE"""),35172.0)</f>
        <v>35172</v>
      </c>
      <c r="D184" t="str">
        <f>IFERROR(__xludf.DUMMYFUNCTION("""COMPUTED_VALUE"""),"-")</f>
        <v>-</v>
      </c>
      <c r="E184" t="str">
        <f>IFERROR(__xludf.DUMMYFUNCTION("""COMPUTED_VALUE"""),"-")</f>
        <v>-</v>
      </c>
      <c r="F184" t="str">
        <f>IFERROR(__xludf.DUMMYFUNCTION("""COMPUTED_VALUE"""),"-")</f>
        <v>-</v>
      </c>
      <c r="G184" t="str">
        <f>IFERROR(__xludf.DUMMYFUNCTION("""COMPUTED_VALUE"""),"-")</f>
        <v>-</v>
      </c>
      <c r="H184" t="str">
        <f>IFERROR(__xludf.DUMMYFUNCTION("""COMPUTED_VALUE"""),"-")</f>
        <v>-</v>
      </c>
      <c r="I184" t="str">
        <f>IFERROR(__xludf.DUMMYFUNCTION("""COMPUTED_VALUE"""),"-")</f>
        <v>-</v>
      </c>
      <c r="J184" t="str">
        <f>IFERROR(__xludf.DUMMYFUNCTION("""COMPUTED_VALUE"""),"-")</f>
        <v>-</v>
      </c>
      <c r="K184" t="str">
        <f>IFERROR(__xludf.DUMMYFUNCTION("""COMPUTED_VALUE"""),"-")</f>
        <v>-</v>
      </c>
      <c r="L184" t="str">
        <f>IFERROR(__xludf.DUMMYFUNCTION("""COMPUTED_VALUE"""),"-")</f>
        <v>-</v>
      </c>
      <c r="M184" t="str">
        <f>IFERROR(__xludf.DUMMYFUNCTION("""COMPUTED_VALUE"""),"-")</f>
        <v>-</v>
      </c>
      <c r="O184" t="str">
        <f>IFERROR(__xludf.DUMMYFUNCTION("""COMPUTED_VALUE"""),"#183")</f>
        <v>#183</v>
      </c>
      <c r="P184" t="str">
        <f>IFERROR(__xludf.DUMMYFUNCTION("""COMPUTED_VALUE"""),"Karl Olive")</f>
        <v>Karl Olive</v>
      </c>
      <c r="Q184">
        <f>IFERROR(__xludf.DUMMYFUNCTION("""COMPUTED_VALUE"""),35172.0)</f>
        <v>35172</v>
      </c>
      <c r="R184" t="str">
        <f>IFERROR(__xludf.DUMMYFUNCTION("""COMPUTED_VALUE"""),"-")</f>
        <v>-</v>
      </c>
      <c r="S184" t="str">
        <f>IFERROR(__xludf.DUMMYFUNCTION("""COMPUTED_VALUE"""),"-")</f>
        <v>-</v>
      </c>
      <c r="T184" t="str">
        <f>IFERROR(__xludf.DUMMYFUNCTION("""COMPUTED_VALUE"""),"-")</f>
        <v>-</v>
      </c>
      <c r="U184" t="str">
        <f>IFERROR(__xludf.DUMMYFUNCTION("""COMPUTED_VALUE"""),"-")</f>
        <v>-</v>
      </c>
      <c r="V184" t="str">
        <f>IFERROR(__xludf.DUMMYFUNCTION("""COMPUTED_VALUE"""),"-")</f>
        <v>-</v>
      </c>
      <c r="W184" t="str">
        <f>IFERROR(__xludf.DUMMYFUNCTION("""COMPUTED_VALUE"""),"-")</f>
        <v>-</v>
      </c>
      <c r="X184" t="str">
        <f>IFERROR(__xludf.DUMMYFUNCTION("""COMPUTED_VALUE"""),"-")</f>
        <v>-</v>
      </c>
      <c r="Y184" t="str">
        <f>IFERROR(__xludf.DUMMYFUNCTION("""COMPUTED_VALUE"""),"-")</f>
        <v>-</v>
      </c>
      <c r="Z184" t="str">
        <f>IFERROR(__xludf.DUMMYFUNCTION("""COMPUTED_VALUE"""),"-")</f>
        <v>-</v>
      </c>
      <c r="AA184" t="str">
        <f>IFERROR(__xludf.DUMMYFUNCTION("""COMPUTED_VALUE"""),"-")</f>
        <v>-</v>
      </c>
    </row>
    <row r="185">
      <c r="A185" t="str">
        <f>IFERROR(__xludf.DUMMYFUNCTION("""COMPUTED_VALUE"""),"#184")</f>
        <v>#184</v>
      </c>
      <c r="B185" t="str">
        <f>IFERROR(__xludf.DUMMYFUNCTION("""COMPUTED_VALUE"""),"Jean-Lin Lacapelle")</f>
        <v>Jean-Lin Lacapelle</v>
      </c>
      <c r="C185">
        <f>IFERROR(__xludf.DUMMYFUNCTION("""COMPUTED_VALUE"""),34381.0)</f>
        <v>34381</v>
      </c>
      <c r="D185" t="str">
        <f>IFERROR(__xludf.DUMMYFUNCTION("""COMPUTED_VALUE"""),"-")</f>
        <v>-</v>
      </c>
      <c r="E185" t="str">
        <f>IFERROR(__xludf.DUMMYFUNCTION("""COMPUTED_VALUE"""),"-")</f>
        <v>-</v>
      </c>
      <c r="F185" t="str">
        <f>IFERROR(__xludf.DUMMYFUNCTION("""COMPUTED_VALUE"""),"-")</f>
        <v>-</v>
      </c>
      <c r="G185" t="str">
        <f>IFERROR(__xludf.DUMMYFUNCTION("""COMPUTED_VALUE"""),"-")</f>
        <v>-</v>
      </c>
      <c r="H185" t="str">
        <f>IFERROR(__xludf.DUMMYFUNCTION("""COMPUTED_VALUE"""),"-")</f>
        <v>-</v>
      </c>
      <c r="I185" t="str">
        <f>IFERROR(__xludf.DUMMYFUNCTION("""COMPUTED_VALUE"""),"-")</f>
        <v>-</v>
      </c>
      <c r="J185" t="str">
        <f>IFERROR(__xludf.DUMMYFUNCTION("""COMPUTED_VALUE"""),"-")</f>
        <v>-</v>
      </c>
      <c r="K185" t="str">
        <f>IFERROR(__xludf.DUMMYFUNCTION("""COMPUTED_VALUE"""),"-")</f>
        <v>-</v>
      </c>
      <c r="L185" t="str">
        <f>IFERROR(__xludf.DUMMYFUNCTION("""COMPUTED_VALUE"""),"-")</f>
        <v>-</v>
      </c>
      <c r="M185" t="str">
        <f>IFERROR(__xludf.DUMMYFUNCTION("""COMPUTED_VALUE"""),"-")</f>
        <v>-</v>
      </c>
      <c r="O185" t="str">
        <f>IFERROR(__xludf.DUMMYFUNCTION("""COMPUTED_VALUE"""),"#184")</f>
        <v>#184</v>
      </c>
      <c r="P185" t="str">
        <f>IFERROR(__xludf.DUMMYFUNCTION("""COMPUTED_VALUE"""),"Jean-Lin Lacapelle")</f>
        <v>Jean-Lin Lacapelle</v>
      </c>
      <c r="Q185">
        <f>IFERROR(__xludf.DUMMYFUNCTION("""COMPUTED_VALUE"""),34381.0)</f>
        <v>34381</v>
      </c>
      <c r="R185" t="str">
        <f>IFERROR(__xludf.DUMMYFUNCTION("""COMPUTED_VALUE"""),"-")</f>
        <v>-</v>
      </c>
      <c r="S185" t="str">
        <f>IFERROR(__xludf.DUMMYFUNCTION("""COMPUTED_VALUE"""),"-")</f>
        <v>-</v>
      </c>
      <c r="T185" t="str">
        <f>IFERROR(__xludf.DUMMYFUNCTION("""COMPUTED_VALUE"""),"-")</f>
        <v>-</v>
      </c>
      <c r="U185" t="str">
        <f>IFERROR(__xludf.DUMMYFUNCTION("""COMPUTED_VALUE"""),"-")</f>
        <v>-</v>
      </c>
      <c r="V185" t="str">
        <f>IFERROR(__xludf.DUMMYFUNCTION("""COMPUTED_VALUE"""),"-")</f>
        <v>-</v>
      </c>
      <c r="W185" t="str">
        <f>IFERROR(__xludf.DUMMYFUNCTION("""COMPUTED_VALUE"""),"-")</f>
        <v>-</v>
      </c>
      <c r="X185" t="str">
        <f>IFERROR(__xludf.DUMMYFUNCTION("""COMPUTED_VALUE"""),"-")</f>
        <v>-</v>
      </c>
      <c r="Y185" t="str">
        <f>IFERROR(__xludf.DUMMYFUNCTION("""COMPUTED_VALUE"""),"-")</f>
        <v>-</v>
      </c>
      <c r="Z185" t="str">
        <f>IFERROR(__xludf.DUMMYFUNCTION("""COMPUTED_VALUE"""),"-")</f>
        <v>-</v>
      </c>
      <c r="AA185" t="str">
        <f>IFERROR(__xludf.DUMMYFUNCTION("""COMPUTED_VALUE"""),"-")</f>
        <v>-</v>
      </c>
    </row>
    <row r="186">
      <c r="A186" t="str">
        <f>IFERROR(__xludf.DUMMYFUNCTION("""COMPUTED_VALUE"""),"#185")</f>
        <v>#185</v>
      </c>
      <c r="B186" t="str">
        <f>IFERROR(__xludf.DUMMYFUNCTION("""COMPUTED_VALUE"""),"Annick Girardin")</f>
        <v>Annick Girardin</v>
      </c>
      <c r="C186">
        <f>IFERROR(__xludf.DUMMYFUNCTION("""COMPUTED_VALUE"""),34378.0)</f>
        <v>34378</v>
      </c>
      <c r="D186" t="str">
        <f>IFERROR(__xludf.DUMMYFUNCTION("""COMPUTED_VALUE"""),"-")</f>
        <v>-</v>
      </c>
      <c r="E186" t="str">
        <f>IFERROR(__xludf.DUMMYFUNCTION("""COMPUTED_VALUE"""),"-")</f>
        <v>-</v>
      </c>
      <c r="F186" t="str">
        <f>IFERROR(__xludf.DUMMYFUNCTION("""COMPUTED_VALUE"""),"-")</f>
        <v>-</v>
      </c>
      <c r="G186" t="str">
        <f>IFERROR(__xludf.DUMMYFUNCTION("""COMPUTED_VALUE"""),"-")</f>
        <v>-</v>
      </c>
      <c r="H186" t="str">
        <f>IFERROR(__xludf.DUMMYFUNCTION("""COMPUTED_VALUE"""),"-")</f>
        <v>-</v>
      </c>
      <c r="I186" t="str">
        <f>IFERROR(__xludf.DUMMYFUNCTION("""COMPUTED_VALUE"""),"-")</f>
        <v>-</v>
      </c>
      <c r="J186" t="str">
        <f>IFERROR(__xludf.DUMMYFUNCTION("""COMPUTED_VALUE"""),"-")</f>
        <v>-</v>
      </c>
      <c r="K186" t="str">
        <f>IFERROR(__xludf.DUMMYFUNCTION("""COMPUTED_VALUE"""),"-")</f>
        <v>-</v>
      </c>
      <c r="L186" t="str">
        <f>IFERROR(__xludf.DUMMYFUNCTION("""COMPUTED_VALUE"""),"-")</f>
        <v>-</v>
      </c>
      <c r="M186" t="str">
        <f>IFERROR(__xludf.DUMMYFUNCTION("""COMPUTED_VALUE"""),"-")</f>
        <v>-</v>
      </c>
      <c r="O186" t="str">
        <f>IFERROR(__xludf.DUMMYFUNCTION("""COMPUTED_VALUE"""),"#185")</f>
        <v>#185</v>
      </c>
      <c r="P186" t="str">
        <f>IFERROR(__xludf.DUMMYFUNCTION("""COMPUTED_VALUE"""),"Annick Girardin")</f>
        <v>Annick Girardin</v>
      </c>
      <c r="Q186">
        <f>IFERROR(__xludf.DUMMYFUNCTION("""COMPUTED_VALUE"""),34378.0)</f>
        <v>34378</v>
      </c>
      <c r="R186" t="str">
        <f>IFERROR(__xludf.DUMMYFUNCTION("""COMPUTED_VALUE"""),"-")</f>
        <v>-</v>
      </c>
      <c r="S186" t="str">
        <f>IFERROR(__xludf.DUMMYFUNCTION("""COMPUTED_VALUE"""),"-")</f>
        <v>-</v>
      </c>
      <c r="T186" t="str">
        <f>IFERROR(__xludf.DUMMYFUNCTION("""COMPUTED_VALUE"""),"-")</f>
        <v>-</v>
      </c>
      <c r="U186" t="str">
        <f>IFERROR(__xludf.DUMMYFUNCTION("""COMPUTED_VALUE"""),"-")</f>
        <v>-</v>
      </c>
      <c r="V186" t="str">
        <f>IFERROR(__xludf.DUMMYFUNCTION("""COMPUTED_VALUE"""),"-")</f>
        <v>-</v>
      </c>
      <c r="W186" t="str">
        <f>IFERROR(__xludf.DUMMYFUNCTION("""COMPUTED_VALUE"""),"-")</f>
        <v>-</v>
      </c>
      <c r="X186" t="str">
        <f>IFERROR(__xludf.DUMMYFUNCTION("""COMPUTED_VALUE"""),"-")</f>
        <v>-</v>
      </c>
      <c r="Y186" t="str">
        <f>IFERROR(__xludf.DUMMYFUNCTION("""COMPUTED_VALUE"""),"-")</f>
        <v>-</v>
      </c>
      <c r="Z186" t="str">
        <f>IFERROR(__xludf.DUMMYFUNCTION("""COMPUTED_VALUE"""),"-")</f>
        <v>-</v>
      </c>
      <c r="AA186" t="str">
        <f>IFERROR(__xludf.DUMMYFUNCTION("""COMPUTED_VALUE"""),"-")</f>
        <v>-</v>
      </c>
    </row>
    <row r="187">
      <c r="A187" t="str">
        <f>IFERROR(__xludf.DUMMYFUNCTION("""COMPUTED_VALUE"""),"#186")</f>
        <v>#186</v>
      </c>
      <c r="B187" t="str">
        <f>IFERROR(__xludf.DUMMYFUNCTION("""COMPUTED_VALUE"""),"Christophe Béchu")</f>
        <v>Christophe Béchu</v>
      </c>
      <c r="C187">
        <f>IFERROR(__xludf.DUMMYFUNCTION("""COMPUTED_VALUE"""),33662.0)</f>
        <v>33662</v>
      </c>
      <c r="D187" t="str">
        <f>IFERROR(__xludf.DUMMYFUNCTION("""COMPUTED_VALUE"""),"-")</f>
        <v>-</v>
      </c>
      <c r="E187" t="str">
        <f>IFERROR(__xludf.DUMMYFUNCTION("""COMPUTED_VALUE"""),"-")</f>
        <v>-</v>
      </c>
      <c r="F187" t="str">
        <f>IFERROR(__xludf.DUMMYFUNCTION("""COMPUTED_VALUE"""),"-")</f>
        <v>-</v>
      </c>
      <c r="G187" t="str">
        <f>IFERROR(__xludf.DUMMYFUNCTION("""COMPUTED_VALUE"""),"-")</f>
        <v>-</v>
      </c>
      <c r="H187" t="str">
        <f>IFERROR(__xludf.DUMMYFUNCTION("""COMPUTED_VALUE"""),"-")</f>
        <v>-</v>
      </c>
      <c r="I187" t="str">
        <f>IFERROR(__xludf.DUMMYFUNCTION("""COMPUTED_VALUE"""),"-")</f>
        <v>-</v>
      </c>
      <c r="J187" t="str">
        <f>IFERROR(__xludf.DUMMYFUNCTION("""COMPUTED_VALUE"""),"-")</f>
        <v>-</v>
      </c>
      <c r="K187" t="str">
        <f>IFERROR(__xludf.DUMMYFUNCTION("""COMPUTED_VALUE"""),"-")</f>
        <v>-</v>
      </c>
      <c r="L187" t="str">
        <f>IFERROR(__xludf.DUMMYFUNCTION("""COMPUTED_VALUE"""),"-")</f>
        <v>-</v>
      </c>
      <c r="M187" t="str">
        <f>IFERROR(__xludf.DUMMYFUNCTION("""COMPUTED_VALUE"""),"-")</f>
        <v>-</v>
      </c>
      <c r="O187" t="str">
        <f>IFERROR(__xludf.DUMMYFUNCTION("""COMPUTED_VALUE"""),"#186")</f>
        <v>#186</v>
      </c>
      <c r="P187" t="str">
        <f>IFERROR(__xludf.DUMMYFUNCTION("""COMPUTED_VALUE"""),"Christophe Béchu")</f>
        <v>Christophe Béchu</v>
      </c>
      <c r="Q187">
        <f>IFERROR(__xludf.DUMMYFUNCTION("""COMPUTED_VALUE"""),33662.0)</f>
        <v>33662</v>
      </c>
      <c r="R187" t="str">
        <f>IFERROR(__xludf.DUMMYFUNCTION("""COMPUTED_VALUE"""),"-")</f>
        <v>-</v>
      </c>
      <c r="S187" t="str">
        <f>IFERROR(__xludf.DUMMYFUNCTION("""COMPUTED_VALUE"""),"-")</f>
        <v>-</v>
      </c>
      <c r="T187" t="str">
        <f>IFERROR(__xludf.DUMMYFUNCTION("""COMPUTED_VALUE"""),"-")</f>
        <v>-</v>
      </c>
      <c r="U187" t="str">
        <f>IFERROR(__xludf.DUMMYFUNCTION("""COMPUTED_VALUE"""),"-")</f>
        <v>-</v>
      </c>
      <c r="V187" t="str">
        <f>IFERROR(__xludf.DUMMYFUNCTION("""COMPUTED_VALUE"""),"-")</f>
        <v>-</v>
      </c>
      <c r="W187" t="str">
        <f>IFERROR(__xludf.DUMMYFUNCTION("""COMPUTED_VALUE"""),"-")</f>
        <v>-</v>
      </c>
      <c r="X187" t="str">
        <f>IFERROR(__xludf.DUMMYFUNCTION("""COMPUTED_VALUE"""),"-")</f>
        <v>-</v>
      </c>
      <c r="Y187" t="str">
        <f>IFERROR(__xludf.DUMMYFUNCTION("""COMPUTED_VALUE"""),"-")</f>
        <v>-</v>
      </c>
      <c r="Z187" t="str">
        <f>IFERROR(__xludf.DUMMYFUNCTION("""COMPUTED_VALUE"""),"-")</f>
        <v>-</v>
      </c>
      <c r="AA187" t="str">
        <f>IFERROR(__xludf.DUMMYFUNCTION("""COMPUTED_VALUE"""),"-")</f>
        <v>-</v>
      </c>
    </row>
    <row r="188">
      <c r="A188" t="str">
        <f>IFERROR(__xludf.DUMMYFUNCTION("""COMPUTED_VALUE"""),"#187")</f>
        <v>#187</v>
      </c>
      <c r="B188" t="str">
        <f>IFERROR(__xludf.DUMMYFUNCTION("""COMPUTED_VALUE"""),"Jean-Jacques Urvoas")</f>
        <v>Jean-Jacques Urvoas</v>
      </c>
      <c r="C188">
        <f>IFERROR(__xludf.DUMMYFUNCTION("""COMPUTED_VALUE"""),33222.0)</f>
        <v>33222</v>
      </c>
      <c r="D188" t="str">
        <f>IFERROR(__xludf.DUMMYFUNCTION("""COMPUTED_VALUE"""),"-")</f>
        <v>-</v>
      </c>
      <c r="E188" t="str">
        <f>IFERROR(__xludf.DUMMYFUNCTION("""COMPUTED_VALUE"""),"-")</f>
        <v>-</v>
      </c>
      <c r="F188" t="str">
        <f>IFERROR(__xludf.DUMMYFUNCTION("""COMPUTED_VALUE"""),"-")</f>
        <v>-</v>
      </c>
      <c r="G188" t="str">
        <f>IFERROR(__xludf.DUMMYFUNCTION("""COMPUTED_VALUE"""),"-")</f>
        <v>-</v>
      </c>
      <c r="H188" t="str">
        <f>IFERROR(__xludf.DUMMYFUNCTION("""COMPUTED_VALUE"""),"-")</f>
        <v>-</v>
      </c>
      <c r="I188" t="str">
        <f>IFERROR(__xludf.DUMMYFUNCTION("""COMPUTED_VALUE"""),"-")</f>
        <v>-</v>
      </c>
      <c r="J188" t="str">
        <f>IFERROR(__xludf.DUMMYFUNCTION("""COMPUTED_VALUE"""),"-")</f>
        <v>-</v>
      </c>
      <c r="K188" t="str">
        <f>IFERROR(__xludf.DUMMYFUNCTION("""COMPUTED_VALUE"""),"-")</f>
        <v>-</v>
      </c>
      <c r="L188" t="str">
        <f>IFERROR(__xludf.DUMMYFUNCTION("""COMPUTED_VALUE"""),"-")</f>
        <v>-</v>
      </c>
      <c r="M188" t="str">
        <f>IFERROR(__xludf.DUMMYFUNCTION("""COMPUTED_VALUE"""),"-")</f>
        <v>-</v>
      </c>
      <c r="O188" t="str">
        <f>IFERROR(__xludf.DUMMYFUNCTION("""COMPUTED_VALUE"""),"#187")</f>
        <v>#187</v>
      </c>
      <c r="P188" t="str">
        <f>IFERROR(__xludf.DUMMYFUNCTION("""COMPUTED_VALUE"""),"Jean-Jacques Urvoas")</f>
        <v>Jean-Jacques Urvoas</v>
      </c>
      <c r="Q188">
        <f>IFERROR(__xludf.DUMMYFUNCTION("""COMPUTED_VALUE"""),33222.0)</f>
        <v>33222</v>
      </c>
      <c r="R188" t="str">
        <f>IFERROR(__xludf.DUMMYFUNCTION("""COMPUTED_VALUE"""),"-")</f>
        <v>-</v>
      </c>
      <c r="S188" t="str">
        <f>IFERROR(__xludf.DUMMYFUNCTION("""COMPUTED_VALUE"""),"-")</f>
        <v>-</v>
      </c>
      <c r="T188" t="str">
        <f>IFERROR(__xludf.DUMMYFUNCTION("""COMPUTED_VALUE"""),"-")</f>
        <v>-</v>
      </c>
      <c r="U188" t="str">
        <f>IFERROR(__xludf.DUMMYFUNCTION("""COMPUTED_VALUE"""),"-")</f>
        <v>-</v>
      </c>
      <c r="V188" t="str">
        <f>IFERROR(__xludf.DUMMYFUNCTION("""COMPUTED_VALUE"""),"-")</f>
        <v>-</v>
      </c>
      <c r="W188" t="str">
        <f>IFERROR(__xludf.DUMMYFUNCTION("""COMPUTED_VALUE"""),"-")</f>
        <v>-</v>
      </c>
      <c r="X188" t="str">
        <f>IFERROR(__xludf.DUMMYFUNCTION("""COMPUTED_VALUE"""),"-")</f>
        <v>-</v>
      </c>
      <c r="Y188" t="str">
        <f>IFERROR(__xludf.DUMMYFUNCTION("""COMPUTED_VALUE"""),"-")</f>
        <v>-</v>
      </c>
      <c r="Z188" t="str">
        <f>IFERROR(__xludf.DUMMYFUNCTION("""COMPUTED_VALUE"""),"-")</f>
        <v>-</v>
      </c>
      <c r="AA188" t="str">
        <f>IFERROR(__xludf.DUMMYFUNCTION("""COMPUTED_VALUE"""),"-")</f>
        <v>-</v>
      </c>
    </row>
    <row r="189">
      <c r="A189" t="str">
        <f>IFERROR(__xludf.DUMMYFUNCTION("""COMPUTED_VALUE"""),"#188")</f>
        <v>#188</v>
      </c>
      <c r="B189" t="str">
        <f>IFERROR(__xludf.DUMMYFUNCTION("""COMPUTED_VALUE"""),"Agnès Evren")</f>
        <v>Agnès Evren</v>
      </c>
      <c r="C189">
        <f>IFERROR(__xludf.DUMMYFUNCTION("""COMPUTED_VALUE"""),32916.0)</f>
        <v>32916</v>
      </c>
      <c r="D189" t="str">
        <f>IFERROR(__xludf.DUMMYFUNCTION("""COMPUTED_VALUE"""),"-")</f>
        <v>-</v>
      </c>
      <c r="E189" t="str">
        <f>IFERROR(__xludf.DUMMYFUNCTION("""COMPUTED_VALUE"""),"-")</f>
        <v>-</v>
      </c>
      <c r="F189" t="str">
        <f>IFERROR(__xludf.DUMMYFUNCTION("""COMPUTED_VALUE"""),"-")</f>
        <v>-</v>
      </c>
      <c r="G189" t="str">
        <f>IFERROR(__xludf.DUMMYFUNCTION("""COMPUTED_VALUE"""),"-")</f>
        <v>-</v>
      </c>
      <c r="H189" t="str">
        <f>IFERROR(__xludf.DUMMYFUNCTION("""COMPUTED_VALUE"""),"-")</f>
        <v>-</v>
      </c>
      <c r="I189" t="str">
        <f>IFERROR(__xludf.DUMMYFUNCTION("""COMPUTED_VALUE"""),"-")</f>
        <v>-</v>
      </c>
      <c r="J189" t="str">
        <f>IFERROR(__xludf.DUMMYFUNCTION("""COMPUTED_VALUE"""),"-")</f>
        <v>-</v>
      </c>
      <c r="K189" t="str">
        <f>IFERROR(__xludf.DUMMYFUNCTION("""COMPUTED_VALUE"""),"-")</f>
        <v>-</v>
      </c>
      <c r="L189" t="str">
        <f>IFERROR(__xludf.DUMMYFUNCTION("""COMPUTED_VALUE"""),"-")</f>
        <v>-</v>
      </c>
      <c r="M189" t="str">
        <f>IFERROR(__xludf.DUMMYFUNCTION("""COMPUTED_VALUE"""),"-")</f>
        <v>-</v>
      </c>
      <c r="O189" t="str">
        <f>IFERROR(__xludf.DUMMYFUNCTION("""COMPUTED_VALUE"""),"#188")</f>
        <v>#188</v>
      </c>
      <c r="P189" t="str">
        <f>IFERROR(__xludf.DUMMYFUNCTION("""COMPUTED_VALUE"""),"Agnès Evren")</f>
        <v>Agnès Evren</v>
      </c>
      <c r="Q189">
        <f>IFERROR(__xludf.DUMMYFUNCTION("""COMPUTED_VALUE"""),32916.0)</f>
        <v>32916</v>
      </c>
      <c r="R189" t="str">
        <f>IFERROR(__xludf.DUMMYFUNCTION("""COMPUTED_VALUE"""),"-")</f>
        <v>-</v>
      </c>
      <c r="S189" t="str">
        <f>IFERROR(__xludf.DUMMYFUNCTION("""COMPUTED_VALUE"""),"-")</f>
        <v>-</v>
      </c>
      <c r="T189" t="str">
        <f>IFERROR(__xludf.DUMMYFUNCTION("""COMPUTED_VALUE"""),"-")</f>
        <v>-</v>
      </c>
      <c r="U189" t="str">
        <f>IFERROR(__xludf.DUMMYFUNCTION("""COMPUTED_VALUE"""),"-")</f>
        <v>-</v>
      </c>
      <c r="V189" t="str">
        <f>IFERROR(__xludf.DUMMYFUNCTION("""COMPUTED_VALUE"""),"-")</f>
        <v>-</v>
      </c>
      <c r="W189" t="str">
        <f>IFERROR(__xludf.DUMMYFUNCTION("""COMPUTED_VALUE"""),"-")</f>
        <v>-</v>
      </c>
      <c r="X189" t="str">
        <f>IFERROR(__xludf.DUMMYFUNCTION("""COMPUTED_VALUE"""),"-")</f>
        <v>-</v>
      </c>
      <c r="Y189" t="str">
        <f>IFERROR(__xludf.DUMMYFUNCTION("""COMPUTED_VALUE"""),"-")</f>
        <v>-</v>
      </c>
      <c r="Z189" t="str">
        <f>IFERROR(__xludf.DUMMYFUNCTION("""COMPUTED_VALUE"""),"-")</f>
        <v>-</v>
      </c>
      <c r="AA189" t="str">
        <f>IFERROR(__xludf.DUMMYFUNCTION("""COMPUTED_VALUE"""),"-")</f>
        <v>-</v>
      </c>
    </row>
    <row r="190">
      <c r="A190" t="str">
        <f>IFERROR(__xludf.DUMMYFUNCTION("""COMPUTED_VALUE"""),"#189")</f>
        <v>#189</v>
      </c>
      <c r="B190" t="str">
        <f>IFERROR(__xludf.DUMMYFUNCTION("""COMPUTED_VALUE"""),"Myriam El Khomri")</f>
        <v>Myriam El Khomri</v>
      </c>
      <c r="C190">
        <f>IFERROR(__xludf.DUMMYFUNCTION("""COMPUTED_VALUE"""),32469.0)</f>
        <v>32469</v>
      </c>
      <c r="D190" t="str">
        <f>IFERROR(__xludf.DUMMYFUNCTION("""COMPUTED_VALUE"""),"-")</f>
        <v>-</v>
      </c>
      <c r="E190" t="str">
        <f>IFERROR(__xludf.DUMMYFUNCTION("""COMPUTED_VALUE"""),"-")</f>
        <v>-</v>
      </c>
      <c r="F190" t="str">
        <f>IFERROR(__xludf.DUMMYFUNCTION("""COMPUTED_VALUE"""),"-")</f>
        <v>-</v>
      </c>
      <c r="G190" t="str">
        <f>IFERROR(__xludf.DUMMYFUNCTION("""COMPUTED_VALUE"""),"-")</f>
        <v>-</v>
      </c>
      <c r="H190" t="str">
        <f>IFERROR(__xludf.DUMMYFUNCTION("""COMPUTED_VALUE"""),"-")</f>
        <v>-</v>
      </c>
      <c r="I190" t="str">
        <f>IFERROR(__xludf.DUMMYFUNCTION("""COMPUTED_VALUE"""),"-")</f>
        <v>-</v>
      </c>
      <c r="J190" t="str">
        <f>IFERROR(__xludf.DUMMYFUNCTION("""COMPUTED_VALUE"""),"-")</f>
        <v>-</v>
      </c>
      <c r="K190" t="str">
        <f>IFERROR(__xludf.DUMMYFUNCTION("""COMPUTED_VALUE"""),"-")</f>
        <v>-</v>
      </c>
      <c r="L190" t="str">
        <f>IFERROR(__xludf.DUMMYFUNCTION("""COMPUTED_VALUE"""),"-")</f>
        <v>-</v>
      </c>
      <c r="M190" t="str">
        <f>IFERROR(__xludf.DUMMYFUNCTION("""COMPUTED_VALUE"""),"-")</f>
        <v>-</v>
      </c>
      <c r="O190" t="str">
        <f>IFERROR(__xludf.DUMMYFUNCTION("""COMPUTED_VALUE"""),"#189")</f>
        <v>#189</v>
      </c>
      <c r="P190" t="str">
        <f>IFERROR(__xludf.DUMMYFUNCTION("""COMPUTED_VALUE"""),"Myriam El Khomri")</f>
        <v>Myriam El Khomri</v>
      </c>
      <c r="Q190">
        <f>IFERROR(__xludf.DUMMYFUNCTION("""COMPUTED_VALUE"""),32469.0)</f>
        <v>32469</v>
      </c>
      <c r="R190" t="str">
        <f>IFERROR(__xludf.DUMMYFUNCTION("""COMPUTED_VALUE"""),"-")</f>
        <v>-</v>
      </c>
      <c r="S190" t="str">
        <f>IFERROR(__xludf.DUMMYFUNCTION("""COMPUTED_VALUE"""),"-")</f>
        <v>-</v>
      </c>
      <c r="T190" t="str">
        <f>IFERROR(__xludf.DUMMYFUNCTION("""COMPUTED_VALUE"""),"-")</f>
        <v>-</v>
      </c>
      <c r="U190" t="str">
        <f>IFERROR(__xludf.DUMMYFUNCTION("""COMPUTED_VALUE"""),"-")</f>
        <v>-</v>
      </c>
      <c r="V190" t="str">
        <f>IFERROR(__xludf.DUMMYFUNCTION("""COMPUTED_VALUE"""),"-")</f>
        <v>-</v>
      </c>
      <c r="W190" t="str">
        <f>IFERROR(__xludf.DUMMYFUNCTION("""COMPUTED_VALUE"""),"-")</f>
        <v>-</v>
      </c>
      <c r="X190" t="str">
        <f>IFERROR(__xludf.DUMMYFUNCTION("""COMPUTED_VALUE"""),"-")</f>
        <v>-</v>
      </c>
      <c r="Y190" t="str">
        <f>IFERROR(__xludf.DUMMYFUNCTION("""COMPUTED_VALUE"""),"-")</f>
        <v>-</v>
      </c>
      <c r="Z190" t="str">
        <f>IFERROR(__xludf.DUMMYFUNCTION("""COMPUTED_VALUE"""),"-")</f>
        <v>-</v>
      </c>
      <c r="AA190" t="str">
        <f>IFERROR(__xludf.DUMMYFUNCTION("""COMPUTED_VALUE"""),"-")</f>
        <v>-</v>
      </c>
    </row>
    <row r="191">
      <c r="A191" t="str">
        <f>IFERROR(__xludf.DUMMYFUNCTION("""COMPUTED_VALUE"""),"#190")</f>
        <v>#190</v>
      </c>
      <c r="B191" t="str">
        <f>IFERROR(__xludf.DUMMYFUNCTION("""COMPUTED_VALUE"""),"Marc Fesneau")</f>
        <v>Marc Fesneau</v>
      </c>
      <c r="C191">
        <f>IFERROR(__xludf.DUMMYFUNCTION("""COMPUTED_VALUE"""),32232.0)</f>
        <v>32232</v>
      </c>
      <c r="D191" t="str">
        <f>IFERROR(__xludf.DUMMYFUNCTION("""COMPUTED_VALUE"""),"-")</f>
        <v>-</v>
      </c>
      <c r="E191" t="str">
        <f>IFERROR(__xludf.DUMMYFUNCTION("""COMPUTED_VALUE"""),"-")</f>
        <v>-</v>
      </c>
      <c r="F191" t="str">
        <f>IFERROR(__xludf.DUMMYFUNCTION("""COMPUTED_VALUE"""),"-")</f>
        <v>-</v>
      </c>
      <c r="G191" t="str">
        <f>IFERROR(__xludf.DUMMYFUNCTION("""COMPUTED_VALUE"""),"-")</f>
        <v>-</v>
      </c>
      <c r="H191" t="str">
        <f>IFERROR(__xludf.DUMMYFUNCTION("""COMPUTED_VALUE"""),"-")</f>
        <v>-</v>
      </c>
      <c r="I191" t="str">
        <f>IFERROR(__xludf.DUMMYFUNCTION("""COMPUTED_VALUE"""),"-")</f>
        <v>-</v>
      </c>
      <c r="J191" t="str">
        <f>IFERROR(__xludf.DUMMYFUNCTION("""COMPUTED_VALUE"""),"-")</f>
        <v>-</v>
      </c>
      <c r="K191" t="str">
        <f>IFERROR(__xludf.DUMMYFUNCTION("""COMPUTED_VALUE"""),"-")</f>
        <v>-</v>
      </c>
      <c r="L191" t="str">
        <f>IFERROR(__xludf.DUMMYFUNCTION("""COMPUTED_VALUE"""),"-")</f>
        <v>-</v>
      </c>
      <c r="M191" t="str">
        <f>IFERROR(__xludf.DUMMYFUNCTION("""COMPUTED_VALUE"""),"-")</f>
        <v>-</v>
      </c>
      <c r="O191" t="str">
        <f>IFERROR(__xludf.DUMMYFUNCTION("""COMPUTED_VALUE"""),"#190")</f>
        <v>#190</v>
      </c>
      <c r="P191" t="str">
        <f>IFERROR(__xludf.DUMMYFUNCTION("""COMPUTED_VALUE"""),"Marc Fesneau")</f>
        <v>Marc Fesneau</v>
      </c>
      <c r="Q191">
        <f>IFERROR(__xludf.DUMMYFUNCTION("""COMPUTED_VALUE"""),32232.0)</f>
        <v>32232</v>
      </c>
      <c r="R191" t="str">
        <f>IFERROR(__xludf.DUMMYFUNCTION("""COMPUTED_VALUE"""),"-")</f>
        <v>-</v>
      </c>
      <c r="S191" t="str">
        <f>IFERROR(__xludf.DUMMYFUNCTION("""COMPUTED_VALUE"""),"-")</f>
        <v>-</v>
      </c>
      <c r="T191" t="str">
        <f>IFERROR(__xludf.DUMMYFUNCTION("""COMPUTED_VALUE"""),"-")</f>
        <v>-</v>
      </c>
      <c r="U191" t="str">
        <f>IFERROR(__xludf.DUMMYFUNCTION("""COMPUTED_VALUE"""),"-")</f>
        <v>-</v>
      </c>
      <c r="V191" t="str">
        <f>IFERROR(__xludf.DUMMYFUNCTION("""COMPUTED_VALUE"""),"-")</f>
        <v>-</v>
      </c>
      <c r="W191" t="str">
        <f>IFERROR(__xludf.DUMMYFUNCTION("""COMPUTED_VALUE"""),"-")</f>
        <v>-</v>
      </c>
      <c r="X191" t="str">
        <f>IFERROR(__xludf.DUMMYFUNCTION("""COMPUTED_VALUE"""),"-")</f>
        <v>-</v>
      </c>
      <c r="Y191" t="str">
        <f>IFERROR(__xludf.DUMMYFUNCTION("""COMPUTED_VALUE"""),"-")</f>
        <v>-</v>
      </c>
      <c r="Z191" t="str">
        <f>IFERROR(__xludf.DUMMYFUNCTION("""COMPUTED_VALUE"""),"-")</f>
        <v>-</v>
      </c>
      <c r="AA191" t="str">
        <f>IFERROR(__xludf.DUMMYFUNCTION("""COMPUTED_VALUE"""),"-")</f>
        <v>-</v>
      </c>
    </row>
    <row r="192">
      <c r="A192" t="str">
        <f>IFERROR(__xludf.DUMMYFUNCTION("""COMPUTED_VALUE"""),"#191")</f>
        <v>#191</v>
      </c>
      <c r="B192" t="str">
        <f>IFERROR(__xludf.DUMMYFUNCTION("""COMPUTED_VALUE"""),"David Assouline")</f>
        <v>David Assouline</v>
      </c>
      <c r="C192">
        <f>IFERROR(__xludf.DUMMYFUNCTION("""COMPUTED_VALUE"""),32205.0)</f>
        <v>32205</v>
      </c>
      <c r="D192" t="str">
        <f>IFERROR(__xludf.DUMMYFUNCTION("""COMPUTED_VALUE"""),"-")</f>
        <v>-</v>
      </c>
      <c r="E192" t="str">
        <f>IFERROR(__xludf.DUMMYFUNCTION("""COMPUTED_VALUE"""),"-")</f>
        <v>-</v>
      </c>
      <c r="F192" t="str">
        <f>IFERROR(__xludf.DUMMYFUNCTION("""COMPUTED_VALUE"""),"-")</f>
        <v>-</v>
      </c>
      <c r="G192" t="str">
        <f>IFERROR(__xludf.DUMMYFUNCTION("""COMPUTED_VALUE"""),"-")</f>
        <v>-</v>
      </c>
      <c r="H192" t="str">
        <f>IFERROR(__xludf.DUMMYFUNCTION("""COMPUTED_VALUE"""),"-")</f>
        <v>-</v>
      </c>
      <c r="I192" t="str">
        <f>IFERROR(__xludf.DUMMYFUNCTION("""COMPUTED_VALUE"""),"-")</f>
        <v>-</v>
      </c>
      <c r="J192" t="str">
        <f>IFERROR(__xludf.DUMMYFUNCTION("""COMPUTED_VALUE"""),"-")</f>
        <v>-</v>
      </c>
      <c r="K192" t="str">
        <f>IFERROR(__xludf.DUMMYFUNCTION("""COMPUTED_VALUE"""),"-")</f>
        <v>-</v>
      </c>
      <c r="L192" t="str">
        <f>IFERROR(__xludf.DUMMYFUNCTION("""COMPUTED_VALUE"""),"-")</f>
        <v>-</v>
      </c>
      <c r="M192" t="str">
        <f>IFERROR(__xludf.DUMMYFUNCTION("""COMPUTED_VALUE"""),"-")</f>
        <v>-</v>
      </c>
      <c r="O192" t="str">
        <f>IFERROR(__xludf.DUMMYFUNCTION("""COMPUTED_VALUE"""),"#191")</f>
        <v>#191</v>
      </c>
      <c r="P192" t="str">
        <f>IFERROR(__xludf.DUMMYFUNCTION("""COMPUTED_VALUE"""),"David Assouline")</f>
        <v>David Assouline</v>
      </c>
      <c r="Q192">
        <f>IFERROR(__xludf.DUMMYFUNCTION("""COMPUTED_VALUE"""),32205.0)</f>
        <v>32205</v>
      </c>
      <c r="R192" t="str">
        <f>IFERROR(__xludf.DUMMYFUNCTION("""COMPUTED_VALUE"""),"-")</f>
        <v>-</v>
      </c>
      <c r="S192" t="str">
        <f>IFERROR(__xludf.DUMMYFUNCTION("""COMPUTED_VALUE"""),"-")</f>
        <v>-</v>
      </c>
      <c r="T192" t="str">
        <f>IFERROR(__xludf.DUMMYFUNCTION("""COMPUTED_VALUE"""),"-")</f>
        <v>-</v>
      </c>
      <c r="U192" t="str">
        <f>IFERROR(__xludf.DUMMYFUNCTION("""COMPUTED_VALUE"""),"-")</f>
        <v>-</v>
      </c>
      <c r="V192" t="str">
        <f>IFERROR(__xludf.DUMMYFUNCTION("""COMPUTED_VALUE"""),"-")</f>
        <v>-</v>
      </c>
      <c r="W192" t="str">
        <f>IFERROR(__xludf.DUMMYFUNCTION("""COMPUTED_VALUE"""),"-")</f>
        <v>-</v>
      </c>
      <c r="X192" t="str">
        <f>IFERROR(__xludf.DUMMYFUNCTION("""COMPUTED_VALUE"""),"-")</f>
        <v>-</v>
      </c>
      <c r="Y192" t="str">
        <f>IFERROR(__xludf.DUMMYFUNCTION("""COMPUTED_VALUE"""),"-")</f>
        <v>-</v>
      </c>
      <c r="Z192" t="str">
        <f>IFERROR(__xludf.DUMMYFUNCTION("""COMPUTED_VALUE"""),"-")</f>
        <v>-</v>
      </c>
      <c r="AA192" t="str">
        <f>IFERROR(__xludf.DUMMYFUNCTION("""COMPUTED_VALUE"""),"-")</f>
        <v>-</v>
      </c>
    </row>
    <row r="193">
      <c r="A193" t="str">
        <f>IFERROR(__xludf.DUMMYFUNCTION("""COMPUTED_VALUE"""),"#192")</f>
        <v>#192</v>
      </c>
      <c r="B193" t="str">
        <f>IFERROR(__xludf.DUMMYFUNCTION("""COMPUTED_VALUE"""),"Laurent Jacobelli")</f>
        <v>Laurent Jacobelli</v>
      </c>
      <c r="C193">
        <f>IFERROR(__xludf.DUMMYFUNCTION("""COMPUTED_VALUE"""),30717.0)</f>
        <v>30717</v>
      </c>
      <c r="D193" t="str">
        <f>IFERROR(__xludf.DUMMYFUNCTION("""COMPUTED_VALUE"""),"-")</f>
        <v>-</v>
      </c>
      <c r="E193" t="str">
        <f>IFERROR(__xludf.DUMMYFUNCTION("""COMPUTED_VALUE"""),"-")</f>
        <v>-</v>
      </c>
      <c r="F193" t="str">
        <f>IFERROR(__xludf.DUMMYFUNCTION("""COMPUTED_VALUE"""),"-")</f>
        <v>-</v>
      </c>
      <c r="G193" t="str">
        <f>IFERROR(__xludf.DUMMYFUNCTION("""COMPUTED_VALUE"""),"-")</f>
        <v>-</v>
      </c>
      <c r="H193" t="str">
        <f>IFERROR(__xludf.DUMMYFUNCTION("""COMPUTED_VALUE"""),"-")</f>
        <v>-</v>
      </c>
      <c r="I193" t="str">
        <f>IFERROR(__xludf.DUMMYFUNCTION("""COMPUTED_VALUE"""),"-")</f>
        <v>-</v>
      </c>
      <c r="J193" t="str">
        <f>IFERROR(__xludf.DUMMYFUNCTION("""COMPUTED_VALUE"""),"-")</f>
        <v>-</v>
      </c>
      <c r="K193" t="str">
        <f>IFERROR(__xludf.DUMMYFUNCTION("""COMPUTED_VALUE"""),"-")</f>
        <v>-</v>
      </c>
      <c r="L193" t="str">
        <f>IFERROR(__xludf.DUMMYFUNCTION("""COMPUTED_VALUE"""),"-")</f>
        <v>-</v>
      </c>
      <c r="M193" t="str">
        <f>IFERROR(__xludf.DUMMYFUNCTION("""COMPUTED_VALUE"""),"-")</f>
        <v>-</v>
      </c>
      <c r="O193" t="str">
        <f>IFERROR(__xludf.DUMMYFUNCTION("""COMPUTED_VALUE"""),"#192")</f>
        <v>#192</v>
      </c>
      <c r="P193" t="str">
        <f>IFERROR(__xludf.DUMMYFUNCTION("""COMPUTED_VALUE"""),"Laurent Jacobelli")</f>
        <v>Laurent Jacobelli</v>
      </c>
      <c r="Q193">
        <f>IFERROR(__xludf.DUMMYFUNCTION("""COMPUTED_VALUE"""),30717.0)</f>
        <v>30717</v>
      </c>
      <c r="R193" t="str">
        <f>IFERROR(__xludf.DUMMYFUNCTION("""COMPUTED_VALUE"""),"-")</f>
        <v>-</v>
      </c>
      <c r="S193" t="str">
        <f>IFERROR(__xludf.DUMMYFUNCTION("""COMPUTED_VALUE"""),"-")</f>
        <v>-</v>
      </c>
      <c r="T193" t="str">
        <f>IFERROR(__xludf.DUMMYFUNCTION("""COMPUTED_VALUE"""),"-")</f>
        <v>-</v>
      </c>
      <c r="U193" t="str">
        <f>IFERROR(__xludf.DUMMYFUNCTION("""COMPUTED_VALUE"""),"-")</f>
        <v>-</v>
      </c>
      <c r="V193" t="str">
        <f>IFERROR(__xludf.DUMMYFUNCTION("""COMPUTED_VALUE"""),"-")</f>
        <v>-</v>
      </c>
      <c r="W193" t="str">
        <f>IFERROR(__xludf.DUMMYFUNCTION("""COMPUTED_VALUE"""),"-")</f>
        <v>-</v>
      </c>
      <c r="X193" t="str">
        <f>IFERROR(__xludf.DUMMYFUNCTION("""COMPUTED_VALUE"""),"-")</f>
        <v>-</v>
      </c>
      <c r="Y193" t="str">
        <f>IFERROR(__xludf.DUMMYFUNCTION("""COMPUTED_VALUE"""),"-")</f>
        <v>-</v>
      </c>
      <c r="Z193" t="str">
        <f>IFERROR(__xludf.DUMMYFUNCTION("""COMPUTED_VALUE"""),"-")</f>
        <v>-</v>
      </c>
      <c r="AA193" t="str">
        <f>IFERROR(__xludf.DUMMYFUNCTION("""COMPUTED_VALUE"""),"-")</f>
        <v>-</v>
      </c>
    </row>
    <row r="194">
      <c r="A194" t="str">
        <f>IFERROR(__xludf.DUMMYFUNCTION("""COMPUTED_VALUE"""),"#193")</f>
        <v>#193</v>
      </c>
      <c r="B194" t="str">
        <f>IFERROR(__xludf.DUMMYFUNCTION("""COMPUTED_VALUE"""),"Julien Sanchez")</f>
        <v>Julien Sanchez</v>
      </c>
      <c r="C194">
        <f>IFERROR(__xludf.DUMMYFUNCTION("""COMPUTED_VALUE"""),30359.0)</f>
        <v>30359</v>
      </c>
      <c r="D194" t="str">
        <f>IFERROR(__xludf.DUMMYFUNCTION("""COMPUTED_VALUE"""),"-")</f>
        <v>-</v>
      </c>
      <c r="E194" t="str">
        <f>IFERROR(__xludf.DUMMYFUNCTION("""COMPUTED_VALUE"""),"-")</f>
        <v>-</v>
      </c>
      <c r="F194" t="str">
        <f>IFERROR(__xludf.DUMMYFUNCTION("""COMPUTED_VALUE"""),"-")</f>
        <v>-</v>
      </c>
      <c r="G194" t="str">
        <f>IFERROR(__xludf.DUMMYFUNCTION("""COMPUTED_VALUE"""),"-")</f>
        <v>-</v>
      </c>
      <c r="H194" t="str">
        <f>IFERROR(__xludf.DUMMYFUNCTION("""COMPUTED_VALUE"""),"-")</f>
        <v>-</v>
      </c>
      <c r="I194" t="str">
        <f>IFERROR(__xludf.DUMMYFUNCTION("""COMPUTED_VALUE"""),"-")</f>
        <v>-</v>
      </c>
      <c r="J194" t="str">
        <f>IFERROR(__xludf.DUMMYFUNCTION("""COMPUTED_VALUE"""),"-")</f>
        <v>-</v>
      </c>
      <c r="K194" t="str">
        <f>IFERROR(__xludf.DUMMYFUNCTION("""COMPUTED_VALUE"""),"-")</f>
        <v>-</v>
      </c>
      <c r="L194" t="str">
        <f>IFERROR(__xludf.DUMMYFUNCTION("""COMPUTED_VALUE"""),"-")</f>
        <v>-</v>
      </c>
      <c r="M194" t="str">
        <f>IFERROR(__xludf.DUMMYFUNCTION("""COMPUTED_VALUE"""),"-")</f>
        <v>-</v>
      </c>
      <c r="O194" t="str">
        <f>IFERROR(__xludf.DUMMYFUNCTION("""COMPUTED_VALUE"""),"#193")</f>
        <v>#193</v>
      </c>
      <c r="P194" t="str">
        <f>IFERROR(__xludf.DUMMYFUNCTION("""COMPUTED_VALUE"""),"Julien Sanchez")</f>
        <v>Julien Sanchez</v>
      </c>
      <c r="Q194">
        <f>IFERROR(__xludf.DUMMYFUNCTION("""COMPUTED_VALUE"""),30359.0)</f>
        <v>30359</v>
      </c>
      <c r="R194" t="str">
        <f>IFERROR(__xludf.DUMMYFUNCTION("""COMPUTED_VALUE"""),"-")</f>
        <v>-</v>
      </c>
      <c r="S194" t="str">
        <f>IFERROR(__xludf.DUMMYFUNCTION("""COMPUTED_VALUE"""),"-")</f>
        <v>-</v>
      </c>
      <c r="T194" t="str">
        <f>IFERROR(__xludf.DUMMYFUNCTION("""COMPUTED_VALUE"""),"-")</f>
        <v>-</v>
      </c>
      <c r="U194" t="str">
        <f>IFERROR(__xludf.DUMMYFUNCTION("""COMPUTED_VALUE"""),"-")</f>
        <v>-</v>
      </c>
      <c r="V194" t="str">
        <f>IFERROR(__xludf.DUMMYFUNCTION("""COMPUTED_VALUE"""),"-")</f>
        <v>-</v>
      </c>
      <c r="W194" t="str">
        <f>IFERROR(__xludf.DUMMYFUNCTION("""COMPUTED_VALUE"""),"-")</f>
        <v>-</v>
      </c>
      <c r="X194" t="str">
        <f>IFERROR(__xludf.DUMMYFUNCTION("""COMPUTED_VALUE"""),"-")</f>
        <v>-</v>
      </c>
      <c r="Y194" t="str">
        <f>IFERROR(__xludf.DUMMYFUNCTION("""COMPUTED_VALUE"""),"-")</f>
        <v>-</v>
      </c>
      <c r="Z194" t="str">
        <f>IFERROR(__xludf.DUMMYFUNCTION("""COMPUTED_VALUE"""),"-")</f>
        <v>-</v>
      </c>
      <c r="AA194" t="str">
        <f>IFERROR(__xludf.DUMMYFUNCTION("""COMPUTED_VALUE"""),"-")</f>
        <v>-</v>
      </c>
    </row>
    <row r="195">
      <c r="A195" t="str">
        <f>IFERROR(__xludf.DUMMYFUNCTION("""COMPUTED_VALUE"""),"#194")</f>
        <v>#194</v>
      </c>
      <c r="B195" t="str">
        <f>IFERROR(__xludf.DUMMYFUNCTION("""COMPUTED_VALUE"""),"Jean-Luc Moudenc")</f>
        <v>Jean-Luc Moudenc</v>
      </c>
      <c r="C195">
        <f>IFERROR(__xludf.DUMMYFUNCTION("""COMPUTED_VALUE"""),30209.0)</f>
        <v>30209</v>
      </c>
      <c r="D195" t="str">
        <f>IFERROR(__xludf.DUMMYFUNCTION("""COMPUTED_VALUE"""),"-")</f>
        <v>-</v>
      </c>
      <c r="E195" t="str">
        <f>IFERROR(__xludf.DUMMYFUNCTION("""COMPUTED_VALUE"""),"-")</f>
        <v>-</v>
      </c>
      <c r="F195" t="str">
        <f>IFERROR(__xludf.DUMMYFUNCTION("""COMPUTED_VALUE"""),"-")</f>
        <v>-</v>
      </c>
      <c r="G195" t="str">
        <f>IFERROR(__xludf.DUMMYFUNCTION("""COMPUTED_VALUE"""),"-")</f>
        <v>-</v>
      </c>
      <c r="H195" t="str">
        <f>IFERROR(__xludf.DUMMYFUNCTION("""COMPUTED_VALUE"""),"-")</f>
        <v>-</v>
      </c>
      <c r="I195" t="str">
        <f>IFERROR(__xludf.DUMMYFUNCTION("""COMPUTED_VALUE"""),"-")</f>
        <v>-</v>
      </c>
      <c r="J195" t="str">
        <f>IFERROR(__xludf.DUMMYFUNCTION("""COMPUTED_VALUE"""),"-")</f>
        <v>-</v>
      </c>
      <c r="K195" t="str">
        <f>IFERROR(__xludf.DUMMYFUNCTION("""COMPUTED_VALUE"""),"-")</f>
        <v>-</v>
      </c>
      <c r="L195" t="str">
        <f>IFERROR(__xludf.DUMMYFUNCTION("""COMPUTED_VALUE"""),"-")</f>
        <v>-</v>
      </c>
      <c r="M195" t="str">
        <f>IFERROR(__xludf.DUMMYFUNCTION("""COMPUTED_VALUE"""),"-")</f>
        <v>-</v>
      </c>
      <c r="O195" t="str">
        <f>IFERROR(__xludf.DUMMYFUNCTION("""COMPUTED_VALUE"""),"#194")</f>
        <v>#194</v>
      </c>
      <c r="P195" t="str">
        <f>IFERROR(__xludf.DUMMYFUNCTION("""COMPUTED_VALUE"""),"Jean-Luc Moudenc")</f>
        <v>Jean-Luc Moudenc</v>
      </c>
      <c r="Q195">
        <f>IFERROR(__xludf.DUMMYFUNCTION("""COMPUTED_VALUE"""),30209.0)</f>
        <v>30209</v>
      </c>
      <c r="R195" t="str">
        <f>IFERROR(__xludf.DUMMYFUNCTION("""COMPUTED_VALUE"""),"-")</f>
        <v>-</v>
      </c>
      <c r="S195" t="str">
        <f>IFERROR(__xludf.DUMMYFUNCTION("""COMPUTED_VALUE"""),"-")</f>
        <v>-</v>
      </c>
      <c r="T195" t="str">
        <f>IFERROR(__xludf.DUMMYFUNCTION("""COMPUTED_VALUE"""),"-")</f>
        <v>-</v>
      </c>
      <c r="U195" t="str">
        <f>IFERROR(__xludf.DUMMYFUNCTION("""COMPUTED_VALUE"""),"-")</f>
        <v>-</v>
      </c>
      <c r="V195" t="str">
        <f>IFERROR(__xludf.DUMMYFUNCTION("""COMPUTED_VALUE"""),"-")</f>
        <v>-</v>
      </c>
      <c r="W195" t="str">
        <f>IFERROR(__xludf.DUMMYFUNCTION("""COMPUTED_VALUE"""),"-")</f>
        <v>-</v>
      </c>
      <c r="X195" t="str">
        <f>IFERROR(__xludf.DUMMYFUNCTION("""COMPUTED_VALUE"""),"-")</f>
        <v>-</v>
      </c>
      <c r="Y195" t="str">
        <f>IFERROR(__xludf.DUMMYFUNCTION("""COMPUTED_VALUE"""),"-")</f>
        <v>-</v>
      </c>
      <c r="Z195" t="str">
        <f>IFERROR(__xludf.DUMMYFUNCTION("""COMPUTED_VALUE"""),"-")</f>
        <v>-</v>
      </c>
      <c r="AA195" t="str">
        <f>IFERROR(__xludf.DUMMYFUNCTION("""COMPUTED_VALUE"""),"-")</f>
        <v>-</v>
      </c>
    </row>
    <row r="196">
      <c r="A196" t="str">
        <f>IFERROR(__xludf.DUMMYFUNCTION("""COMPUTED_VALUE"""),"#195")</f>
        <v>#195</v>
      </c>
      <c r="B196" t="str">
        <f>IFERROR(__xludf.DUMMYFUNCTION("""COMPUTED_VALUE"""),"Jean-Claude Gaudin")</f>
        <v>Jean-Claude Gaudin</v>
      </c>
      <c r="C196">
        <f>IFERROR(__xludf.DUMMYFUNCTION("""COMPUTED_VALUE"""),29949.0)</f>
        <v>29949</v>
      </c>
      <c r="D196" t="str">
        <f>IFERROR(__xludf.DUMMYFUNCTION("""COMPUTED_VALUE"""),"-")</f>
        <v>-</v>
      </c>
      <c r="E196" t="str">
        <f>IFERROR(__xludf.DUMMYFUNCTION("""COMPUTED_VALUE"""),"-")</f>
        <v>-</v>
      </c>
      <c r="F196" t="str">
        <f>IFERROR(__xludf.DUMMYFUNCTION("""COMPUTED_VALUE"""),"-")</f>
        <v>-</v>
      </c>
      <c r="G196" t="str">
        <f>IFERROR(__xludf.DUMMYFUNCTION("""COMPUTED_VALUE"""),"-")</f>
        <v>-</v>
      </c>
      <c r="H196" t="str">
        <f>IFERROR(__xludf.DUMMYFUNCTION("""COMPUTED_VALUE"""),"-")</f>
        <v>-</v>
      </c>
      <c r="I196" t="str">
        <f>IFERROR(__xludf.DUMMYFUNCTION("""COMPUTED_VALUE"""),"-")</f>
        <v>-</v>
      </c>
      <c r="J196" t="str">
        <f>IFERROR(__xludf.DUMMYFUNCTION("""COMPUTED_VALUE"""),"-")</f>
        <v>-</v>
      </c>
      <c r="K196" t="str">
        <f>IFERROR(__xludf.DUMMYFUNCTION("""COMPUTED_VALUE"""),"-")</f>
        <v>-</v>
      </c>
      <c r="L196" t="str">
        <f>IFERROR(__xludf.DUMMYFUNCTION("""COMPUTED_VALUE"""),"-")</f>
        <v>-</v>
      </c>
      <c r="M196" t="str">
        <f>IFERROR(__xludf.DUMMYFUNCTION("""COMPUTED_VALUE"""),"-")</f>
        <v>-</v>
      </c>
      <c r="O196" t="str">
        <f>IFERROR(__xludf.DUMMYFUNCTION("""COMPUTED_VALUE"""),"#195")</f>
        <v>#195</v>
      </c>
      <c r="P196" t="str">
        <f>IFERROR(__xludf.DUMMYFUNCTION("""COMPUTED_VALUE"""),"Jean-Claude Gaudin")</f>
        <v>Jean-Claude Gaudin</v>
      </c>
      <c r="Q196">
        <f>IFERROR(__xludf.DUMMYFUNCTION("""COMPUTED_VALUE"""),29949.0)</f>
        <v>29949</v>
      </c>
      <c r="R196" t="str">
        <f>IFERROR(__xludf.DUMMYFUNCTION("""COMPUTED_VALUE"""),"-")</f>
        <v>-</v>
      </c>
      <c r="S196" t="str">
        <f>IFERROR(__xludf.DUMMYFUNCTION("""COMPUTED_VALUE"""),"-")</f>
        <v>-</v>
      </c>
      <c r="T196" t="str">
        <f>IFERROR(__xludf.DUMMYFUNCTION("""COMPUTED_VALUE"""),"-")</f>
        <v>-</v>
      </c>
      <c r="U196" t="str">
        <f>IFERROR(__xludf.DUMMYFUNCTION("""COMPUTED_VALUE"""),"-")</f>
        <v>-</v>
      </c>
      <c r="V196" t="str">
        <f>IFERROR(__xludf.DUMMYFUNCTION("""COMPUTED_VALUE"""),"-")</f>
        <v>-</v>
      </c>
      <c r="W196" t="str">
        <f>IFERROR(__xludf.DUMMYFUNCTION("""COMPUTED_VALUE"""),"-")</f>
        <v>-</v>
      </c>
      <c r="X196" t="str">
        <f>IFERROR(__xludf.DUMMYFUNCTION("""COMPUTED_VALUE"""),"-")</f>
        <v>-</v>
      </c>
      <c r="Y196" t="str">
        <f>IFERROR(__xludf.DUMMYFUNCTION("""COMPUTED_VALUE"""),"-")</f>
        <v>-</v>
      </c>
      <c r="Z196" t="str">
        <f>IFERROR(__xludf.DUMMYFUNCTION("""COMPUTED_VALUE"""),"-")</f>
        <v>-</v>
      </c>
      <c r="AA196" t="str">
        <f>IFERROR(__xludf.DUMMYFUNCTION("""COMPUTED_VALUE"""),"-")</f>
        <v>-</v>
      </c>
    </row>
    <row r="197">
      <c r="A197" t="str">
        <f>IFERROR(__xludf.DUMMYFUNCTION("""COMPUTED_VALUE"""),"#196")</f>
        <v>#196</v>
      </c>
      <c r="B197" t="str">
        <f>IFERROR(__xludf.DUMMYFUNCTION("""COMPUTED_VALUE"""),"Loïc Hervé")</f>
        <v>Loïc Hervé</v>
      </c>
      <c r="C197">
        <f>IFERROR(__xludf.DUMMYFUNCTION("""COMPUTED_VALUE"""),29714.0)</f>
        <v>29714</v>
      </c>
      <c r="D197" t="str">
        <f>IFERROR(__xludf.DUMMYFUNCTION("""COMPUTED_VALUE"""),"-")</f>
        <v>-</v>
      </c>
      <c r="E197" t="str">
        <f>IFERROR(__xludf.DUMMYFUNCTION("""COMPUTED_VALUE"""),"-")</f>
        <v>-</v>
      </c>
      <c r="F197" t="str">
        <f>IFERROR(__xludf.DUMMYFUNCTION("""COMPUTED_VALUE"""),"-")</f>
        <v>-</v>
      </c>
      <c r="G197" t="str">
        <f>IFERROR(__xludf.DUMMYFUNCTION("""COMPUTED_VALUE"""),"-")</f>
        <v>-</v>
      </c>
      <c r="H197" t="str">
        <f>IFERROR(__xludf.DUMMYFUNCTION("""COMPUTED_VALUE"""),"-")</f>
        <v>-</v>
      </c>
      <c r="I197" t="str">
        <f>IFERROR(__xludf.DUMMYFUNCTION("""COMPUTED_VALUE"""),"-")</f>
        <v>-</v>
      </c>
      <c r="J197" t="str">
        <f>IFERROR(__xludf.DUMMYFUNCTION("""COMPUTED_VALUE"""),"-")</f>
        <v>-</v>
      </c>
      <c r="K197" t="str">
        <f>IFERROR(__xludf.DUMMYFUNCTION("""COMPUTED_VALUE"""),"-")</f>
        <v>-</v>
      </c>
      <c r="L197" t="str">
        <f>IFERROR(__xludf.DUMMYFUNCTION("""COMPUTED_VALUE"""),"-")</f>
        <v>-</v>
      </c>
      <c r="M197" t="str">
        <f>IFERROR(__xludf.DUMMYFUNCTION("""COMPUTED_VALUE"""),"-")</f>
        <v>-</v>
      </c>
      <c r="O197" t="str">
        <f>IFERROR(__xludf.DUMMYFUNCTION("""COMPUTED_VALUE"""),"#196")</f>
        <v>#196</v>
      </c>
      <c r="P197" t="str">
        <f>IFERROR(__xludf.DUMMYFUNCTION("""COMPUTED_VALUE"""),"Loïc Hervé")</f>
        <v>Loïc Hervé</v>
      </c>
      <c r="Q197">
        <f>IFERROR(__xludf.DUMMYFUNCTION("""COMPUTED_VALUE"""),29714.0)</f>
        <v>29714</v>
      </c>
      <c r="R197" t="str">
        <f>IFERROR(__xludf.DUMMYFUNCTION("""COMPUTED_VALUE"""),"-")</f>
        <v>-</v>
      </c>
      <c r="S197" t="str">
        <f>IFERROR(__xludf.DUMMYFUNCTION("""COMPUTED_VALUE"""),"-")</f>
        <v>-</v>
      </c>
      <c r="T197" t="str">
        <f>IFERROR(__xludf.DUMMYFUNCTION("""COMPUTED_VALUE"""),"-")</f>
        <v>-</v>
      </c>
      <c r="U197" t="str">
        <f>IFERROR(__xludf.DUMMYFUNCTION("""COMPUTED_VALUE"""),"-")</f>
        <v>-</v>
      </c>
      <c r="V197" t="str">
        <f>IFERROR(__xludf.DUMMYFUNCTION("""COMPUTED_VALUE"""),"-")</f>
        <v>-</v>
      </c>
      <c r="W197" t="str">
        <f>IFERROR(__xludf.DUMMYFUNCTION("""COMPUTED_VALUE"""),"-")</f>
        <v>-</v>
      </c>
      <c r="X197" t="str">
        <f>IFERROR(__xludf.DUMMYFUNCTION("""COMPUTED_VALUE"""),"-")</f>
        <v>-</v>
      </c>
      <c r="Y197" t="str">
        <f>IFERROR(__xludf.DUMMYFUNCTION("""COMPUTED_VALUE"""),"-")</f>
        <v>-</v>
      </c>
      <c r="Z197" t="str">
        <f>IFERROR(__xludf.DUMMYFUNCTION("""COMPUTED_VALUE"""),"-")</f>
        <v>-</v>
      </c>
      <c r="AA197" t="str">
        <f>IFERROR(__xludf.DUMMYFUNCTION("""COMPUTED_VALUE"""),"-")</f>
        <v>-</v>
      </c>
    </row>
    <row r="198">
      <c r="A198" t="str">
        <f>IFERROR(__xludf.DUMMYFUNCTION("""COMPUTED_VALUE"""),"#197")</f>
        <v>#197</v>
      </c>
      <c r="B198" t="str">
        <f>IFERROR(__xludf.DUMMYFUNCTION("""COMPUTED_VALUE"""),"Aymeric Chauprade")</f>
        <v>Aymeric Chauprade</v>
      </c>
      <c r="C198">
        <f>IFERROR(__xludf.DUMMYFUNCTION("""COMPUTED_VALUE"""),29668.0)</f>
        <v>29668</v>
      </c>
      <c r="D198" t="str">
        <f>IFERROR(__xludf.DUMMYFUNCTION("""COMPUTED_VALUE"""),"-")</f>
        <v>-</v>
      </c>
      <c r="E198" t="str">
        <f>IFERROR(__xludf.DUMMYFUNCTION("""COMPUTED_VALUE"""),"-")</f>
        <v>-</v>
      </c>
      <c r="F198" t="str">
        <f>IFERROR(__xludf.DUMMYFUNCTION("""COMPUTED_VALUE"""),"-")</f>
        <v>-</v>
      </c>
      <c r="G198" t="str">
        <f>IFERROR(__xludf.DUMMYFUNCTION("""COMPUTED_VALUE"""),"-")</f>
        <v>-</v>
      </c>
      <c r="H198" t="str">
        <f>IFERROR(__xludf.DUMMYFUNCTION("""COMPUTED_VALUE"""),"-")</f>
        <v>-</v>
      </c>
      <c r="I198" t="str">
        <f>IFERROR(__xludf.DUMMYFUNCTION("""COMPUTED_VALUE"""),"-")</f>
        <v>-</v>
      </c>
      <c r="J198" t="str">
        <f>IFERROR(__xludf.DUMMYFUNCTION("""COMPUTED_VALUE"""),"-")</f>
        <v>-</v>
      </c>
      <c r="K198" t="str">
        <f>IFERROR(__xludf.DUMMYFUNCTION("""COMPUTED_VALUE"""),"-")</f>
        <v>-</v>
      </c>
      <c r="L198" t="str">
        <f>IFERROR(__xludf.DUMMYFUNCTION("""COMPUTED_VALUE"""),"-")</f>
        <v>-</v>
      </c>
      <c r="M198" t="str">
        <f>IFERROR(__xludf.DUMMYFUNCTION("""COMPUTED_VALUE"""),"-")</f>
        <v>-</v>
      </c>
      <c r="O198" t="str">
        <f>IFERROR(__xludf.DUMMYFUNCTION("""COMPUTED_VALUE"""),"#197")</f>
        <v>#197</v>
      </c>
      <c r="P198" t="str">
        <f>IFERROR(__xludf.DUMMYFUNCTION("""COMPUTED_VALUE"""),"Aymeric Chauprade")</f>
        <v>Aymeric Chauprade</v>
      </c>
      <c r="Q198">
        <f>IFERROR(__xludf.DUMMYFUNCTION("""COMPUTED_VALUE"""),29668.0)</f>
        <v>29668</v>
      </c>
      <c r="R198" t="str">
        <f>IFERROR(__xludf.DUMMYFUNCTION("""COMPUTED_VALUE"""),"-")</f>
        <v>-</v>
      </c>
      <c r="S198" t="str">
        <f>IFERROR(__xludf.DUMMYFUNCTION("""COMPUTED_VALUE"""),"-")</f>
        <v>-</v>
      </c>
      <c r="T198" t="str">
        <f>IFERROR(__xludf.DUMMYFUNCTION("""COMPUTED_VALUE"""),"-")</f>
        <v>-</v>
      </c>
      <c r="U198" t="str">
        <f>IFERROR(__xludf.DUMMYFUNCTION("""COMPUTED_VALUE"""),"-")</f>
        <v>-</v>
      </c>
      <c r="V198" t="str">
        <f>IFERROR(__xludf.DUMMYFUNCTION("""COMPUTED_VALUE"""),"-")</f>
        <v>-</v>
      </c>
      <c r="W198" t="str">
        <f>IFERROR(__xludf.DUMMYFUNCTION("""COMPUTED_VALUE"""),"-")</f>
        <v>-</v>
      </c>
      <c r="X198" t="str">
        <f>IFERROR(__xludf.DUMMYFUNCTION("""COMPUTED_VALUE"""),"-")</f>
        <v>-</v>
      </c>
      <c r="Y198" t="str">
        <f>IFERROR(__xludf.DUMMYFUNCTION("""COMPUTED_VALUE"""),"-")</f>
        <v>-</v>
      </c>
      <c r="Z198" t="str">
        <f>IFERROR(__xludf.DUMMYFUNCTION("""COMPUTED_VALUE"""),"-")</f>
        <v>-</v>
      </c>
      <c r="AA198" t="str">
        <f>IFERROR(__xludf.DUMMYFUNCTION("""COMPUTED_VALUE"""),"-")</f>
        <v>-</v>
      </c>
    </row>
    <row r="199">
      <c r="A199" t="str">
        <f>IFERROR(__xludf.DUMMYFUNCTION("""COMPUTED_VALUE"""),"#198")</f>
        <v>#198</v>
      </c>
      <c r="B199" t="str">
        <f>IFERROR(__xludf.DUMMYFUNCTION("""COMPUTED_VALUE"""),"Victorin LUREL")</f>
        <v>Victorin LUREL</v>
      </c>
      <c r="C199">
        <f>IFERROR(__xludf.DUMMYFUNCTION("""COMPUTED_VALUE"""),29646.0)</f>
        <v>29646</v>
      </c>
      <c r="D199" t="str">
        <f>IFERROR(__xludf.DUMMYFUNCTION("""COMPUTED_VALUE"""),"-")</f>
        <v>-</v>
      </c>
      <c r="E199" t="str">
        <f>IFERROR(__xludf.DUMMYFUNCTION("""COMPUTED_VALUE"""),"-")</f>
        <v>-</v>
      </c>
      <c r="F199" t="str">
        <f>IFERROR(__xludf.DUMMYFUNCTION("""COMPUTED_VALUE"""),"-")</f>
        <v>-</v>
      </c>
      <c r="G199" t="str">
        <f>IFERROR(__xludf.DUMMYFUNCTION("""COMPUTED_VALUE"""),"-")</f>
        <v>-</v>
      </c>
      <c r="H199" t="str">
        <f>IFERROR(__xludf.DUMMYFUNCTION("""COMPUTED_VALUE"""),"-")</f>
        <v>-</v>
      </c>
      <c r="I199" t="str">
        <f>IFERROR(__xludf.DUMMYFUNCTION("""COMPUTED_VALUE"""),"-")</f>
        <v>-</v>
      </c>
      <c r="J199" t="str">
        <f>IFERROR(__xludf.DUMMYFUNCTION("""COMPUTED_VALUE"""),"-")</f>
        <v>-</v>
      </c>
      <c r="K199" t="str">
        <f>IFERROR(__xludf.DUMMYFUNCTION("""COMPUTED_VALUE"""),"-")</f>
        <v>-</v>
      </c>
      <c r="L199" t="str">
        <f>IFERROR(__xludf.DUMMYFUNCTION("""COMPUTED_VALUE"""),"-")</f>
        <v>-</v>
      </c>
      <c r="M199" t="str">
        <f>IFERROR(__xludf.DUMMYFUNCTION("""COMPUTED_VALUE"""),"-")</f>
        <v>-</v>
      </c>
      <c r="O199" t="str">
        <f>IFERROR(__xludf.DUMMYFUNCTION("""COMPUTED_VALUE"""),"#198")</f>
        <v>#198</v>
      </c>
      <c r="P199" t="str">
        <f>IFERROR(__xludf.DUMMYFUNCTION("""COMPUTED_VALUE"""),"Victorin LUREL")</f>
        <v>Victorin LUREL</v>
      </c>
      <c r="Q199">
        <f>IFERROR(__xludf.DUMMYFUNCTION("""COMPUTED_VALUE"""),29646.0)</f>
        <v>29646</v>
      </c>
      <c r="R199" t="str">
        <f>IFERROR(__xludf.DUMMYFUNCTION("""COMPUTED_VALUE"""),"-")</f>
        <v>-</v>
      </c>
      <c r="S199" t="str">
        <f>IFERROR(__xludf.DUMMYFUNCTION("""COMPUTED_VALUE"""),"-")</f>
        <v>-</v>
      </c>
      <c r="T199" t="str">
        <f>IFERROR(__xludf.DUMMYFUNCTION("""COMPUTED_VALUE"""),"-")</f>
        <v>-</v>
      </c>
      <c r="U199" t="str">
        <f>IFERROR(__xludf.DUMMYFUNCTION("""COMPUTED_VALUE"""),"-")</f>
        <v>-</v>
      </c>
      <c r="V199" t="str">
        <f>IFERROR(__xludf.DUMMYFUNCTION("""COMPUTED_VALUE"""),"-")</f>
        <v>-</v>
      </c>
      <c r="W199" t="str">
        <f>IFERROR(__xludf.DUMMYFUNCTION("""COMPUTED_VALUE"""),"-")</f>
        <v>-</v>
      </c>
      <c r="X199" t="str">
        <f>IFERROR(__xludf.DUMMYFUNCTION("""COMPUTED_VALUE"""),"-")</f>
        <v>-</v>
      </c>
      <c r="Y199" t="str">
        <f>IFERROR(__xludf.DUMMYFUNCTION("""COMPUTED_VALUE"""),"-")</f>
        <v>-</v>
      </c>
      <c r="Z199" t="str">
        <f>IFERROR(__xludf.DUMMYFUNCTION("""COMPUTED_VALUE"""),"-")</f>
        <v>-</v>
      </c>
      <c r="AA199" t="str">
        <f>IFERROR(__xludf.DUMMYFUNCTION("""COMPUTED_VALUE"""),"-")</f>
        <v>-</v>
      </c>
    </row>
    <row r="200">
      <c r="A200" t="str">
        <f>IFERROR(__xludf.DUMMYFUNCTION("""COMPUTED_VALUE"""),"#199")</f>
        <v>#199</v>
      </c>
      <c r="B200" t="str">
        <f>IFERROR(__xludf.DUMMYFUNCTION("""COMPUTED_VALUE"""),"Djordje Kuzmanovic")</f>
        <v>Djordje Kuzmanovic</v>
      </c>
      <c r="C200">
        <f>IFERROR(__xludf.DUMMYFUNCTION("""COMPUTED_VALUE"""),29612.0)</f>
        <v>29612</v>
      </c>
      <c r="D200" t="str">
        <f>IFERROR(__xludf.DUMMYFUNCTION("""COMPUTED_VALUE"""),"-")</f>
        <v>-</v>
      </c>
      <c r="E200" t="str">
        <f>IFERROR(__xludf.DUMMYFUNCTION("""COMPUTED_VALUE"""),"-")</f>
        <v>-</v>
      </c>
      <c r="F200" t="str">
        <f>IFERROR(__xludf.DUMMYFUNCTION("""COMPUTED_VALUE"""),"-")</f>
        <v>-</v>
      </c>
      <c r="G200" t="str">
        <f>IFERROR(__xludf.DUMMYFUNCTION("""COMPUTED_VALUE"""),"-")</f>
        <v>-</v>
      </c>
      <c r="H200" t="str">
        <f>IFERROR(__xludf.DUMMYFUNCTION("""COMPUTED_VALUE"""),"-")</f>
        <v>-</v>
      </c>
      <c r="I200" t="str">
        <f>IFERROR(__xludf.DUMMYFUNCTION("""COMPUTED_VALUE"""),"-")</f>
        <v>-</v>
      </c>
      <c r="J200" t="str">
        <f>IFERROR(__xludf.DUMMYFUNCTION("""COMPUTED_VALUE"""),"-")</f>
        <v>-</v>
      </c>
      <c r="K200" t="str">
        <f>IFERROR(__xludf.DUMMYFUNCTION("""COMPUTED_VALUE"""),"-")</f>
        <v>-</v>
      </c>
      <c r="L200" t="str">
        <f>IFERROR(__xludf.DUMMYFUNCTION("""COMPUTED_VALUE"""),"-")</f>
        <v>-</v>
      </c>
      <c r="M200" t="str">
        <f>IFERROR(__xludf.DUMMYFUNCTION("""COMPUTED_VALUE"""),"-")</f>
        <v>-</v>
      </c>
      <c r="O200" t="str">
        <f>IFERROR(__xludf.DUMMYFUNCTION("""COMPUTED_VALUE"""),"#199")</f>
        <v>#199</v>
      </c>
      <c r="P200" t="str">
        <f>IFERROR(__xludf.DUMMYFUNCTION("""COMPUTED_VALUE"""),"Djordje Kuzmanovic")</f>
        <v>Djordje Kuzmanovic</v>
      </c>
      <c r="Q200">
        <f>IFERROR(__xludf.DUMMYFUNCTION("""COMPUTED_VALUE"""),29612.0)</f>
        <v>29612</v>
      </c>
      <c r="R200" t="str">
        <f>IFERROR(__xludf.DUMMYFUNCTION("""COMPUTED_VALUE"""),"-")</f>
        <v>-</v>
      </c>
      <c r="S200" t="str">
        <f>IFERROR(__xludf.DUMMYFUNCTION("""COMPUTED_VALUE"""),"-")</f>
        <v>-</v>
      </c>
      <c r="T200" t="str">
        <f>IFERROR(__xludf.DUMMYFUNCTION("""COMPUTED_VALUE"""),"-")</f>
        <v>-</v>
      </c>
      <c r="U200" t="str">
        <f>IFERROR(__xludf.DUMMYFUNCTION("""COMPUTED_VALUE"""),"-")</f>
        <v>-</v>
      </c>
      <c r="V200" t="str">
        <f>IFERROR(__xludf.DUMMYFUNCTION("""COMPUTED_VALUE"""),"-")</f>
        <v>-</v>
      </c>
      <c r="W200" t="str">
        <f>IFERROR(__xludf.DUMMYFUNCTION("""COMPUTED_VALUE"""),"-")</f>
        <v>-</v>
      </c>
      <c r="X200" t="str">
        <f>IFERROR(__xludf.DUMMYFUNCTION("""COMPUTED_VALUE"""),"-")</f>
        <v>-</v>
      </c>
      <c r="Y200" t="str">
        <f>IFERROR(__xludf.DUMMYFUNCTION("""COMPUTED_VALUE"""),"-")</f>
        <v>-</v>
      </c>
      <c r="Z200" t="str">
        <f>IFERROR(__xludf.DUMMYFUNCTION("""COMPUTED_VALUE"""),"-")</f>
        <v>-</v>
      </c>
      <c r="AA200" t="str">
        <f>IFERROR(__xludf.DUMMYFUNCTION("""COMPUTED_VALUE"""),"-")</f>
        <v>-</v>
      </c>
    </row>
    <row r="201">
      <c r="A201" t="str">
        <f>IFERROR(__xludf.DUMMYFUNCTION("""COMPUTED_VALUE"""),"#200")</f>
        <v>#200</v>
      </c>
      <c r="B201" t="str">
        <f>IFERROR(__xludf.DUMMYFUNCTION("""COMPUTED_VALUE"""),"Antoine Baudino")</f>
        <v>Antoine Baudino</v>
      </c>
      <c r="C201">
        <f>IFERROR(__xludf.DUMMYFUNCTION("""COMPUTED_VALUE"""),29468.0)</f>
        <v>29468</v>
      </c>
      <c r="D201" t="str">
        <f>IFERROR(__xludf.DUMMYFUNCTION("""COMPUTED_VALUE"""),"-")</f>
        <v>-</v>
      </c>
      <c r="E201" t="str">
        <f>IFERROR(__xludf.DUMMYFUNCTION("""COMPUTED_VALUE"""),"-")</f>
        <v>-</v>
      </c>
      <c r="F201" t="str">
        <f>IFERROR(__xludf.DUMMYFUNCTION("""COMPUTED_VALUE"""),"-")</f>
        <v>-</v>
      </c>
      <c r="G201" t="str">
        <f>IFERROR(__xludf.DUMMYFUNCTION("""COMPUTED_VALUE"""),"-")</f>
        <v>-</v>
      </c>
      <c r="H201" t="str">
        <f>IFERROR(__xludf.DUMMYFUNCTION("""COMPUTED_VALUE"""),"-")</f>
        <v>-</v>
      </c>
      <c r="I201" t="str">
        <f>IFERROR(__xludf.DUMMYFUNCTION("""COMPUTED_VALUE"""),"-")</f>
        <v>-</v>
      </c>
      <c r="J201" t="str">
        <f>IFERROR(__xludf.DUMMYFUNCTION("""COMPUTED_VALUE"""),"-")</f>
        <v>-</v>
      </c>
      <c r="K201" t="str">
        <f>IFERROR(__xludf.DUMMYFUNCTION("""COMPUTED_VALUE"""),"-")</f>
        <v>-</v>
      </c>
      <c r="L201" t="str">
        <f>IFERROR(__xludf.DUMMYFUNCTION("""COMPUTED_VALUE"""),"-")</f>
        <v>-</v>
      </c>
      <c r="M201" t="str">
        <f>IFERROR(__xludf.DUMMYFUNCTION("""COMPUTED_VALUE"""),"-")</f>
        <v>-</v>
      </c>
      <c r="O201" t="str">
        <f>IFERROR(__xludf.DUMMYFUNCTION("""COMPUTED_VALUE"""),"#200")</f>
        <v>#200</v>
      </c>
      <c r="P201" t="str">
        <f>IFERROR(__xludf.DUMMYFUNCTION("""COMPUTED_VALUE"""),"Antoine Baudino")</f>
        <v>Antoine Baudino</v>
      </c>
      <c r="Q201">
        <f>IFERROR(__xludf.DUMMYFUNCTION("""COMPUTED_VALUE"""),29468.0)</f>
        <v>29468</v>
      </c>
      <c r="R201" t="str">
        <f>IFERROR(__xludf.DUMMYFUNCTION("""COMPUTED_VALUE"""),"-")</f>
        <v>-</v>
      </c>
      <c r="S201" t="str">
        <f>IFERROR(__xludf.DUMMYFUNCTION("""COMPUTED_VALUE"""),"-")</f>
        <v>-</v>
      </c>
      <c r="T201" t="str">
        <f>IFERROR(__xludf.DUMMYFUNCTION("""COMPUTED_VALUE"""),"-")</f>
        <v>-</v>
      </c>
      <c r="U201" t="str">
        <f>IFERROR(__xludf.DUMMYFUNCTION("""COMPUTED_VALUE"""),"-")</f>
        <v>-</v>
      </c>
      <c r="V201" t="str">
        <f>IFERROR(__xludf.DUMMYFUNCTION("""COMPUTED_VALUE"""),"-")</f>
        <v>-</v>
      </c>
      <c r="W201" t="str">
        <f>IFERROR(__xludf.DUMMYFUNCTION("""COMPUTED_VALUE"""),"-")</f>
        <v>-</v>
      </c>
      <c r="X201" t="str">
        <f>IFERROR(__xludf.DUMMYFUNCTION("""COMPUTED_VALUE"""),"-")</f>
        <v>-</v>
      </c>
      <c r="Y201" t="str">
        <f>IFERROR(__xludf.DUMMYFUNCTION("""COMPUTED_VALUE"""),"-")</f>
        <v>-</v>
      </c>
      <c r="Z201" t="str">
        <f>IFERROR(__xludf.DUMMYFUNCTION("""COMPUTED_VALUE"""),"-")</f>
        <v>-</v>
      </c>
      <c r="AA201" t="str">
        <f>IFERROR(__xludf.DUMMYFUNCTION("""COMPUTED_VALUE"""),"-")</f>
        <v>-</v>
      </c>
    </row>
    <row r="202">
      <c r="A202" t="str">
        <f>IFERROR(__xludf.DUMMYFUNCTION("""COMPUTED_VALUE"""),"#201")</f>
        <v>#201</v>
      </c>
      <c r="B202" t="str">
        <f>IFERROR(__xludf.DUMMYFUNCTION("""COMPUTED_VALUE"""),"Bernard Accoyer")</f>
        <v>Bernard Accoyer</v>
      </c>
      <c r="C202">
        <f>IFERROR(__xludf.DUMMYFUNCTION("""COMPUTED_VALUE"""),29464.0)</f>
        <v>29464</v>
      </c>
      <c r="D202" t="str">
        <f>IFERROR(__xludf.DUMMYFUNCTION("""COMPUTED_VALUE"""),"-")</f>
        <v>-</v>
      </c>
      <c r="E202" t="str">
        <f>IFERROR(__xludf.DUMMYFUNCTION("""COMPUTED_VALUE"""),"-")</f>
        <v>-</v>
      </c>
      <c r="F202" t="str">
        <f>IFERROR(__xludf.DUMMYFUNCTION("""COMPUTED_VALUE"""),"-")</f>
        <v>-</v>
      </c>
      <c r="G202" t="str">
        <f>IFERROR(__xludf.DUMMYFUNCTION("""COMPUTED_VALUE"""),"-")</f>
        <v>-</v>
      </c>
      <c r="H202" t="str">
        <f>IFERROR(__xludf.DUMMYFUNCTION("""COMPUTED_VALUE"""),"-")</f>
        <v>-</v>
      </c>
      <c r="I202" t="str">
        <f>IFERROR(__xludf.DUMMYFUNCTION("""COMPUTED_VALUE"""),"-")</f>
        <v>-</v>
      </c>
      <c r="J202" t="str">
        <f>IFERROR(__xludf.DUMMYFUNCTION("""COMPUTED_VALUE"""),"-")</f>
        <v>-</v>
      </c>
      <c r="K202" t="str">
        <f>IFERROR(__xludf.DUMMYFUNCTION("""COMPUTED_VALUE"""),"-")</f>
        <v>-</v>
      </c>
      <c r="L202" t="str">
        <f>IFERROR(__xludf.DUMMYFUNCTION("""COMPUTED_VALUE"""),"-")</f>
        <v>-</v>
      </c>
      <c r="M202" t="str">
        <f>IFERROR(__xludf.DUMMYFUNCTION("""COMPUTED_VALUE"""),"-")</f>
        <v>-</v>
      </c>
      <c r="O202" t="str">
        <f>IFERROR(__xludf.DUMMYFUNCTION("""COMPUTED_VALUE"""),"#201")</f>
        <v>#201</v>
      </c>
      <c r="P202" t="str">
        <f>IFERROR(__xludf.DUMMYFUNCTION("""COMPUTED_VALUE"""),"Bernard Accoyer")</f>
        <v>Bernard Accoyer</v>
      </c>
      <c r="Q202">
        <f>IFERROR(__xludf.DUMMYFUNCTION("""COMPUTED_VALUE"""),29464.0)</f>
        <v>29464</v>
      </c>
      <c r="R202" t="str">
        <f>IFERROR(__xludf.DUMMYFUNCTION("""COMPUTED_VALUE"""),"-")</f>
        <v>-</v>
      </c>
      <c r="S202" t="str">
        <f>IFERROR(__xludf.DUMMYFUNCTION("""COMPUTED_VALUE"""),"-")</f>
        <v>-</v>
      </c>
      <c r="T202" t="str">
        <f>IFERROR(__xludf.DUMMYFUNCTION("""COMPUTED_VALUE"""),"-")</f>
        <v>-</v>
      </c>
      <c r="U202" t="str">
        <f>IFERROR(__xludf.DUMMYFUNCTION("""COMPUTED_VALUE"""),"-")</f>
        <v>-</v>
      </c>
      <c r="V202" t="str">
        <f>IFERROR(__xludf.DUMMYFUNCTION("""COMPUTED_VALUE"""),"-")</f>
        <v>-</v>
      </c>
      <c r="W202" t="str">
        <f>IFERROR(__xludf.DUMMYFUNCTION("""COMPUTED_VALUE"""),"-")</f>
        <v>-</v>
      </c>
      <c r="X202" t="str">
        <f>IFERROR(__xludf.DUMMYFUNCTION("""COMPUTED_VALUE"""),"-")</f>
        <v>-</v>
      </c>
      <c r="Y202" t="str">
        <f>IFERROR(__xludf.DUMMYFUNCTION("""COMPUTED_VALUE"""),"-")</f>
        <v>-</v>
      </c>
      <c r="Z202" t="str">
        <f>IFERROR(__xludf.DUMMYFUNCTION("""COMPUTED_VALUE"""),"-")</f>
        <v>-</v>
      </c>
      <c r="AA202" t="str">
        <f>IFERROR(__xludf.DUMMYFUNCTION("""COMPUTED_VALUE"""),"-")</f>
        <v>-</v>
      </c>
    </row>
    <row r="203">
      <c r="A203" t="str">
        <f>IFERROR(__xludf.DUMMYFUNCTION("""COMPUTED_VALUE"""),"#202")</f>
        <v>#202</v>
      </c>
      <c r="B203" t="str">
        <f>IFERROR(__xludf.DUMMYFUNCTION("""COMPUTED_VALUE"""),"Pierre-Yves Bournazel")</f>
        <v>Pierre-Yves Bournazel</v>
      </c>
      <c r="C203">
        <f>IFERROR(__xludf.DUMMYFUNCTION("""COMPUTED_VALUE"""),29187.0)</f>
        <v>29187</v>
      </c>
      <c r="D203" t="str">
        <f>IFERROR(__xludf.DUMMYFUNCTION("""COMPUTED_VALUE"""),"-")</f>
        <v>-</v>
      </c>
      <c r="E203" t="str">
        <f>IFERROR(__xludf.DUMMYFUNCTION("""COMPUTED_VALUE"""),"-")</f>
        <v>-</v>
      </c>
      <c r="F203" t="str">
        <f>IFERROR(__xludf.DUMMYFUNCTION("""COMPUTED_VALUE"""),"-")</f>
        <v>-</v>
      </c>
      <c r="G203" t="str">
        <f>IFERROR(__xludf.DUMMYFUNCTION("""COMPUTED_VALUE"""),"-")</f>
        <v>-</v>
      </c>
      <c r="H203" t="str">
        <f>IFERROR(__xludf.DUMMYFUNCTION("""COMPUTED_VALUE"""),"-")</f>
        <v>-</v>
      </c>
      <c r="I203" t="str">
        <f>IFERROR(__xludf.DUMMYFUNCTION("""COMPUTED_VALUE"""),"-")</f>
        <v>-</v>
      </c>
      <c r="J203" t="str">
        <f>IFERROR(__xludf.DUMMYFUNCTION("""COMPUTED_VALUE"""),"-")</f>
        <v>-</v>
      </c>
      <c r="K203" t="str">
        <f>IFERROR(__xludf.DUMMYFUNCTION("""COMPUTED_VALUE"""),"-")</f>
        <v>-</v>
      </c>
      <c r="L203" t="str">
        <f>IFERROR(__xludf.DUMMYFUNCTION("""COMPUTED_VALUE"""),"-")</f>
        <v>-</v>
      </c>
      <c r="M203" t="str">
        <f>IFERROR(__xludf.DUMMYFUNCTION("""COMPUTED_VALUE"""),"-")</f>
        <v>-</v>
      </c>
      <c r="O203" t="str">
        <f>IFERROR(__xludf.DUMMYFUNCTION("""COMPUTED_VALUE"""),"#202")</f>
        <v>#202</v>
      </c>
      <c r="P203" t="str">
        <f>IFERROR(__xludf.DUMMYFUNCTION("""COMPUTED_VALUE"""),"Pierre-Yves Bournazel")</f>
        <v>Pierre-Yves Bournazel</v>
      </c>
      <c r="Q203">
        <f>IFERROR(__xludf.DUMMYFUNCTION("""COMPUTED_VALUE"""),29187.0)</f>
        <v>29187</v>
      </c>
      <c r="R203" t="str">
        <f>IFERROR(__xludf.DUMMYFUNCTION("""COMPUTED_VALUE"""),"-")</f>
        <v>-</v>
      </c>
      <c r="S203" t="str">
        <f>IFERROR(__xludf.DUMMYFUNCTION("""COMPUTED_VALUE"""),"-")</f>
        <v>-</v>
      </c>
      <c r="T203" t="str">
        <f>IFERROR(__xludf.DUMMYFUNCTION("""COMPUTED_VALUE"""),"-")</f>
        <v>-</v>
      </c>
      <c r="U203" t="str">
        <f>IFERROR(__xludf.DUMMYFUNCTION("""COMPUTED_VALUE"""),"-")</f>
        <v>-</v>
      </c>
      <c r="V203" t="str">
        <f>IFERROR(__xludf.DUMMYFUNCTION("""COMPUTED_VALUE"""),"-")</f>
        <v>-</v>
      </c>
      <c r="W203" t="str">
        <f>IFERROR(__xludf.DUMMYFUNCTION("""COMPUTED_VALUE"""),"-")</f>
        <v>-</v>
      </c>
      <c r="X203" t="str">
        <f>IFERROR(__xludf.DUMMYFUNCTION("""COMPUTED_VALUE"""),"-")</f>
        <v>-</v>
      </c>
      <c r="Y203" t="str">
        <f>IFERROR(__xludf.DUMMYFUNCTION("""COMPUTED_VALUE"""),"-")</f>
        <v>-</v>
      </c>
      <c r="Z203" t="str">
        <f>IFERROR(__xludf.DUMMYFUNCTION("""COMPUTED_VALUE"""),"-")</f>
        <v>-</v>
      </c>
      <c r="AA203" t="str">
        <f>IFERROR(__xludf.DUMMYFUNCTION("""COMPUTED_VALUE"""),"-")</f>
        <v>-</v>
      </c>
    </row>
    <row r="204">
      <c r="A204" t="str">
        <f>IFERROR(__xludf.DUMMYFUNCTION("""COMPUTED_VALUE"""),"#203")</f>
        <v>#203</v>
      </c>
      <c r="B204" t="str">
        <f>IFERROR(__xludf.DUMMYFUNCTION("""COMPUTED_VALUE"""),"Jean-Paul Huchon")</f>
        <v>Jean-Paul Huchon</v>
      </c>
      <c r="C204">
        <f>IFERROR(__xludf.DUMMYFUNCTION("""COMPUTED_VALUE"""),28946.0)</f>
        <v>28946</v>
      </c>
      <c r="D204" t="str">
        <f>IFERROR(__xludf.DUMMYFUNCTION("""COMPUTED_VALUE"""),"-")</f>
        <v>-</v>
      </c>
      <c r="E204" t="str">
        <f>IFERROR(__xludf.DUMMYFUNCTION("""COMPUTED_VALUE"""),"-")</f>
        <v>-</v>
      </c>
      <c r="F204" t="str">
        <f>IFERROR(__xludf.DUMMYFUNCTION("""COMPUTED_VALUE"""),"-")</f>
        <v>-</v>
      </c>
      <c r="G204" t="str">
        <f>IFERROR(__xludf.DUMMYFUNCTION("""COMPUTED_VALUE"""),"-")</f>
        <v>-</v>
      </c>
      <c r="H204" t="str">
        <f>IFERROR(__xludf.DUMMYFUNCTION("""COMPUTED_VALUE"""),"-")</f>
        <v>-</v>
      </c>
      <c r="I204" t="str">
        <f>IFERROR(__xludf.DUMMYFUNCTION("""COMPUTED_VALUE"""),"-")</f>
        <v>-</v>
      </c>
      <c r="J204" t="str">
        <f>IFERROR(__xludf.DUMMYFUNCTION("""COMPUTED_VALUE"""),"-")</f>
        <v>-</v>
      </c>
      <c r="K204" t="str">
        <f>IFERROR(__xludf.DUMMYFUNCTION("""COMPUTED_VALUE"""),"-")</f>
        <v>-</v>
      </c>
      <c r="L204" t="str">
        <f>IFERROR(__xludf.DUMMYFUNCTION("""COMPUTED_VALUE"""),"-")</f>
        <v>-</v>
      </c>
      <c r="M204" t="str">
        <f>IFERROR(__xludf.DUMMYFUNCTION("""COMPUTED_VALUE"""),"-")</f>
        <v>-</v>
      </c>
      <c r="O204" t="str">
        <f>IFERROR(__xludf.DUMMYFUNCTION("""COMPUTED_VALUE"""),"#203")</f>
        <v>#203</v>
      </c>
      <c r="P204" t="str">
        <f>IFERROR(__xludf.DUMMYFUNCTION("""COMPUTED_VALUE"""),"Jean-Paul Huchon")</f>
        <v>Jean-Paul Huchon</v>
      </c>
      <c r="Q204">
        <f>IFERROR(__xludf.DUMMYFUNCTION("""COMPUTED_VALUE"""),28946.0)</f>
        <v>28946</v>
      </c>
      <c r="R204" t="str">
        <f>IFERROR(__xludf.DUMMYFUNCTION("""COMPUTED_VALUE"""),"-")</f>
        <v>-</v>
      </c>
      <c r="S204" t="str">
        <f>IFERROR(__xludf.DUMMYFUNCTION("""COMPUTED_VALUE"""),"-")</f>
        <v>-</v>
      </c>
      <c r="T204" t="str">
        <f>IFERROR(__xludf.DUMMYFUNCTION("""COMPUTED_VALUE"""),"-")</f>
        <v>-</v>
      </c>
      <c r="U204" t="str">
        <f>IFERROR(__xludf.DUMMYFUNCTION("""COMPUTED_VALUE"""),"-")</f>
        <v>-</v>
      </c>
      <c r="V204" t="str">
        <f>IFERROR(__xludf.DUMMYFUNCTION("""COMPUTED_VALUE"""),"-")</f>
        <v>-</v>
      </c>
      <c r="W204" t="str">
        <f>IFERROR(__xludf.DUMMYFUNCTION("""COMPUTED_VALUE"""),"-")</f>
        <v>-</v>
      </c>
      <c r="X204" t="str">
        <f>IFERROR(__xludf.DUMMYFUNCTION("""COMPUTED_VALUE"""),"-")</f>
        <v>-</v>
      </c>
      <c r="Y204" t="str">
        <f>IFERROR(__xludf.DUMMYFUNCTION("""COMPUTED_VALUE"""),"-")</f>
        <v>-</v>
      </c>
      <c r="Z204" t="str">
        <f>IFERROR(__xludf.DUMMYFUNCTION("""COMPUTED_VALUE"""),"-")</f>
        <v>-</v>
      </c>
      <c r="AA204" t="str">
        <f>IFERROR(__xludf.DUMMYFUNCTION("""COMPUTED_VALUE"""),"-")</f>
        <v>-</v>
      </c>
    </row>
    <row r="205">
      <c r="A205" t="str">
        <f>IFERROR(__xludf.DUMMYFUNCTION("""COMPUTED_VALUE"""),"#204")</f>
        <v>#204</v>
      </c>
      <c r="B205" t="str">
        <f>IFERROR(__xludf.DUMMYFUNCTION("""COMPUTED_VALUE"""),"Lionel Tardy")</f>
        <v>Lionel Tardy</v>
      </c>
      <c r="C205">
        <f>IFERROR(__xludf.DUMMYFUNCTION("""COMPUTED_VALUE"""),28526.0)</f>
        <v>28526</v>
      </c>
      <c r="D205" t="str">
        <f>IFERROR(__xludf.DUMMYFUNCTION("""COMPUTED_VALUE"""),"-")</f>
        <v>-</v>
      </c>
      <c r="E205" t="str">
        <f>IFERROR(__xludf.DUMMYFUNCTION("""COMPUTED_VALUE"""),"-")</f>
        <v>-</v>
      </c>
      <c r="F205" t="str">
        <f>IFERROR(__xludf.DUMMYFUNCTION("""COMPUTED_VALUE"""),"-")</f>
        <v>-</v>
      </c>
      <c r="G205" t="str">
        <f>IFERROR(__xludf.DUMMYFUNCTION("""COMPUTED_VALUE"""),"-")</f>
        <v>-</v>
      </c>
      <c r="H205" t="str">
        <f>IFERROR(__xludf.DUMMYFUNCTION("""COMPUTED_VALUE"""),"-")</f>
        <v>-</v>
      </c>
      <c r="I205" t="str">
        <f>IFERROR(__xludf.DUMMYFUNCTION("""COMPUTED_VALUE"""),"-")</f>
        <v>-</v>
      </c>
      <c r="J205" t="str">
        <f>IFERROR(__xludf.DUMMYFUNCTION("""COMPUTED_VALUE"""),"-")</f>
        <v>-</v>
      </c>
      <c r="K205" t="str">
        <f>IFERROR(__xludf.DUMMYFUNCTION("""COMPUTED_VALUE"""),"-")</f>
        <v>-</v>
      </c>
      <c r="L205" t="str">
        <f>IFERROR(__xludf.DUMMYFUNCTION("""COMPUTED_VALUE"""),"-")</f>
        <v>-</v>
      </c>
      <c r="M205" t="str">
        <f>IFERROR(__xludf.DUMMYFUNCTION("""COMPUTED_VALUE"""),"-")</f>
        <v>-</v>
      </c>
      <c r="O205" t="str">
        <f>IFERROR(__xludf.DUMMYFUNCTION("""COMPUTED_VALUE"""),"#204")</f>
        <v>#204</v>
      </c>
      <c r="P205" t="str">
        <f>IFERROR(__xludf.DUMMYFUNCTION("""COMPUTED_VALUE"""),"Lionel Tardy")</f>
        <v>Lionel Tardy</v>
      </c>
      <c r="Q205">
        <f>IFERROR(__xludf.DUMMYFUNCTION("""COMPUTED_VALUE"""),28526.0)</f>
        <v>28526</v>
      </c>
      <c r="R205" t="str">
        <f>IFERROR(__xludf.DUMMYFUNCTION("""COMPUTED_VALUE"""),"-")</f>
        <v>-</v>
      </c>
      <c r="S205" t="str">
        <f>IFERROR(__xludf.DUMMYFUNCTION("""COMPUTED_VALUE"""),"-")</f>
        <v>-</v>
      </c>
      <c r="T205" t="str">
        <f>IFERROR(__xludf.DUMMYFUNCTION("""COMPUTED_VALUE"""),"-")</f>
        <v>-</v>
      </c>
      <c r="U205" t="str">
        <f>IFERROR(__xludf.DUMMYFUNCTION("""COMPUTED_VALUE"""),"-")</f>
        <v>-</v>
      </c>
      <c r="V205" t="str">
        <f>IFERROR(__xludf.DUMMYFUNCTION("""COMPUTED_VALUE"""),"-")</f>
        <v>-</v>
      </c>
      <c r="W205" t="str">
        <f>IFERROR(__xludf.DUMMYFUNCTION("""COMPUTED_VALUE"""),"-")</f>
        <v>-</v>
      </c>
      <c r="X205" t="str">
        <f>IFERROR(__xludf.DUMMYFUNCTION("""COMPUTED_VALUE"""),"-")</f>
        <v>-</v>
      </c>
      <c r="Y205" t="str">
        <f>IFERROR(__xludf.DUMMYFUNCTION("""COMPUTED_VALUE"""),"-")</f>
        <v>-</v>
      </c>
      <c r="Z205" t="str">
        <f>IFERROR(__xludf.DUMMYFUNCTION("""COMPUTED_VALUE"""),"-")</f>
        <v>-</v>
      </c>
      <c r="AA205" t="str">
        <f>IFERROR(__xludf.DUMMYFUNCTION("""COMPUTED_VALUE"""),"-")</f>
        <v>-</v>
      </c>
    </row>
    <row r="206">
      <c r="A206" t="str">
        <f>IFERROR(__xludf.DUMMYFUNCTION("""COMPUTED_VALUE"""),"#205")</f>
        <v>#205</v>
      </c>
      <c r="B206" t="str">
        <f>IFERROR(__xludf.DUMMYFUNCTION("""COMPUTED_VALUE"""),"Christian Jacob")</f>
        <v>Christian Jacob</v>
      </c>
      <c r="C206">
        <f>IFERROR(__xludf.DUMMYFUNCTION("""COMPUTED_VALUE"""),28201.0)</f>
        <v>28201</v>
      </c>
      <c r="D206" t="str">
        <f>IFERROR(__xludf.DUMMYFUNCTION("""COMPUTED_VALUE"""),"-")</f>
        <v>-</v>
      </c>
      <c r="E206" t="str">
        <f>IFERROR(__xludf.DUMMYFUNCTION("""COMPUTED_VALUE"""),"-")</f>
        <v>-</v>
      </c>
      <c r="F206" t="str">
        <f>IFERROR(__xludf.DUMMYFUNCTION("""COMPUTED_VALUE"""),"-")</f>
        <v>-</v>
      </c>
      <c r="G206" t="str">
        <f>IFERROR(__xludf.DUMMYFUNCTION("""COMPUTED_VALUE"""),"-")</f>
        <v>-</v>
      </c>
      <c r="H206" t="str">
        <f>IFERROR(__xludf.DUMMYFUNCTION("""COMPUTED_VALUE"""),"-")</f>
        <v>-</v>
      </c>
      <c r="I206" t="str">
        <f>IFERROR(__xludf.DUMMYFUNCTION("""COMPUTED_VALUE"""),"-")</f>
        <v>-</v>
      </c>
      <c r="J206" t="str">
        <f>IFERROR(__xludf.DUMMYFUNCTION("""COMPUTED_VALUE"""),"-")</f>
        <v>-</v>
      </c>
      <c r="K206" t="str">
        <f>IFERROR(__xludf.DUMMYFUNCTION("""COMPUTED_VALUE"""),"-")</f>
        <v>-</v>
      </c>
      <c r="L206" t="str">
        <f>IFERROR(__xludf.DUMMYFUNCTION("""COMPUTED_VALUE"""),"-")</f>
        <v>-</v>
      </c>
      <c r="M206" t="str">
        <f>IFERROR(__xludf.DUMMYFUNCTION("""COMPUTED_VALUE"""),"-")</f>
        <v>-</v>
      </c>
      <c r="O206" t="str">
        <f>IFERROR(__xludf.DUMMYFUNCTION("""COMPUTED_VALUE"""),"#205")</f>
        <v>#205</v>
      </c>
      <c r="P206" t="str">
        <f>IFERROR(__xludf.DUMMYFUNCTION("""COMPUTED_VALUE"""),"Christian Jacob")</f>
        <v>Christian Jacob</v>
      </c>
      <c r="Q206">
        <f>IFERROR(__xludf.DUMMYFUNCTION("""COMPUTED_VALUE"""),28201.0)</f>
        <v>28201</v>
      </c>
      <c r="R206" t="str">
        <f>IFERROR(__xludf.DUMMYFUNCTION("""COMPUTED_VALUE"""),"-")</f>
        <v>-</v>
      </c>
      <c r="S206" t="str">
        <f>IFERROR(__xludf.DUMMYFUNCTION("""COMPUTED_VALUE"""),"-")</f>
        <v>-</v>
      </c>
      <c r="T206" t="str">
        <f>IFERROR(__xludf.DUMMYFUNCTION("""COMPUTED_VALUE"""),"-")</f>
        <v>-</v>
      </c>
      <c r="U206" t="str">
        <f>IFERROR(__xludf.DUMMYFUNCTION("""COMPUTED_VALUE"""),"-")</f>
        <v>-</v>
      </c>
      <c r="V206" t="str">
        <f>IFERROR(__xludf.DUMMYFUNCTION("""COMPUTED_VALUE"""),"-")</f>
        <v>-</v>
      </c>
      <c r="W206" t="str">
        <f>IFERROR(__xludf.DUMMYFUNCTION("""COMPUTED_VALUE"""),"-")</f>
        <v>-</v>
      </c>
      <c r="X206" t="str">
        <f>IFERROR(__xludf.DUMMYFUNCTION("""COMPUTED_VALUE"""),"-")</f>
        <v>-</v>
      </c>
      <c r="Y206" t="str">
        <f>IFERROR(__xludf.DUMMYFUNCTION("""COMPUTED_VALUE"""),"-")</f>
        <v>-</v>
      </c>
      <c r="Z206" t="str">
        <f>IFERROR(__xludf.DUMMYFUNCTION("""COMPUTED_VALUE"""),"-")</f>
        <v>-</v>
      </c>
      <c r="AA206" t="str">
        <f>IFERROR(__xludf.DUMMYFUNCTION("""COMPUTED_VALUE"""),"-")</f>
        <v>-</v>
      </c>
    </row>
    <row r="207">
      <c r="A207" t="str">
        <f>IFERROR(__xludf.DUMMYFUNCTION("""COMPUTED_VALUE"""),"#206")</f>
        <v>#206</v>
      </c>
      <c r="B207" t="str">
        <f>IFERROR(__xludf.DUMMYFUNCTION("""COMPUTED_VALUE"""),"Thierry Solère")</f>
        <v>Thierry Solère</v>
      </c>
      <c r="C207">
        <f>IFERROR(__xludf.DUMMYFUNCTION("""COMPUTED_VALUE"""),27526.0)</f>
        <v>27526</v>
      </c>
      <c r="D207" t="str">
        <f>IFERROR(__xludf.DUMMYFUNCTION("""COMPUTED_VALUE"""),"-")</f>
        <v>-</v>
      </c>
      <c r="E207" t="str">
        <f>IFERROR(__xludf.DUMMYFUNCTION("""COMPUTED_VALUE"""),"-")</f>
        <v>-</v>
      </c>
      <c r="F207" t="str">
        <f>IFERROR(__xludf.DUMMYFUNCTION("""COMPUTED_VALUE"""),"-")</f>
        <v>-</v>
      </c>
      <c r="G207" t="str">
        <f>IFERROR(__xludf.DUMMYFUNCTION("""COMPUTED_VALUE"""),"-")</f>
        <v>-</v>
      </c>
      <c r="H207" t="str">
        <f>IFERROR(__xludf.DUMMYFUNCTION("""COMPUTED_VALUE"""),"-")</f>
        <v>-</v>
      </c>
      <c r="I207" t="str">
        <f>IFERROR(__xludf.DUMMYFUNCTION("""COMPUTED_VALUE"""),"-")</f>
        <v>-</v>
      </c>
      <c r="J207" t="str">
        <f>IFERROR(__xludf.DUMMYFUNCTION("""COMPUTED_VALUE"""),"-")</f>
        <v>-</v>
      </c>
      <c r="K207" t="str">
        <f>IFERROR(__xludf.DUMMYFUNCTION("""COMPUTED_VALUE"""),"-")</f>
        <v>-</v>
      </c>
      <c r="L207" t="str">
        <f>IFERROR(__xludf.DUMMYFUNCTION("""COMPUTED_VALUE"""),"-")</f>
        <v>-</v>
      </c>
      <c r="M207" t="str">
        <f>IFERROR(__xludf.DUMMYFUNCTION("""COMPUTED_VALUE"""),"-")</f>
        <v>-</v>
      </c>
      <c r="O207" t="str">
        <f>IFERROR(__xludf.DUMMYFUNCTION("""COMPUTED_VALUE"""),"#206")</f>
        <v>#206</v>
      </c>
      <c r="P207" t="str">
        <f>IFERROR(__xludf.DUMMYFUNCTION("""COMPUTED_VALUE"""),"Thierry Solère")</f>
        <v>Thierry Solère</v>
      </c>
      <c r="Q207">
        <f>IFERROR(__xludf.DUMMYFUNCTION("""COMPUTED_VALUE"""),27526.0)</f>
        <v>27526</v>
      </c>
      <c r="R207" t="str">
        <f>IFERROR(__xludf.DUMMYFUNCTION("""COMPUTED_VALUE"""),"-")</f>
        <v>-</v>
      </c>
      <c r="S207" t="str">
        <f>IFERROR(__xludf.DUMMYFUNCTION("""COMPUTED_VALUE"""),"-")</f>
        <v>-</v>
      </c>
      <c r="T207" t="str">
        <f>IFERROR(__xludf.DUMMYFUNCTION("""COMPUTED_VALUE"""),"-")</f>
        <v>-</v>
      </c>
      <c r="U207" t="str">
        <f>IFERROR(__xludf.DUMMYFUNCTION("""COMPUTED_VALUE"""),"-")</f>
        <v>-</v>
      </c>
      <c r="V207" t="str">
        <f>IFERROR(__xludf.DUMMYFUNCTION("""COMPUTED_VALUE"""),"-")</f>
        <v>-</v>
      </c>
      <c r="W207" t="str">
        <f>IFERROR(__xludf.DUMMYFUNCTION("""COMPUTED_VALUE"""),"-")</f>
        <v>-</v>
      </c>
      <c r="X207" t="str">
        <f>IFERROR(__xludf.DUMMYFUNCTION("""COMPUTED_VALUE"""),"-")</f>
        <v>-</v>
      </c>
      <c r="Y207" t="str">
        <f>IFERROR(__xludf.DUMMYFUNCTION("""COMPUTED_VALUE"""),"-")</f>
        <v>-</v>
      </c>
      <c r="Z207" t="str">
        <f>IFERROR(__xludf.DUMMYFUNCTION("""COMPUTED_VALUE"""),"-")</f>
        <v>-</v>
      </c>
      <c r="AA207" t="str">
        <f>IFERROR(__xludf.DUMMYFUNCTION("""COMPUTED_VALUE"""),"-")</f>
        <v>-</v>
      </c>
    </row>
    <row r="208">
      <c r="A208" t="str">
        <f>IFERROR(__xludf.DUMMYFUNCTION("""COMPUTED_VALUE"""),"#207")</f>
        <v>#207</v>
      </c>
      <c r="B208" t="str">
        <f>IFERROR(__xludf.DUMMYFUNCTION("""COMPUTED_VALUE"""),"Emmanuelle Cosse")</f>
        <v>Emmanuelle Cosse</v>
      </c>
      <c r="C208">
        <f>IFERROR(__xludf.DUMMYFUNCTION("""COMPUTED_VALUE"""),27231.0)</f>
        <v>27231</v>
      </c>
      <c r="D208" t="str">
        <f>IFERROR(__xludf.DUMMYFUNCTION("""COMPUTED_VALUE"""),"-")</f>
        <v>-</v>
      </c>
      <c r="E208" t="str">
        <f>IFERROR(__xludf.DUMMYFUNCTION("""COMPUTED_VALUE"""),"-")</f>
        <v>-</v>
      </c>
      <c r="F208" t="str">
        <f>IFERROR(__xludf.DUMMYFUNCTION("""COMPUTED_VALUE"""),"-")</f>
        <v>-</v>
      </c>
      <c r="G208" t="str">
        <f>IFERROR(__xludf.DUMMYFUNCTION("""COMPUTED_VALUE"""),"-")</f>
        <v>-</v>
      </c>
      <c r="H208" t="str">
        <f>IFERROR(__xludf.DUMMYFUNCTION("""COMPUTED_VALUE"""),"-")</f>
        <v>-</v>
      </c>
      <c r="I208" t="str">
        <f>IFERROR(__xludf.DUMMYFUNCTION("""COMPUTED_VALUE"""),"-")</f>
        <v>-</v>
      </c>
      <c r="J208" t="str">
        <f>IFERROR(__xludf.DUMMYFUNCTION("""COMPUTED_VALUE"""),"-")</f>
        <v>-</v>
      </c>
      <c r="K208" t="str">
        <f>IFERROR(__xludf.DUMMYFUNCTION("""COMPUTED_VALUE"""),"-")</f>
        <v>-</v>
      </c>
      <c r="L208" t="str">
        <f>IFERROR(__xludf.DUMMYFUNCTION("""COMPUTED_VALUE"""),"-")</f>
        <v>-</v>
      </c>
      <c r="M208" t="str">
        <f>IFERROR(__xludf.DUMMYFUNCTION("""COMPUTED_VALUE"""),"-")</f>
        <v>-</v>
      </c>
      <c r="O208" t="str">
        <f>IFERROR(__xludf.DUMMYFUNCTION("""COMPUTED_VALUE"""),"#207")</f>
        <v>#207</v>
      </c>
      <c r="P208" t="str">
        <f>IFERROR(__xludf.DUMMYFUNCTION("""COMPUTED_VALUE"""),"Emmanuelle Cosse")</f>
        <v>Emmanuelle Cosse</v>
      </c>
      <c r="Q208">
        <f>IFERROR(__xludf.DUMMYFUNCTION("""COMPUTED_VALUE"""),27231.0)</f>
        <v>27231</v>
      </c>
      <c r="R208" t="str">
        <f>IFERROR(__xludf.DUMMYFUNCTION("""COMPUTED_VALUE"""),"-")</f>
        <v>-</v>
      </c>
      <c r="S208" t="str">
        <f>IFERROR(__xludf.DUMMYFUNCTION("""COMPUTED_VALUE"""),"-")</f>
        <v>-</v>
      </c>
      <c r="T208" t="str">
        <f>IFERROR(__xludf.DUMMYFUNCTION("""COMPUTED_VALUE"""),"-")</f>
        <v>-</v>
      </c>
      <c r="U208" t="str">
        <f>IFERROR(__xludf.DUMMYFUNCTION("""COMPUTED_VALUE"""),"-")</f>
        <v>-</v>
      </c>
      <c r="V208" t="str">
        <f>IFERROR(__xludf.DUMMYFUNCTION("""COMPUTED_VALUE"""),"-")</f>
        <v>-</v>
      </c>
      <c r="W208" t="str">
        <f>IFERROR(__xludf.DUMMYFUNCTION("""COMPUTED_VALUE"""),"-")</f>
        <v>-</v>
      </c>
      <c r="X208" t="str">
        <f>IFERROR(__xludf.DUMMYFUNCTION("""COMPUTED_VALUE"""),"-")</f>
        <v>-</v>
      </c>
      <c r="Y208" t="str">
        <f>IFERROR(__xludf.DUMMYFUNCTION("""COMPUTED_VALUE"""),"-")</f>
        <v>-</v>
      </c>
      <c r="Z208" t="str">
        <f>IFERROR(__xludf.DUMMYFUNCTION("""COMPUTED_VALUE"""),"-")</f>
        <v>-</v>
      </c>
      <c r="AA208" t="str">
        <f>IFERROR(__xludf.DUMMYFUNCTION("""COMPUTED_VALUE"""),"-")</f>
        <v>-</v>
      </c>
    </row>
    <row r="209">
      <c r="A209" t="str">
        <f>IFERROR(__xludf.DUMMYFUNCTION("""COMPUTED_VALUE"""),"#208")</f>
        <v>#208</v>
      </c>
      <c r="B209" t="str">
        <f>IFERROR(__xludf.DUMMYFUNCTION("""COMPUTED_VALUE"""),"Christian Lechevalier")</f>
        <v>Christian Lechevalier</v>
      </c>
      <c r="C209">
        <f>IFERROR(__xludf.DUMMYFUNCTION("""COMPUTED_VALUE"""),27019.0)</f>
        <v>27019</v>
      </c>
      <c r="D209" t="str">
        <f>IFERROR(__xludf.DUMMYFUNCTION("""COMPUTED_VALUE"""),"-")</f>
        <v>-</v>
      </c>
      <c r="E209" t="str">
        <f>IFERROR(__xludf.DUMMYFUNCTION("""COMPUTED_VALUE"""),"-")</f>
        <v>-</v>
      </c>
      <c r="F209" t="str">
        <f>IFERROR(__xludf.DUMMYFUNCTION("""COMPUTED_VALUE"""),"-")</f>
        <v>-</v>
      </c>
      <c r="G209" t="str">
        <f>IFERROR(__xludf.DUMMYFUNCTION("""COMPUTED_VALUE"""),"-")</f>
        <v>-</v>
      </c>
      <c r="H209" t="str">
        <f>IFERROR(__xludf.DUMMYFUNCTION("""COMPUTED_VALUE"""),"-")</f>
        <v>-</v>
      </c>
      <c r="I209" t="str">
        <f>IFERROR(__xludf.DUMMYFUNCTION("""COMPUTED_VALUE"""),"-")</f>
        <v>-</v>
      </c>
      <c r="J209" t="str">
        <f>IFERROR(__xludf.DUMMYFUNCTION("""COMPUTED_VALUE"""),"-")</f>
        <v>-</v>
      </c>
      <c r="K209" t="str">
        <f>IFERROR(__xludf.DUMMYFUNCTION("""COMPUTED_VALUE"""),"-")</f>
        <v>-</v>
      </c>
      <c r="L209" t="str">
        <f>IFERROR(__xludf.DUMMYFUNCTION("""COMPUTED_VALUE"""),"-")</f>
        <v>-</v>
      </c>
      <c r="M209" t="str">
        <f>IFERROR(__xludf.DUMMYFUNCTION("""COMPUTED_VALUE"""),"-")</f>
        <v>-</v>
      </c>
      <c r="O209" t="str">
        <f>IFERROR(__xludf.DUMMYFUNCTION("""COMPUTED_VALUE"""),"#208")</f>
        <v>#208</v>
      </c>
      <c r="P209" t="str">
        <f>IFERROR(__xludf.DUMMYFUNCTION("""COMPUTED_VALUE"""),"Christian Lechevalier")</f>
        <v>Christian Lechevalier</v>
      </c>
      <c r="Q209">
        <f>IFERROR(__xludf.DUMMYFUNCTION("""COMPUTED_VALUE"""),27019.0)</f>
        <v>27019</v>
      </c>
      <c r="R209" t="str">
        <f>IFERROR(__xludf.DUMMYFUNCTION("""COMPUTED_VALUE"""),"-")</f>
        <v>-</v>
      </c>
      <c r="S209" t="str">
        <f>IFERROR(__xludf.DUMMYFUNCTION("""COMPUTED_VALUE"""),"-")</f>
        <v>-</v>
      </c>
      <c r="T209" t="str">
        <f>IFERROR(__xludf.DUMMYFUNCTION("""COMPUTED_VALUE"""),"-")</f>
        <v>-</v>
      </c>
      <c r="U209" t="str">
        <f>IFERROR(__xludf.DUMMYFUNCTION("""COMPUTED_VALUE"""),"-")</f>
        <v>-</v>
      </c>
      <c r="V209" t="str">
        <f>IFERROR(__xludf.DUMMYFUNCTION("""COMPUTED_VALUE"""),"-")</f>
        <v>-</v>
      </c>
      <c r="W209" t="str">
        <f>IFERROR(__xludf.DUMMYFUNCTION("""COMPUTED_VALUE"""),"-")</f>
        <v>-</v>
      </c>
      <c r="X209" t="str">
        <f>IFERROR(__xludf.DUMMYFUNCTION("""COMPUTED_VALUE"""),"-")</f>
        <v>-</v>
      </c>
      <c r="Y209" t="str">
        <f>IFERROR(__xludf.DUMMYFUNCTION("""COMPUTED_VALUE"""),"-")</f>
        <v>-</v>
      </c>
      <c r="Z209" t="str">
        <f>IFERROR(__xludf.DUMMYFUNCTION("""COMPUTED_VALUE"""),"-")</f>
        <v>-</v>
      </c>
      <c r="AA209" t="str">
        <f>IFERROR(__xludf.DUMMYFUNCTION("""COMPUTED_VALUE"""),"-")</f>
        <v>-</v>
      </c>
    </row>
    <row r="210">
      <c r="A210" t="str">
        <f>IFERROR(__xludf.DUMMYFUNCTION("""COMPUTED_VALUE"""),"#209")</f>
        <v>#209</v>
      </c>
      <c r="B210" t="str">
        <f>IFERROR(__xludf.DUMMYFUNCTION("""COMPUTED_VALUE"""),"Michèle Alliot-Marie")</f>
        <v>Michèle Alliot-Marie</v>
      </c>
      <c r="C210">
        <f>IFERROR(__xludf.DUMMYFUNCTION("""COMPUTED_VALUE"""),26940.0)</f>
        <v>26940</v>
      </c>
      <c r="D210" t="str">
        <f>IFERROR(__xludf.DUMMYFUNCTION("""COMPUTED_VALUE"""),"-")</f>
        <v>-</v>
      </c>
      <c r="E210" t="str">
        <f>IFERROR(__xludf.DUMMYFUNCTION("""COMPUTED_VALUE"""),"-")</f>
        <v>-</v>
      </c>
      <c r="F210" t="str">
        <f>IFERROR(__xludf.DUMMYFUNCTION("""COMPUTED_VALUE"""),"-")</f>
        <v>-</v>
      </c>
      <c r="G210" t="str">
        <f>IFERROR(__xludf.DUMMYFUNCTION("""COMPUTED_VALUE"""),"-")</f>
        <v>-</v>
      </c>
      <c r="H210" t="str">
        <f>IFERROR(__xludf.DUMMYFUNCTION("""COMPUTED_VALUE"""),"-")</f>
        <v>-</v>
      </c>
      <c r="I210" t="str">
        <f>IFERROR(__xludf.DUMMYFUNCTION("""COMPUTED_VALUE"""),"-")</f>
        <v>-</v>
      </c>
      <c r="J210" t="str">
        <f>IFERROR(__xludf.DUMMYFUNCTION("""COMPUTED_VALUE"""),"-")</f>
        <v>-</v>
      </c>
      <c r="K210" t="str">
        <f>IFERROR(__xludf.DUMMYFUNCTION("""COMPUTED_VALUE"""),"-")</f>
        <v>-</v>
      </c>
      <c r="L210" t="str">
        <f>IFERROR(__xludf.DUMMYFUNCTION("""COMPUTED_VALUE"""),"-")</f>
        <v>-</v>
      </c>
      <c r="M210" t="str">
        <f>IFERROR(__xludf.DUMMYFUNCTION("""COMPUTED_VALUE"""),"-")</f>
        <v>-</v>
      </c>
      <c r="O210" t="str">
        <f>IFERROR(__xludf.DUMMYFUNCTION("""COMPUTED_VALUE"""),"#209")</f>
        <v>#209</v>
      </c>
      <c r="P210" t="str">
        <f>IFERROR(__xludf.DUMMYFUNCTION("""COMPUTED_VALUE"""),"Michèle Alliot-Marie")</f>
        <v>Michèle Alliot-Marie</v>
      </c>
      <c r="Q210">
        <f>IFERROR(__xludf.DUMMYFUNCTION("""COMPUTED_VALUE"""),26940.0)</f>
        <v>26940</v>
      </c>
      <c r="R210" t="str">
        <f>IFERROR(__xludf.DUMMYFUNCTION("""COMPUTED_VALUE"""),"-")</f>
        <v>-</v>
      </c>
      <c r="S210" t="str">
        <f>IFERROR(__xludf.DUMMYFUNCTION("""COMPUTED_VALUE"""),"-")</f>
        <v>-</v>
      </c>
      <c r="T210" t="str">
        <f>IFERROR(__xludf.DUMMYFUNCTION("""COMPUTED_VALUE"""),"-")</f>
        <v>-</v>
      </c>
      <c r="U210" t="str">
        <f>IFERROR(__xludf.DUMMYFUNCTION("""COMPUTED_VALUE"""),"-")</f>
        <v>-</v>
      </c>
      <c r="V210" t="str">
        <f>IFERROR(__xludf.DUMMYFUNCTION("""COMPUTED_VALUE"""),"-")</f>
        <v>-</v>
      </c>
      <c r="W210" t="str">
        <f>IFERROR(__xludf.DUMMYFUNCTION("""COMPUTED_VALUE"""),"-")</f>
        <v>-</v>
      </c>
      <c r="X210" t="str">
        <f>IFERROR(__xludf.DUMMYFUNCTION("""COMPUTED_VALUE"""),"-")</f>
        <v>-</v>
      </c>
      <c r="Y210" t="str">
        <f>IFERROR(__xludf.DUMMYFUNCTION("""COMPUTED_VALUE"""),"-")</f>
        <v>-</v>
      </c>
      <c r="Z210" t="str">
        <f>IFERROR(__xludf.DUMMYFUNCTION("""COMPUTED_VALUE"""),"-")</f>
        <v>-</v>
      </c>
      <c r="AA210" t="str">
        <f>IFERROR(__xludf.DUMMYFUNCTION("""COMPUTED_VALUE"""),"-")</f>
        <v>-</v>
      </c>
    </row>
    <row r="211">
      <c r="A211" t="str">
        <f>IFERROR(__xludf.DUMMYFUNCTION("""COMPUTED_VALUE"""),"#210")</f>
        <v>#210</v>
      </c>
      <c r="B211" t="str">
        <f>IFERROR(__xludf.DUMMYFUNCTION("""COMPUTED_VALUE"""),"Martine Vassal")</f>
        <v>Martine Vassal</v>
      </c>
      <c r="C211">
        <f>IFERROR(__xludf.DUMMYFUNCTION("""COMPUTED_VALUE"""),26614.0)</f>
        <v>26614</v>
      </c>
      <c r="D211" t="str">
        <f>IFERROR(__xludf.DUMMYFUNCTION("""COMPUTED_VALUE"""),"-")</f>
        <v>-</v>
      </c>
      <c r="E211" t="str">
        <f>IFERROR(__xludf.DUMMYFUNCTION("""COMPUTED_VALUE"""),"-")</f>
        <v>-</v>
      </c>
      <c r="F211" t="str">
        <f>IFERROR(__xludf.DUMMYFUNCTION("""COMPUTED_VALUE"""),"-")</f>
        <v>-</v>
      </c>
      <c r="G211" t="str">
        <f>IFERROR(__xludf.DUMMYFUNCTION("""COMPUTED_VALUE"""),"-")</f>
        <v>-</v>
      </c>
      <c r="H211" t="str">
        <f>IFERROR(__xludf.DUMMYFUNCTION("""COMPUTED_VALUE"""),"-")</f>
        <v>-</v>
      </c>
      <c r="I211" t="str">
        <f>IFERROR(__xludf.DUMMYFUNCTION("""COMPUTED_VALUE"""),"-")</f>
        <v>-</v>
      </c>
      <c r="J211" t="str">
        <f>IFERROR(__xludf.DUMMYFUNCTION("""COMPUTED_VALUE"""),"-")</f>
        <v>-</v>
      </c>
      <c r="K211" t="str">
        <f>IFERROR(__xludf.DUMMYFUNCTION("""COMPUTED_VALUE"""),"-")</f>
        <v>-</v>
      </c>
      <c r="L211" t="str">
        <f>IFERROR(__xludf.DUMMYFUNCTION("""COMPUTED_VALUE"""),"-")</f>
        <v>-</v>
      </c>
      <c r="M211" t="str">
        <f>IFERROR(__xludf.DUMMYFUNCTION("""COMPUTED_VALUE"""),"-")</f>
        <v>-</v>
      </c>
      <c r="O211" t="str">
        <f>IFERROR(__xludf.DUMMYFUNCTION("""COMPUTED_VALUE"""),"#210")</f>
        <v>#210</v>
      </c>
      <c r="P211" t="str">
        <f>IFERROR(__xludf.DUMMYFUNCTION("""COMPUTED_VALUE"""),"Martine Vassal")</f>
        <v>Martine Vassal</v>
      </c>
      <c r="Q211">
        <f>IFERROR(__xludf.DUMMYFUNCTION("""COMPUTED_VALUE"""),26614.0)</f>
        <v>26614</v>
      </c>
      <c r="R211" t="str">
        <f>IFERROR(__xludf.DUMMYFUNCTION("""COMPUTED_VALUE"""),"-")</f>
        <v>-</v>
      </c>
      <c r="S211" t="str">
        <f>IFERROR(__xludf.DUMMYFUNCTION("""COMPUTED_VALUE"""),"-")</f>
        <v>-</v>
      </c>
      <c r="T211" t="str">
        <f>IFERROR(__xludf.DUMMYFUNCTION("""COMPUTED_VALUE"""),"-")</f>
        <v>-</v>
      </c>
      <c r="U211" t="str">
        <f>IFERROR(__xludf.DUMMYFUNCTION("""COMPUTED_VALUE"""),"-")</f>
        <v>-</v>
      </c>
      <c r="V211" t="str">
        <f>IFERROR(__xludf.DUMMYFUNCTION("""COMPUTED_VALUE"""),"-")</f>
        <v>-</v>
      </c>
      <c r="W211" t="str">
        <f>IFERROR(__xludf.DUMMYFUNCTION("""COMPUTED_VALUE"""),"-")</f>
        <v>-</v>
      </c>
      <c r="X211" t="str">
        <f>IFERROR(__xludf.DUMMYFUNCTION("""COMPUTED_VALUE"""),"-")</f>
        <v>-</v>
      </c>
      <c r="Y211" t="str">
        <f>IFERROR(__xludf.DUMMYFUNCTION("""COMPUTED_VALUE"""),"-")</f>
        <v>-</v>
      </c>
      <c r="Z211" t="str">
        <f>IFERROR(__xludf.DUMMYFUNCTION("""COMPUTED_VALUE"""),"-")</f>
        <v>-</v>
      </c>
      <c r="AA211" t="str">
        <f>IFERROR(__xludf.DUMMYFUNCTION("""COMPUTED_VALUE"""),"-")</f>
        <v>-</v>
      </c>
    </row>
    <row r="212">
      <c r="A212" t="str">
        <f>IFERROR(__xludf.DUMMYFUNCTION("""COMPUTED_VALUE"""),"#211")</f>
        <v>#211</v>
      </c>
      <c r="B212" t="str">
        <f>IFERROR(__xludf.DUMMYFUNCTION("""COMPUTED_VALUE"""),"Sarah Legrain")</f>
        <v>Sarah Legrain</v>
      </c>
      <c r="C212">
        <f>IFERROR(__xludf.DUMMYFUNCTION("""COMPUTED_VALUE"""),26590.0)</f>
        <v>26590</v>
      </c>
      <c r="D212" t="str">
        <f>IFERROR(__xludf.DUMMYFUNCTION("""COMPUTED_VALUE"""),"-")</f>
        <v>-</v>
      </c>
      <c r="E212" t="str">
        <f>IFERROR(__xludf.DUMMYFUNCTION("""COMPUTED_VALUE"""),"-")</f>
        <v>-</v>
      </c>
      <c r="F212" t="str">
        <f>IFERROR(__xludf.DUMMYFUNCTION("""COMPUTED_VALUE"""),"-")</f>
        <v>-</v>
      </c>
      <c r="G212" t="str">
        <f>IFERROR(__xludf.DUMMYFUNCTION("""COMPUTED_VALUE"""),"-")</f>
        <v>-</v>
      </c>
      <c r="H212" t="str">
        <f>IFERROR(__xludf.DUMMYFUNCTION("""COMPUTED_VALUE"""),"-")</f>
        <v>-</v>
      </c>
      <c r="I212" t="str">
        <f>IFERROR(__xludf.DUMMYFUNCTION("""COMPUTED_VALUE"""),"-")</f>
        <v>-</v>
      </c>
      <c r="J212" t="str">
        <f>IFERROR(__xludf.DUMMYFUNCTION("""COMPUTED_VALUE"""),"-")</f>
        <v>-</v>
      </c>
      <c r="K212" t="str">
        <f>IFERROR(__xludf.DUMMYFUNCTION("""COMPUTED_VALUE"""),"-")</f>
        <v>-</v>
      </c>
      <c r="L212" t="str">
        <f>IFERROR(__xludf.DUMMYFUNCTION("""COMPUTED_VALUE"""),"-")</f>
        <v>-</v>
      </c>
      <c r="M212" t="str">
        <f>IFERROR(__xludf.DUMMYFUNCTION("""COMPUTED_VALUE"""),"-")</f>
        <v>-</v>
      </c>
      <c r="O212" t="str">
        <f>IFERROR(__xludf.DUMMYFUNCTION("""COMPUTED_VALUE"""),"#211")</f>
        <v>#211</v>
      </c>
      <c r="P212" t="str">
        <f>IFERROR(__xludf.DUMMYFUNCTION("""COMPUTED_VALUE"""),"Sarah Legrain")</f>
        <v>Sarah Legrain</v>
      </c>
      <c r="Q212">
        <f>IFERROR(__xludf.DUMMYFUNCTION("""COMPUTED_VALUE"""),26590.0)</f>
        <v>26590</v>
      </c>
      <c r="R212" t="str">
        <f>IFERROR(__xludf.DUMMYFUNCTION("""COMPUTED_VALUE"""),"-")</f>
        <v>-</v>
      </c>
      <c r="S212" t="str">
        <f>IFERROR(__xludf.DUMMYFUNCTION("""COMPUTED_VALUE"""),"-")</f>
        <v>-</v>
      </c>
      <c r="T212" t="str">
        <f>IFERROR(__xludf.DUMMYFUNCTION("""COMPUTED_VALUE"""),"-")</f>
        <v>-</v>
      </c>
      <c r="U212" t="str">
        <f>IFERROR(__xludf.DUMMYFUNCTION("""COMPUTED_VALUE"""),"-")</f>
        <v>-</v>
      </c>
      <c r="V212" t="str">
        <f>IFERROR(__xludf.DUMMYFUNCTION("""COMPUTED_VALUE"""),"-")</f>
        <v>-</v>
      </c>
      <c r="W212" t="str">
        <f>IFERROR(__xludf.DUMMYFUNCTION("""COMPUTED_VALUE"""),"-")</f>
        <v>-</v>
      </c>
      <c r="X212" t="str">
        <f>IFERROR(__xludf.DUMMYFUNCTION("""COMPUTED_VALUE"""),"-")</f>
        <v>-</v>
      </c>
      <c r="Y212" t="str">
        <f>IFERROR(__xludf.DUMMYFUNCTION("""COMPUTED_VALUE"""),"-")</f>
        <v>-</v>
      </c>
      <c r="Z212" t="str">
        <f>IFERROR(__xludf.DUMMYFUNCTION("""COMPUTED_VALUE"""),"-")</f>
        <v>-</v>
      </c>
      <c r="AA212" t="str">
        <f>IFERROR(__xludf.DUMMYFUNCTION("""COMPUTED_VALUE"""),"-")</f>
        <v>-</v>
      </c>
    </row>
    <row r="213">
      <c r="A213" t="str">
        <f>IFERROR(__xludf.DUMMYFUNCTION("""COMPUTED_VALUE"""),"#212")</f>
        <v>#212</v>
      </c>
      <c r="B213" t="str">
        <f>IFERROR(__xludf.DUMMYFUNCTION("""COMPUTED_VALUE"""),"George Pau-Langevin")</f>
        <v>George Pau-Langevin</v>
      </c>
      <c r="C213">
        <f>IFERROR(__xludf.DUMMYFUNCTION("""COMPUTED_VALUE"""),26352.0)</f>
        <v>26352</v>
      </c>
      <c r="D213" t="str">
        <f>IFERROR(__xludf.DUMMYFUNCTION("""COMPUTED_VALUE"""),"-")</f>
        <v>-</v>
      </c>
      <c r="E213" t="str">
        <f>IFERROR(__xludf.DUMMYFUNCTION("""COMPUTED_VALUE"""),"-")</f>
        <v>-</v>
      </c>
      <c r="F213" t="str">
        <f>IFERROR(__xludf.DUMMYFUNCTION("""COMPUTED_VALUE"""),"-")</f>
        <v>-</v>
      </c>
      <c r="G213" t="str">
        <f>IFERROR(__xludf.DUMMYFUNCTION("""COMPUTED_VALUE"""),"-")</f>
        <v>-</v>
      </c>
      <c r="H213" t="str">
        <f>IFERROR(__xludf.DUMMYFUNCTION("""COMPUTED_VALUE"""),"-")</f>
        <v>-</v>
      </c>
      <c r="I213" t="str">
        <f>IFERROR(__xludf.DUMMYFUNCTION("""COMPUTED_VALUE"""),"-")</f>
        <v>-</v>
      </c>
      <c r="J213" t="str">
        <f>IFERROR(__xludf.DUMMYFUNCTION("""COMPUTED_VALUE"""),"-")</f>
        <v>-</v>
      </c>
      <c r="K213" t="str">
        <f>IFERROR(__xludf.DUMMYFUNCTION("""COMPUTED_VALUE"""),"-")</f>
        <v>-</v>
      </c>
      <c r="L213" t="str">
        <f>IFERROR(__xludf.DUMMYFUNCTION("""COMPUTED_VALUE"""),"-")</f>
        <v>-</v>
      </c>
      <c r="M213" t="str">
        <f>IFERROR(__xludf.DUMMYFUNCTION("""COMPUTED_VALUE"""),"-")</f>
        <v>-</v>
      </c>
      <c r="O213" t="str">
        <f>IFERROR(__xludf.DUMMYFUNCTION("""COMPUTED_VALUE"""),"#212")</f>
        <v>#212</v>
      </c>
      <c r="P213" t="str">
        <f>IFERROR(__xludf.DUMMYFUNCTION("""COMPUTED_VALUE"""),"George Pau-Langevin")</f>
        <v>George Pau-Langevin</v>
      </c>
      <c r="Q213">
        <f>IFERROR(__xludf.DUMMYFUNCTION("""COMPUTED_VALUE"""),26352.0)</f>
        <v>26352</v>
      </c>
      <c r="R213" t="str">
        <f>IFERROR(__xludf.DUMMYFUNCTION("""COMPUTED_VALUE"""),"-")</f>
        <v>-</v>
      </c>
      <c r="S213" t="str">
        <f>IFERROR(__xludf.DUMMYFUNCTION("""COMPUTED_VALUE"""),"-")</f>
        <v>-</v>
      </c>
      <c r="T213" t="str">
        <f>IFERROR(__xludf.DUMMYFUNCTION("""COMPUTED_VALUE"""),"-")</f>
        <v>-</v>
      </c>
      <c r="U213" t="str">
        <f>IFERROR(__xludf.DUMMYFUNCTION("""COMPUTED_VALUE"""),"-")</f>
        <v>-</v>
      </c>
      <c r="V213" t="str">
        <f>IFERROR(__xludf.DUMMYFUNCTION("""COMPUTED_VALUE"""),"-")</f>
        <v>-</v>
      </c>
      <c r="W213" t="str">
        <f>IFERROR(__xludf.DUMMYFUNCTION("""COMPUTED_VALUE"""),"-")</f>
        <v>-</v>
      </c>
      <c r="X213" t="str">
        <f>IFERROR(__xludf.DUMMYFUNCTION("""COMPUTED_VALUE"""),"-")</f>
        <v>-</v>
      </c>
      <c r="Y213" t="str">
        <f>IFERROR(__xludf.DUMMYFUNCTION("""COMPUTED_VALUE"""),"-")</f>
        <v>-</v>
      </c>
      <c r="Z213" t="str">
        <f>IFERROR(__xludf.DUMMYFUNCTION("""COMPUTED_VALUE"""),"-")</f>
        <v>-</v>
      </c>
      <c r="AA213" t="str">
        <f>IFERROR(__xludf.DUMMYFUNCTION("""COMPUTED_VALUE"""),"-")</f>
        <v>-</v>
      </c>
    </row>
    <row r="214">
      <c r="A214" t="str">
        <f>IFERROR(__xludf.DUMMYFUNCTION("""COMPUTED_VALUE"""),"#213")</f>
        <v>#213</v>
      </c>
      <c r="B214" t="str">
        <f>IFERROR(__xludf.DUMMYFUNCTION("""COMPUTED_VALUE"""),"Damien Lempereur")</f>
        <v>Damien Lempereur</v>
      </c>
      <c r="C214">
        <f>IFERROR(__xludf.DUMMYFUNCTION("""COMPUTED_VALUE"""),26282.0)</f>
        <v>26282</v>
      </c>
      <c r="D214" t="str">
        <f>IFERROR(__xludf.DUMMYFUNCTION("""COMPUTED_VALUE"""),"-")</f>
        <v>-</v>
      </c>
      <c r="E214" t="str">
        <f>IFERROR(__xludf.DUMMYFUNCTION("""COMPUTED_VALUE"""),"-")</f>
        <v>-</v>
      </c>
      <c r="F214" t="str">
        <f>IFERROR(__xludf.DUMMYFUNCTION("""COMPUTED_VALUE"""),"-")</f>
        <v>-</v>
      </c>
      <c r="G214" t="str">
        <f>IFERROR(__xludf.DUMMYFUNCTION("""COMPUTED_VALUE"""),"-")</f>
        <v>-</v>
      </c>
      <c r="H214" t="str">
        <f>IFERROR(__xludf.DUMMYFUNCTION("""COMPUTED_VALUE"""),"-")</f>
        <v>-</v>
      </c>
      <c r="I214" t="str">
        <f>IFERROR(__xludf.DUMMYFUNCTION("""COMPUTED_VALUE"""),"-")</f>
        <v>-</v>
      </c>
      <c r="J214" t="str">
        <f>IFERROR(__xludf.DUMMYFUNCTION("""COMPUTED_VALUE"""),"-")</f>
        <v>-</v>
      </c>
      <c r="K214" t="str">
        <f>IFERROR(__xludf.DUMMYFUNCTION("""COMPUTED_VALUE"""),"-")</f>
        <v>-</v>
      </c>
      <c r="L214" t="str">
        <f>IFERROR(__xludf.DUMMYFUNCTION("""COMPUTED_VALUE"""),"-")</f>
        <v>-</v>
      </c>
      <c r="M214" t="str">
        <f>IFERROR(__xludf.DUMMYFUNCTION("""COMPUTED_VALUE"""),"-")</f>
        <v>-</v>
      </c>
      <c r="O214" t="str">
        <f>IFERROR(__xludf.DUMMYFUNCTION("""COMPUTED_VALUE"""),"#213")</f>
        <v>#213</v>
      </c>
      <c r="P214" t="str">
        <f>IFERROR(__xludf.DUMMYFUNCTION("""COMPUTED_VALUE"""),"Damien Lempereur")</f>
        <v>Damien Lempereur</v>
      </c>
      <c r="Q214">
        <f>IFERROR(__xludf.DUMMYFUNCTION("""COMPUTED_VALUE"""),26282.0)</f>
        <v>26282</v>
      </c>
      <c r="R214" t="str">
        <f>IFERROR(__xludf.DUMMYFUNCTION("""COMPUTED_VALUE"""),"-")</f>
        <v>-</v>
      </c>
      <c r="S214" t="str">
        <f>IFERROR(__xludf.DUMMYFUNCTION("""COMPUTED_VALUE"""),"-")</f>
        <v>-</v>
      </c>
      <c r="T214" t="str">
        <f>IFERROR(__xludf.DUMMYFUNCTION("""COMPUTED_VALUE"""),"-")</f>
        <v>-</v>
      </c>
      <c r="U214" t="str">
        <f>IFERROR(__xludf.DUMMYFUNCTION("""COMPUTED_VALUE"""),"-")</f>
        <v>-</v>
      </c>
      <c r="V214" t="str">
        <f>IFERROR(__xludf.DUMMYFUNCTION("""COMPUTED_VALUE"""),"-")</f>
        <v>-</v>
      </c>
      <c r="W214" t="str">
        <f>IFERROR(__xludf.DUMMYFUNCTION("""COMPUTED_VALUE"""),"-")</f>
        <v>-</v>
      </c>
      <c r="X214" t="str">
        <f>IFERROR(__xludf.DUMMYFUNCTION("""COMPUTED_VALUE"""),"-")</f>
        <v>-</v>
      </c>
      <c r="Y214" t="str">
        <f>IFERROR(__xludf.DUMMYFUNCTION("""COMPUTED_VALUE"""),"-")</f>
        <v>-</v>
      </c>
      <c r="Z214" t="str">
        <f>IFERROR(__xludf.DUMMYFUNCTION("""COMPUTED_VALUE"""),"-")</f>
        <v>-</v>
      </c>
      <c r="AA214" t="str">
        <f>IFERROR(__xludf.DUMMYFUNCTION("""COMPUTED_VALUE"""),"-")</f>
        <v>-</v>
      </c>
    </row>
    <row r="215">
      <c r="A215" t="str">
        <f>IFERROR(__xludf.DUMMYFUNCTION("""COMPUTED_VALUE"""),"#214")</f>
        <v>#214</v>
      </c>
      <c r="B215" t="str">
        <f>IFERROR(__xludf.DUMMYFUNCTION("""COMPUTED_VALUE"""),"Christophe Najdovski")</f>
        <v>Christophe Najdovski</v>
      </c>
      <c r="C215">
        <f>IFERROR(__xludf.DUMMYFUNCTION("""COMPUTED_VALUE"""),25811.0)</f>
        <v>25811</v>
      </c>
      <c r="D215" t="str">
        <f>IFERROR(__xludf.DUMMYFUNCTION("""COMPUTED_VALUE"""),"-")</f>
        <v>-</v>
      </c>
      <c r="E215" t="str">
        <f>IFERROR(__xludf.DUMMYFUNCTION("""COMPUTED_VALUE"""),"-")</f>
        <v>-</v>
      </c>
      <c r="F215" t="str">
        <f>IFERROR(__xludf.DUMMYFUNCTION("""COMPUTED_VALUE"""),"-")</f>
        <v>-</v>
      </c>
      <c r="G215" t="str">
        <f>IFERROR(__xludf.DUMMYFUNCTION("""COMPUTED_VALUE"""),"-")</f>
        <v>-</v>
      </c>
      <c r="H215" t="str">
        <f>IFERROR(__xludf.DUMMYFUNCTION("""COMPUTED_VALUE"""),"-")</f>
        <v>-</v>
      </c>
      <c r="I215" t="str">
        <f>IFERROR(__xludf.DUMMYFUNCTION("""COMPUTED_VALUE"""),"-")</f>
        <v>-</v>
      </c>
      <c r="J215" t="str">
        <f>IFERROR(__xludf.DUMMYFUNCTION("""COMPUTED_VALUE"""),"-")</f>
        <v>-</v>
      </c>
      <c r="K215" t="str">
        <f>IFERROR(__xludf.DUMMYFUNCTION("""COMPUTED_VALUE"""),"-")</f>
        <v>-</v>
      </c>
      <c r="L215" t="str">
        <f>IFERROR(__xludf.DUMMYFUNCTION("""COMPUTED_VALUE"""),"-")</f>
        <v>-</v>
      </c>
      <c r="M215" t="str">
        <f>IFERROR(__xludf.DUMMYFUNCTION("""COMPUTED_VALUE"""),"-")</f>
        <v>-</v>
      </c>
      <c r="O215" t="str">
        <f>IFERROR(__xludf.DUMMYFUNCTION("""COMPUTED_VALUE"""),"#214")</f>
        <v>#214</v>
      </c>
      <c r="P215" t="str">
        <f>IFERROR(__xludf.DUMMYFUNCTION("""COMPUTED_VALUE"""),"Christophe Najdovski")</f>
        <v>Christophe Najdovski</v>
      </c>
      <c r="Q215">
        <f>IFERROR(__xludf.DUMMYFUNCTION("""COMPUTED_VALUE"""),25811.0)</f>
        <v>25811</v>
      </c>
      <c r="R215" t="str">
        <f>IFERROR(__xludf.DUMMYFUNCTION("""COMPUTED_VALUE"""),"-")</f>
        <v>-</v>
      </c>
      <c r="S215" t="str">
        <f>IFERROR(__xludf.DUMMYFUNCTION("""COMPUTED_VALUE"""),"-")</f>
        <v>-</v>
      </c>
      <c r="T215" t="str">
        <f>IFERROR(__xludf.DUMMYFUNCTION("""COMPUTED_VALUE"""),"-")</f>
        <v>-</v>
      </c>
      <c r="U215" t="str">
        <f>IFERROR(__xludf.DUMMYFUNCTION("""COMPUTED_VALUE"""),"-")</f>
        <v>-</v>
      </c>
      <c r="V215" t="str">
        <f>IFERROR(__xludf.DUMMYFUNCTION("""COMPUTED_VALUE"""),"-")</f>
        <v>-</v>
      </c>
      <c r="W215" t="str">
        <f>IFERROR(__xludf.DUMMYFUNCTION("""COMPUTED_VALUE"""),"-")</f>
        <v>-</v>
      </c>
      <c r="X215" t="str">
        <f>IFERROR(__xludf.DUMMYFUNCTION("""COMPUTED_VALUE"""),"-")</f>
        <v>-</v>
      </c>
      <c r="Y215" t="str">
        <f>IFERROR(__xludf.DUMMYFUNCTION("""COMPUTED_VALUE"""),"-")</f>
        <v>-</v>
      </c>
      <c r="Z215" t="str">
        <f>IFERROR(__xludf.DUMMYFUNCTION("""COMPUTED_VALUE"""),"-")</f>
        <v>-</v>
      </c>
      <c r="AA215" t="str">
        <f>IFERROR(__xludf.DUMMYFUNCTION("""COMPUTED_VALUE"""),"-")</f>
        <v>-</v>
      </c>
    </row>
    <row r="216">
      <c r="A216" t="str">
        <f>IFERROR(__xludf.DUMMYFUNCTION("""COMPUTED_VALUE"""),"#215")</f>
        <v>#215</v>
      </c>
      <c r="B216" t="str">
        <f>IFERROR(__xludf.DUMMYFUNCTION("""COMPUTED_VALUE"""),"Marie-Noëlle Lienemann")</f>
        <v>Marie-Noëlle Lienemann</v>
      </c>
      <c r="C216">
        <f>IFERROR(__xludf.DUMMYFUNCTION("""COMPUTED_VALUE"""),25440.0)</f>
        <v>25440</v>
      </c>
      <c r="D216" t="str">
        <f>IFERROR(__xludf.DUMMYFUNCTION("""COMPUTED_VALUE"""),"-")</f>
        <v>-</v>
      </c>
      <c r="E216" t="str">
        <f>IFERROR(__xludf.DUMMYFUNCTION("""COMPUTED_VALUE"""),"-")</f>
        <v>-</v>
      </c>
      <c r="F216" t="str">
        <f>IFERROR(__xludf.DUMMYFUNCTION("""COMPUTED_VALUE"""),"-")</f>
        <v>-</v>
      </c>
      <c r="G216" t="str">
        <f>IFERROR(__xludf.DUMMYFUNCTION("""COMPUTED_VALUE"""),"-")</f>
        <v>-</v>
      </c>
      <c r="H216" t="str">
        <f>IFERROR(__xludf.DUMMYFUNCTION("""COMPUTED_VALUE"""),"-")</f>
        <v>-</v>
      </c>
      <c r="I216" t="str">
        <f>IFERROR(__xludf.DUMMYFUNCTION("""COMPUTED_VALUE"""),"-")</f>
        <v>-</v>
      </c>
      <c r="J216" t="str">
        <f>IFERROR(__xludf.DUMMYFUNCTION("""COMPUTED_VALUE"""),"-")</f>
        <v>-</v>
      </c>
      <c r="K216" t="str">
        <f>IFERROR(__xludf.DUMMYFUNCTION("""COMPUTED_VALUE"""),"-")</f>
        <v>-</v>
      </c>
      <c r="L216" t="str">
        <f>IFERROR(__xludf.DUMMYFUNCTION("""COMPUTED_VALUE"""),"-")</f>
        <v>-</v>
      </c>
      <c r="M216" t="str">
        <f>IFERROR(__xludf.DUMMYFUNCTION("""COMPUTED_VALUE"""),"-")</f>
        <v>-</v>
      </c>
      <c r="O216" t="str">
        <f>IFERROR(__xludf.DUMMYFUNCTION("""COMPUTED_VALUE"""),"#215")</f>
        <v>#215</v>
      </c>
      <c r="P216" t="str">
        <f>IFERROR(__xludf.DUMMYFUNCTION("""COMPUTED_VALUE"""),"Marie-Noëlle Lienemann")</f>
        <v>Marie-Noëlle Lienemann</v>
      </c>
      <c r="Q216">
        <f>IFERROR(__xludf.DUMMYFUNCTION("""COMPUTED_VALUE"""),25440.0)</f>
        <v>25440</v>
      </c>
      <c r="R216" t="str">
        <f>IFERROR(__xludf.DUMMYFUNCTION("""COMPUTED_VALUE"""),"-")</f>
        <v>-</v>
      </c>
      <c r="S216" t="str">
        <f>IFERROR(__xludf.DUMMYFUNCTION("""COMPUTED_VALUE"""),"-")</f>
        <v>-</v>
      </c>
      <c r="T216" t="str">
        <f>IFERROR(__xludf.DUMMYFUNCTION("""COMPUTED_VALUE"""),"-")</f>
        <v>-</v>
      </c>
      <c r="U216" t="str">
        <f>IFERROR(__xludf.DUMMYFUNCTION("""COMPUTED_VALUE"""),"-")</f>
        <v>-</v>
      </c>
      <c r="V216" t="str">
        <f>IFERROR(__xludf.DUMMYFUNCTION("""COMPUTED_VALUE"""),"-")</f>
        <v>-</v>
      </c>
      <c r="W216" t="str">
        <f>IFERROR(__xludf.DUMMYFUNCTION("""COMPUTED_VALUE"""),"-")</f>
        <v>-</v>
      </c>
      <c r="X216" t="str">
        <f>IFERROR(__xludf.DUMMYFUNCTION("""COMPUTED_VALUE"""),"-")</f>
        <v>-</v>
      </c>
      <c r="Y216" t="str">
        <f>IFERROR(__xludf.DUMMYFUNCTION("""COMPUTED_VALUE"""),"-")</f>
        <v>-</v>
      </c>
      <c r="Z216" t="str">
        <f>IFERROR(__xludf.DUMMYFUNCTION("""COMPUTED_VALUE"""),"-")</f>
        <v>-</v>
      </c>
      <c r="AA216" t="str">
        <f>IFERROR(__xludf.DUMMYFUNCTION("""COMPUTED_VALUE"""),"-")</f>
        <v>-</v>
      </c>
    </row>
    <row r="217">
      <c r="A217" t="str">
        <f>IFERROR(__xludf.DUMMYFUNCTION("""COMPUTED_VALUE"""),"#216")</f>
        <v>#216</v>
      </c>
      <c r="B217" t="str">
        <f>IFERROR(__xludf.DUMMYFUNCTION("""COMPUTED_VALUE"""),"Dominique Bertinotti")</f>
        <v>Dominique Bertinotti</v>
      </c>
      <c r="C217">
        <f>IFERROR(__xludf.DUMMYFUNCTION("""COMPUTED_VALUE"""),25330.0)</f>
        <v>25330</v>
      </c>
      <c r="D217" t="str">
        <f>IFERROR(__xludf.DUMMYFUNCTION("""COMPUTED_VALUE"""),"-")</f>
        <v>-</v>
      </c>
      <c r="E217" t="str">
        <f>IFERROR(__xludf.DUMMYFUNCTION("""COMPUTED_VALUE"""),"-")</f>
        <v>-</v>
      </c>
      <c r="F217" t="str">
        <f>IFERROR(__xludf.DUMMYFUNCTION("""COMPUTED_VALUE"""),"-")</f>
        <v>-</v>
      </c>
      <c r="G217" t="str">
        <f>IFERROR(__xludf.DUMMYFUNCTION("""COMPUTED_VALUE"""),"-")</f>
        <v>-</v>
      </c>
      <c r="H217" t="str">
        <f>IFERROR(__xludf.DUMMYFUNCTION("""COMPUTED_VALUE"""),"-")</f>
        <v>-</v>
      </c>
      <c r="I217" t="str">
        <f>IFERROR(__xludf.DUMMYFUNCTION("""COMPUTED_VALUE"""),"-")</f>
        <v>-</v>
      </c>
      <c r="J217" t="str">
        <f>IFERROR(__xludf.DUMMYFUNCTION("""COMPUTED_VALUE"""),"-")</f>
        <v>-</v>
      </c>
      <c r="K217" t="str">
        <f>IFERROR(__xludf.DUMMYFUNCTION("""COMPUTED_VALUE"""),"-")</f>
        <v>-</v>
      </c>
      <c r="L217" t="str">
        <f>IFERROR(__xludf.DUMMYFUNCTION("""COMPUTED_VALUE"""),"-")</f>
        <v>-</v>
      </c>
      <c r="M217" t="str">
        <f>IFERROR(__xludf.DUMMYFUNCTION("""COMPUTED_VALUE"""),"-")</f>
        <v>-</v>
      </c>
      <c r="O217" t="str">
        <f>IFERROR(__xludf.DUMMYFUNCTION("""COMPUTED_VALUE"""),"#216")</f>
        <v>#216</v>
      </c>
      <c r="P217" t="str">
        <f>IFERROR(__xludf.DUMMYFUNCTION("""COMPUTED_VALUE"""),"Dominique Bertinotti")</f>
        <v>Dominique Bertinotti</v>
      </c>
      <c r="Q217">
        <f>IFERROR(__xludf.DUMMYFUNCTION("""COMPUTED_VALUE"""),25330.0)</f>
        <v>25330</v>
      </c>
      <c r="R217" t="str">
        <f>IFERROR(__xludf.DUMMYFUNCTION("""COMPUTED_VALUE"""),"-")</f>
        <v>-</v>
      </c>
      <c r="S217" t="str">
        <f>IFERROR(__xludf.DUMMYFUNCTION("""COMPUTED_VALUE"""),"-")</f>
        <v>-</v>
      </c>
      <c r="T217" t="str">
        <f>IFERROR(__xludf.DUMMYFUNCTION("""COMPUTED_VALUE"""),"-")</f>
        <v>-</v>
      </c>
      <c r="U217" t="str">
        <f>IFERROR(__xludf.DUMMYFUNCTION("""COMPUTED_VALUE"""),"-")</f>
        <v>-</v>
      </c>
      <c r="V217" t="str">
        <f>IFERROR(__xludf.DUMMYFUNCTION("""COMPUTED_VALUE"""),"-")</f>
        <v>-</v>
      </c>
      <c r="W217" t="str">
        <f>IFERROR(__xludf.DUMMYFUNCTION("""COMPUTED_VALUE"""),"-")</f>
        <v>-</v>
      </c>
      <c r="X217" t="str">
        <f>IFERROR(__xludf.DUMMYFUNCTION("""COMPUTED_VALUE"""),"-")</f>
        <v>-</v>
      </c>
      <c r="Y217" t="str">
        <f>IFERROR(__xludf.DUMMYFUNCTION("""COMPUTED_VALUE"""),"-")</f>
        <v>-</v>
      </c>
      <c r="Z217" t="str">
        <f>IFERROR(__xludf.DUMMYFUNCTION("""COMPUTED_VALUE"""),"-")</f>
        <v>-</v>
      </c>
      <c r="AA217" t="str">
        <f>IFERROR(__xludf.DUMMYFUNCTION("""COMPUTED_VALUE"""),"-")</f>
        <v>-</v>
      </c>
    </row>
    <row r="218">
      <c r="A218" t="str">
        <f>IFERROR(__xludf.DUMMYFUNCTION("""COMPUTED_VALUE"""),"#217")</f>
        <v>#217</v>
      </c>
      <c r="B218" t="str">
        <f>IFERROR(__xludf.DUMMYFUNCTION("""COMPUTED_VALUE"""),"Sylvia Pinel")</f>
        <v>Sylvia Pinel</v>
      </c>
      <c r="C218">
        <f>IFERROR(__xludf.DUMMYFUNCTION("""COMPUTED_VALUE"""),25046.0)</f>
        <v>25046</v>
      </c>
      <c r="D218" t="str">
        <f>IFERROR(__xludf.DUMMYFUNCTION("""COMPUTED_VALUE"""),"-")</f>
        <v>-</v>
      </c>
      <c r="E218" t="str">
        <f>IFERROR(__xludf.DUMMYFUNCTION("""COMPUTED_VALUE"""),"-")</f>
        <v>-</v>
      </c>
      <c r="F218" t="str">
        <f>IFERROR(__xludf.DUMMYFUNCTION("""COMPUTED_VALUE"""),"-")</f>
        <v>-</v>
      </c>
      <c r="G218" t="str">
        <f>IFERROR(__xludf.DUMMYFUNCTION("""COMPUTED_VALUE"""),"-")</f>
        <v>-</v>
      </c>
      <c r="H218" t="str">
        <f>IFERROR(__xludf.DUMMYFUNCTION("""COMPUTED_VALUE"""),"-")</f>
        <v>-</v>
      </c>
      <c r="I218" t="str">
        <f>IFERROR(__xludf.DUMMYFUNCTION("""COMPUTED_VALUE"""),"-")</f>
        <v>-</v>
      </c>
      <c r="J218" t="str">
        <f>IFERROR(__xludf.DUMMYFUNCTION("""COMPUTED_VALUE"""),"-")</f>
        <v>-</v>
      </c>
      <c r="K218" t="str">
        <f>IFERROR(__xludf.DUMMYFUNCTION("""COMPUTED_VALUE"""),"-")</f>
        <v>-</v>
      </c>
      <c r="L218" t="str">
        <f>IFERROR(__xludf.DUMMYFUNCTION("""COMPUTED_VALUE"""),"-")</f>
        <v>-</v>
      </c>
      <c r="M218" t="str">
        <f>IFERROR(__xludf.DUMMYFUNCTION("""COMPUTED_VALUE"""),"-")</f>
        <v>-</v>
      </c>
      <c r="O218" t="str">
        <f>IFERROR(__xludf.DUMMYFUNCTION("""COMPUTED_VALUE"""),"#217")</f>
        <v>#217</v>
      </c>
      <c r="P218" t="str">
        <f>IFERROR(__xludf.DUMMYFUNCTION("""COMPUTED_VALUE"""),"Sylvia Pinel")</f>
        <v>Sylvia Pinel</v>
      </c>
      <c r="Q218">
        <f>IFERROR(__xludf.DUMMYFUNCTION("""COMPUTED_VALUE"""),25046.0)</f>
        <v>25046</v>
      </c>
      <c r="R218" t="str">
        <f>IFERROR(__xludf.DUMMYFUNCTION("""COMPUTED_VALUE"""),"-")</f>
        <v>-</v>
      </c>
      <c r="S218" t="str">
        <f>IFERROR(__xludf.DUMMYFUNCTION("""COMPUTED_VALUE"""),"-")</f>
        <v>-</v>
      </c>
      <c r="T218" t="str">
        <f>IFERROR(__xludf.DUMMYFUNCTION("""COMPUTED_VALUE"""),"-")</f>
        <v>-</v>
      </c>
      <c r="U218" t="str">
        <f>IFERROR(__xludf.DUMMYFUNCTION("""COMPUTED_VALUE"""),"-")</f>
        <v>-</v>
      </c>
      <c r="V218" t="str">
        <f>IFERROR(__xludf.DUMMYFUNCTION("""COMPUTED_VALUE"""),"-")</f>
        <v>-</v>
      </c>
      <c r="W218" t="str">
        <f>IFERROR(__xludf.DUMMYFUNCTION("""COMPUTED_VALUE"""),"-")</f>
        <v>-</v>
      </c>
      <c r="X218" t="str">
        <f>IFERROR(__xludf.DUMMYFUNCTION("""COMPUTED_VALUE"""),"-")</f>
        <v>-</v>
      </c>
      <c r="Y218" t="str">
        <f>IFERROR(__xludf.DUMMYFUNCTION("""COMPUTED_VALUE"""),"-")</f>
        <v>-</v>
      </c>
      <c r="Z218" t="str">
        <f>IFERROR(__xludf.DUMMYFUNCTION("""COMPUTED_VALUE"""),"-")</f>
        <v>-</v>
      </c>
      <c r="AA218" t="str">
        <f>IFERROR(__xludf.DUMMYFUNCTION("""COMPUTED_VALUE"""),"-")</f>
        <v>-</v>
      </c>
    </row>
    <row r="219">
      <c r="A219" t="str">
        <f>IFERROR(__xludf.DUMMYFUNCTION("""COMPUTED_VALUE"""),"#218")</f>
        <v>#218</v>
      </c>
      <c r="B219" t="str">
        <f>IFERROR(__xludf.DUMMYFUNCTION("""COMPUTED_VALUE"""),"Didier Guillaume")</f>
        <v>Didier Guillaume</v>
      </c>
      <c r="C219">
        <f>IFERROR(__xludf.DUMMYFUNCTION("""COMPUTED_VALUE"""),24891.0)</f>
        <v>24891</v>
      </c>
      <c r="D219" t="str">
        <f>IFERROR(__xludf.DUMMYFUNCTION("""COMPUTED_VALUE"""),"-")</f>
        <v>-</v>
      </c>
      <c r="E219" t="str">
        <f>IFERROR(__xludf.DUMMYFUNCTION("""COMPUTED_VALUE"""),"-")</f>
        <v>-</v>
      </c>
      <c r="F219" t="str">
        <f>IFERROR(__xludf.DUMMYFUNCTION("""COMPUTED_VALUE"""),"-")</f>
        <v>-</v>
      </c>
      <c r="G219" t="str">
        <f>IFERROR(__xludf.DUMMYFUNCTION("""COMPUTED_VALUE"""),"-")</f>
        <v>-</v>
      </c>
      <c r="H219" t="str">
        <f>IFERROR(__xludf.DUMMYFUNCTION("""COMPUTED_VALUE"""),"-")</f>
        <v>-</v>
      </c>
      <c r="I219" t="str">
        <f>IFERROR(__xludf.DUMMYFUNCTION("""COMPUTED_VALUE"""),"-")</f>
        <v>-</v>
      </c>
      <c r="J219" t="str">
        <f>IFERROR(__xludf.DUMMYFUNCTION("""COMPUTED_VALUE"""),"-")</f>
        <v>-</v>
      </c>
      <c r="K219" t="str">
        <f>IFERROR(__xludf.DUMMYFUNCTION("""COMPUTED_VALUE"""),"-")</f>
        <v>-</v>
      </c>
      <c r="L219" t="str">
        <f>IFERROR(__xludf.DUMMYFUNCTION("""COMPUTED_VALUE"""),"-")</f>
        <v>-</v>
      </c>
      <c r="M219" t="str">
        <f>IFERROR(__xludf.DUMMYFUNCTION("""COMPUTED_VALUE"""),"-")</f>
        <v>-</v>
      </c>
      <c r="O219" t="str">
        <f>IFERROR(__xludf.DUMMYFUNCTION("""COMPUTED_VALUE"""),"#218")</f>
        <v>#218</v>
      </c>
      <c r="P219" t="str">
        <f>IFERROR(__xludf.DUMMYFUNCTION("""COMPUTED_VALUE"""),"Didier Guillaume")</f>
        <v>Didier Guillaume</v>
      </c>
      <c r="Q219">
        <f>IFERROR(__xludf.DUMMYFUNCTION("""COMPUTED_VALUE"""),24891.0)</f>
        <v>24891</v>
      </c>
      <c r="R219" t="str">
        <f>IFERROR(__xludf.DUMMYFUNCTION("""COMPUTED_VALUE"""),"-")</f>
        <v>-</v>
      </c>
      <c r="S219" t="str">
        <f>IFERROR(__xludf.DUMMYFUNCTION("""COMPUTED_VALUE"""),"-")</f>
        <v>-</v>
      </c>
      <c r="T219" t="str">
        <f>IFERROR(__xludf.DUMMYFUNCTION("""COMPUTED_VALUE"""),"-")</f>
        <v>-</v>
      </c>
      <c r="U219" t="str">
        <f>IFERROR(__xludf.DUMMYFUNCTION("""COMPUTED_VALUE"""),"-")</f>
        <v>-</v>
      </c>
      <c r="V219" t="str">
        <f>IFERROR(__xludf.DUMMYFUNCTION("""COMPUTED_VALUE"""),"-")</f>
        <v>-</v>
      </c>
      <c r="W219" t="str">
        <f>IFERROR(__xludf.DUMMYFUNCTION("""COMPUTED_VALUE"""),"-")</f>
        <v>-</v>
      </c>
      <c r="X219" t="str">
        <f>IFERROR(__xludf.DUMMYFUNCTION("""COMPUTED_VALUE"""),"-")</f>
        <v>-</v>
      </c>
      <c r="Y219" t="str">
        <f>IFERROR(__xludf.DUMMYFUNCTION("""COMPUTED_VALUE"""),"-")</f>
        <v>-</v>
      </c>
      <c r="Z219" t="str">
        <f>IFERROR(__xludf.DUMMYFUNCTION("""COMPUTED_VALUE"""),"-")</f>
        <v>-</v>
      </c>
      <c r="AA219" t="str">
        <f>IFERROR(__xludf.DUMMYFUNCTION("""COMPUTED_VALUE"""),"-")</f>
        <v>-</v>
      </c>
    </row>
    <row r="220">
      <c r="A220" t="str">
        <f>IFERROR(__xludf.DUMMYFUNCTION("""COMPUTED_VALUE"""),"#219")</f>
        <v>#219</v>
      </c>
      <c r="B220" t="str">
        <f>IFERROR(__xludf.DUMMYFUNCTION("""COMPUTED_VALUE"""),"Florence Portelli")</f>
        <v>Florence Portelli</v>
      </c>
      <c r="C220">
        <f>IFERROR(__xludf.DUMMYFUNCTION("""COMPUTED_VALUE"""),24728.0)</f>
        <v>24728</v>
      </c>
      <c r="D220" t="str">
        <f>IFERROR(__xludf.DUMMYFUNCTION("""COMPUTED_VALUE"""),"-")</f>
        <v>-</v>
      </c>
      <c r="E220" t="str">
        <f>IFERROR(__xludf.DUMMYFUNCTION("""COMPUTED_VALUE"""),"-")</f>
        <v>-</v>
      </c>
      <c r="F220" t="str">
        <f>IFERROR(__xludf.DUMMYFUNCTION("""COMPUTED_VALUE"""),"-")</f>
        <v>-</v>
      </c>
      <c r="G220" t="str">
        <f>IFERROR(__xludf.DUMMYFUNCTION("""COMPUTED_VALUE"""),"-")</f>
        <v>-</v>
      </c>
      <c r="H220" t="str">
        <f>IFERROR(__xludf.DUMMYFUNCTION("""COMPUTED_VALUE"""),"-")</f>
        <v>-</v>
      </c>
      <c r="I220" t="str">
        <f>IFERROR(__xludf.DUMMYFUNCTION("""COMPUTED_VALUE"""),"-")</f>
        <v>-</v>
      </c>
      <c r="J220" t="str">
        <f>IFERROR(__xludf.DUMMYFUNCTION("""COMPUTED_VALUE"""),"-")</f>
        <v>-</v>
      </c>
      <c r="K220" t="str">
        <f>IFERROR(__xludf.DUMMYFUNCTION("""COMPUTED_VALUE"""),"-")</f>
        <v>-</v>
      </c>
      <c r="L220" t="str">
        <f>IFERROR(__xludf.DUMMYFUNCTION("""COMPUTED_VALUE"""),"-")</f>
        <v>-</v>
      </c>
      <c r="M220" t="str">
        <f>IFERROR(__xludf.DUMMYFUNCTION("""COMPUTED_VALUE"""),"-")</f>
        <v>-</v>
      </c>
      <c r="O220" t="str">
        <f>IFERROR(__xludf.DUMMYFUNCTION("""COMPUTED_VALUE"""),"#219")</f>
        <v>#219</v>
      </c>
      <c r="P220" t="str">
        <f>IFERROR(__xludf.DUMMYFUNCTION("""COMPUTED_VALUE"""),"Florence Portelli")</f>
        <v>Florence Portelli</v>
      </c>
      <c r="Q220">
        <f>IFERROR(__xludf.DUMMYFUNCTION("""COMPUTED_VALUE"""),24728.0)</f>
        <v>24728</v>
      </c>
      <c r="R220" t="str">
        <f>IFERROR(__xludf.DUMMYFUNCTION("""COMPUTED_VALUE"""),"-")</f>
        <v>-</v>
      </c>
      <c r="S220" t="str">
        <f>IFERROR(__xludf.DUMMYFUNCTION("""COMPUTED_VALUE"""),"-")</f>
        <v>-</v>
      </c>
      <c r="T220" t="str">
        <f>IFERROR(__xludf.DUMMYFUNCTION("""COMPUTED_VALUE"""),"-")</f>
        <v>-</v>
      </c>
      <c r="U220" t="str">
        <f>IFERROR(__xludf.DUMMYFUNCTION("""COMPUTED_VALUE"""),"-")</f>
        <v>-</v>
      </c>
      <c r="V220" t="str">
        <f>IFERROR(__xludf.DUMMYFUNCTION("""COMPUTED_VALUE"""),"-")</f>
        <v>-</v>
      </c>
      <c r="W220" t="str">
        <f>IFERROR(__xludf.DUMMYFUNCTION("""COMPUTED_VALUE"""),"-")</f>
        <v>-</v>
      </c>
      <c r="X220" t="str">
        <f>IFERROR(__xludf.DUMMYFUNCTION("""COMPUTED_VALUE"""),"-")</f>
        <v>-</v>
      </c>
      <c r="Y220" t="str">
        <f>IFERROR(__xludf.DUMMYFUNCTION("""COMPUTED_VALUE"""),"-")</f>
        <v>-</v>
      </c>
      <c r="Z220" t="str">
        <f>IFERROR(__xludf.DUMMYFUNCTION("""COMPUTED_VALUE"""),"-")</f>
        <v>-</v>
      </c>
      <c r="AA220" t="str">
        <f>IFERROR(__xludf.DUMMYFUNCTION("""COMPUTED_VALUE"""),"-")</f>
        <v>-</v>
      </c>
    </row>
    <row r="221">
      <c r="A221" t="str">
        <f>IFERROR(__xludf.DUMMYFUNCTION("""COMPUTED_VALUE"""),"#220")</f>
        <v>#220</v>
      </c>
      <c r="B221" t="str">
        <f>IFERROR(__xludf.DUMMYFUNCTION("""COMPUTED_VALUE"""),"Younous Omarjee")</f>
        <v>Younous Omarjee</v>
      </c>
      <c r="C221">
        <f>IFERROR(__xludf.DUMMYFUNCTION("""COMPUTED_VALUE"""),24231.0)</f>
        <v>24231</v>
      </c>
      <c r="D221" t="str">
        <f>IFERROR(__xludf.DUMMYFUNCTION("""COMPUTED_VALUE"""),"-")</f>
        <v>-</v>
      </c>
      <c r="E221" t="str">
        <f>IFERROR(__xludf.DUMMYFUNCTION("""COMPUTED_VALUE"""),"-")</f>
        <v>-</v>
      </c>
      <c r="F221" t="str">
        <f>IFERROR(__xludf.DUMMYFUNCTION("""COMPUTED_VALUE"""),"-")</f>
        <v>-</v>
      </c>
      <c r="G221" t="str">
        <f>IFERROR(__xludf.DUMMYFUNCTION("""COMPUTED_VALUE"""),"-")</f>
        <v>-</v>
      </c>
      <c r="H221" t="str">
        <f>IFERROR(__xludf.DUMMYFUNCTION("""COMPUTED_VALUE"""),"-")</f>
        <v>-</v>
      </c>
      <c r="I221" t="str">
        <f>IFERROR(__xludf.DUMMYFUNCTION("""COMPUTED_VALUE"""),"-")</f>
        <v>-</v>
      </c>
      <c r="J221" t="str">
        <f>IFERROR(__xludf.DUMMYFUNCTION("""COMPUTED_VALUE"""),"-")</f>
        <v>-</v>
      </c>
      <c r="K221" t="str">
        <f>IFERROR(__xludf.DUMMYFUNCTION("""COMPUTED_VALUE"""),"-")</f>
        <v>-</v>
      </c>
      <c r="L221" t="str">
        <f>IFERROR(__xludf.DUMMYFUNCTION("""COMPUTED_VALUE"""),"-")</f>
        <v>-</v>
      </c>
      <c r="M221" t="str">
        <f>IFERROR(__xludf.DUMMYFUNCTION("""COMPUTED_VALUE"""),"-")</f>
        <v>-</v>
      </c>
      <c r="O221" t="str">
        <f>IFERROR(__xludf.DUMMYFUNCTION("""COMPUTED_VALUE"""),"#220")</f>
        <v>#220</v>
      </c>
      <c r="P221" t="str">
        <f>IFERROR(__xludf.DUMMYFUNCTION("""COMPUTED_VALUE"""),"Younous Omarjee")</f>
        <v>Younous Omarjee</v>
      </c>
      <c r="Q221">
        <f>IFERROR(__xludf.DUMMYFUNCTION("""COMPUTED_VALUE"""),24231.0)</f>
        <v>24231</v>
      </c>
      <c r="R221" t="str">
        <f>IFERROR(__xludf.DUMMYFUNCTION("""COMPUTED_VALUE"""),"-")</f>
        <v>-</v>
      </c>
      <c r="S221" t="str">
        <f>IFERROR(__xludf.DUMMYFUNCTION("""COMPUTED_VALUE"""),"-")</f>
        <v>-</v>
      </c>
      <c r="T221" t="str">
        <f>IFERROR(__xludf.DUMMYFUNCTION("""COMPUTED_VALUE"""),"-")</f>
        <v>-</v>
      </c>
      <c r="U221" t="str">
        <f>IFERROR(__xludf.DUMMYFUNCTION("""COMPUTED_VALUE"""),"-")</f>
        <v>-</v>
      </c>
      <c r="V221" t="str">
        <f>IFERROR(__xludf.DUMMYFUNCTION("""COMPUTED_VALUE"""),"-")</f>
        <v>-</v>
      </c>
      <c r="W221" t="str">
        <f>IFERROR(__xludf.DUMMYFUNCTION("""COMPUTED_VALUE"""),"-")</f>
        <v>-</v>
      </c>
      <c r="X221" t="str">
        <f>IFERROR(__xludf.DUMMYFUNCTION("""COMPUTED_VALUE"""),"-")</f>
        <v>-</v>
      </c>
      <c r="Y221" t="str">
        <f>IFERROR(__xludf.DUMMYFUNCTION("""COMPUTED_VALUE"""),"-")</f>
        <v>-</v>
      </c>
      <c r="Z221" t="str">
        <f>IFERROR(__xludf.DUMMYFUNCTION("""COMPUTED_VALUE"""),"-")</f>
        <v>-</v>
      </c>
      <c r="AA221" t="str">
        <f>IFERROR(__xludf.DUMMYFUNCTION("""COMPUTED_VALUE"""),"-")</f>
        <v>-</v>
      </c>
    </row>
    <row r="222">
      <c r="A222" t="str">
        <f>IFERROR(__xludf.DUMMYFUNCTION("""COMPUTED_VALUE"""),"#221")</f>
        <v>#221</v>
      </c>
      <c r="B222" t="str">
        <f>IFERROR(__xludf.DUMMYFUNCTION("""COMPUTED_VALUE"""),"Laure de La Raudière")</f>
        <v>Laure de La Raudière</v>
      </c>
      <c r="C222">
        <f>IFERROR(__xludf.DUMMYFUNCTION("""COMPUTED_VALUE"""),23757.0)</f>
        <v>23757</v>
      </c>
      <c r="D222" t="str">
        <f>IFERROR(__xludf.DUMMYFUNCTION("""COMPUTED_VALUE"""),"-")</f>
        <v>-</v>
      </c>
      <c r="E222" t="str">
        <f>IFERROR(__xludf.DUMMYFUNCTION("""COMPUTED_VALUE"""),"-")</f>
        <v>-</v>
      </c>
      <c r="F222" t="str">
        <f>IFERROR(__xludf.DUMMYFUNCTION("""COMPUTED_VALUE"""),"-")</f>
        <v>-</v>
      </c>
      <c r="G222" t="str">
        <f>IFERROR(__xludf.DUMMYFUNCTION("""COMPUTED_VALUE"""),"-")</f>
        <v>-</v>
      </c>
      <c r="H222" t="str">
        <f>IFERROR(__xludf.DUMMYFUNCTION("""COMPUTED_VALUE"""),"-")</f>
        <v>-</v>
      </c>
      <c r="I222" t="str">
        <f>IFERROR(__xludf.DUMMYFUNCTION("""COMPUTED_VALUE"""),"-")</f>
        <v>-</v>
      </c>
      <c r="J222" t="str">
        <f>IFERROR(__xludf.DUMMYFUNCTION("""COMPUTED_VALUE"""),"-")</f>
        <v>-</v>
      </c>
      <c r="K222" t="str">
        <f>IFERROR(__xludf.DUMMYFUNCTION("""COMPUTED_VALUE"""),"-")</f>
        <v>-</v>
      </c>
      <c r="L222" t="str">
        <f>IFERROR(__xludf.DUMMYFUNCTION("""COMPUTED_VALUE"""),"-")</f>
        <v>-</v>
      </c>
      <c r="M222" t="str">
        <f>IFERROR(__xludf.DUMMYFUNCTION("""COMPUTED_VALUE"""),"-")</f>
        <v>-</v>
      </c>
      <c r="O222" t="str">
        <f>IFERROR(__xludf.DUMMYFUNCTION("""COMPUTED_VALUE"""),"#221")</f>
        <v>#221</v>
      </c>
      <c r="P222" t="str">
        <f>IFERROR(__xludf.DUMMYFUNCTION("""COMPUTED_VALUE"""),"Laure de La Raudière")</f>
        <v>Laure de La Raudière</v>
      </c>
      <c r="Q222">
        <f>IFERROR(__xludf.DUMMYFUNCTION("""COMPUTED_VALUE"""),23757.0)</f>
        <v>23757</v>
      </c>
      <c r="R222" t="str">
        <f>IFERROR(__xludf.DUMMYFUNCTION("""COMPUTED_VALUE"""),"-")</f>
        <v>-</v>
      </c>
      <c r="S222" t="str">
        <f>IFERROR(__xludf.DUMMYFUNCTION("""COMPUTED_VALUE"""),"-")</f>
        <v>-</v>
      </c>
      <c r="T222" t="str">
        <f>IFERROR(__xludf.DUMMYFUNCTION("""COMPUTED_VALUE"""),"-")</f>
        <v>-</v>
      </c>
      <c r="U222" t="str">
        <f>IFERROR(__xludf.DUMMYFUNCTION("""COMPUTED_VALUE"""),"-")</f>
        <v>-</v>
      </c>
      <c r="V222" t="str">
        <f>IFERROR(__xludf.DUMMYFUNCTION("""COMPUTED_VALUE"""),"-")</f>
        <v>-</v>
      </c>
      <c r="W222" t="str">
        <f>IFERROR(__xludf.DUMMYFUNCTION("""COMPUTED_VALUE"""),"-")</f>
        <v>-</v>
      </c>
      <c r="X222" t="str">
        <f>IFERROR(__xludf.DUMMYFUNCTION("""COMPUTED_VALUE"""),"-")</f>
        <v>-</v>
      </c>
      <c r="Y222" t="str">
        <f>IFERROR(__xludf.DUMMYFUNCTION("""COMPUTED_VALUE"""),"-")</f>
        <v>-</v>
      </c>
      <c r="Z222" t="str">
        <f>IFERROR(__xludf.DUMMYFUNCTION("""COMPUTED_VALUE"""),"-")</f>
        <v>-</v>
      </c>
      <c r="AA222" t="str">
        <f>IFERROR(__xludf.DUMMYFUNCTION("""COMPUTED_VALUE"""),"-")</f>
        <v>-</v>
      </c>
    </row>
    <row r="223">
      <c r="A223" t="str">
        <f>IFERROR(__xludf.DUMMYFUNCTION("""COMPUTED_VALUE"""),"#222")</f>
        <v>#222</v>
      </c>
      <c r="B223" t="str">
        <f>IFERROR(__xludf.DUMMYFUNCTION("""COMPUTED_VALUE"""),"Benjamin Cauchy")</f>
        <v>Benjamin Cauchy</v>
      </c>
      <c r="C223">
        <f>IFERROR(__xludf.DUMMYFUNCTION("""COMPUTED_VALUE"""),23098.0)</f>
        <v>23098</v>
      </c>
      <c r="D223" t="str">
        <f>IFERROR(__xludf.DUMMYFUNCTION("""COMPUTED_VALUE"""),"-")</f>
        <v>-</v>
      </c>
      <c r="E223" t="str">
        <f>IFERROR(__xludf.DUMMYFUNCTION("""COMPUTED_VALUE"""),"-")</f>
        <v>-</v>
      </c>
      <c r="F223" t="str">
        <f>IFERROR(__xludf.DUMMYFUNCTION("""COMPUTED_VALUE"""),"-")</f>
        <v>-</v>
      </c>
      <c r="G223" t="str">
        <f>IFERROR(__xludf.DUMMYFUNCTION("""COMPUTED_VALUE"""),"-")</f>
        <v>-</v>
      </c>
      <c r="H223" t="str">
        <f>IFERROR(__xludf.DUMMYFUNCTION("""COMPUTED_VALUE"""),"-")</f>
        <v>-</v>
      </c>
      <c r="I223" t="str">
        <f>IFERROR(__xludf.DUMMYFUNCTION("""COMPUTED_VALUE"""),"-")</f>
        <v>-</v>
      </c>
      <c r="J223" t="str">
        <f>IFERROR(__xludf.DUMMYFUNCTION("""COMPUTED_VALUE"""),"-")</f>
        <v>-</v>
      </c>
      <c r="K223" t="str">
        <f>IFERROR(__xludf.DUMMYFUNCTION("""COMPUTED_VALUE"""),"-")</f>
        <v>-</v>
      </c>
      <c r="L223" t="str">
        <f>IFERROR(__xludf.DUMMYFUNCTION("""COMPUTED_VALUE"""),"-")</f>
        <v>-</v>
      </c>
      <c r="M223" t="str">
        <f>IFERROR(__xludf.DUMMYFUNCTION("""COMPUTED_VALUE"""),"-")</f>
        <v>-</v>
      </c>
      <c r="O223" t="str">
        <f>IFERROR(__xludf.DUMMYFUNCTION("""COMPUTED_VALUE"""),"#222")</f>
        <v>#222</v>
      </c>
      <c r="P223" t="str">
        <f>IFERROR(__xludf.DUMMYFUNCTION("""COMPUTED_VALUE"""),"Benjamin Cauchy")</f>
        <v>Benjamin Cauchy</v>
      </c>
      <c r="Q223">
        <f>IFERROR(__xludf.DUMMYFUNCTION("""COMPUTED_VALUE"""),23098.0)</f>
        <v>23098</v>
      </c>
      <c r="R223" t="str">
        <f>IFERROR(__xludf.DUMMYFUNCTION("""COMPUTED_VALUE"""),"-")</f>
        <v>-</v>
      </c>
      <c r="S223" t="str">
        <f>IFERROR(__xludf.DUMMYFUNCTION("""COMPUTED_VALUE"""),"-")</f>
        <v>-</v>
      </c>
      <c r="T223" t="str">
        <f>IFERROR(__xludf.DUMMYFUNCTION("""COMPUTED_VALUE"""),"-")</f>
        <v>-</v>
      </c>
      <c r="U223" t="str">
        <f>IFERROR(__xludf.DUMMYFUNCTION("""COMPUTED_VALUE"""),"-")</f>
        <v>-</v>
      </c>
      <c r="V223" t="str">
        <f>IFERROR(__xludf.DUMMYFUNCTION("""COMPUTED_VALUE"""),"-")</f>
        <v>-</v>
      </c>
      <c r="W223" t="str">
        <f>IFERROR(__xludf.DUMMYFUNCTION("""COMPUTED_VALUE"""),"-")</f>
        <v>-</v>
      </c>
      <c r="X223" t="str">
        <f>IFERROR(__xludf.DUMMYFUNCTION("""COMPUTED_VALUE"""),"-")</f>
        <v>-</v>
      </c>
      <c r="Y223" t="str">
        <f>IFERROR(__xludf.DUMMYFUNCTION("""COMPUTED_VALUE"""),"-")</f>
        <v>-</v>
      </c>
      <c r="Z223" t="str">
        <f>IFERROR(__xludf.DUMMYFUNCTION("""COMPUTED_VALUE"""),"-")</f>
        <v>-</v>
      </c>
      <c r="AA223" t="str">
        <f>IFERROR(__xludf.DUMMYFUNCTION("""COMPUTED_VALUE"""),"-")</f>
        <v>-</v>
      </c>
    </row>
    <row r="224">
      <c r="A224" t="str">
        <f>IFERROR(__xludf.DUMMYFUNCTION("""COMPUTED_VALUE"""),"#223")</f>
        <v>#223</v>
      </c>
      <c r="B224" t="str">
        <f>IFERROR(__xludf.DUMMYFUNCTION("""COMPUTED_VALUE"""),"Franck Louvrier")</f>
        <v>Franck Louvrier</v>
      </c>
      <c r="C224">
        <f>IFERROR(__xludf.DUMMYFUNCTION("""COMPUTED_VALUE"""),23022.0)</f>
        <v>23022</v>
      </c>
      <c r="D224" t="str">
        <f>IFERROR(__xludf.DUMMYFUNCTION("""COMPUTED_VALUE"""),"-")</f>
        <v>-</v>
      </c>
      <c r="E224" t="str">
        <f>IFERROR(__xludf.DUMMYFUNCTION("""COMPUTED_VALUE"""),"-")</f>
        <v>-</v>
      </c>
      <c r="F224" t="str">
        <f>IFERROR(__xludf.DUMMYFUNCTION("""COMPUTED_VALUE"""),"-")</f>
        <v>-</v>
      </c>
      <c r="G224" t="str">
        <f>IFERROR(__xludf.DUMMYFUNCTION("""COMPUTED_VALUE"""),"-")</f>
        <v>-</v>
      </c>
      <c r="H224" t="str">
        <f>IFERROR(__xludf.DUMMYFUNCTION("""COMPUTED_VALUE"""),"-")</f>
        <v>-</v>
      </c>
      <c r="I224" t="str">
        <f>IFERROR(__xludf.DUMMYFUNCTION("""COMPUTED_VALUE"""),"-")</f>
        <v>-</v>
      </c>
      <c r="J224" t="str">
        <f>IFERROR(__xludf.DUMMYFUNCTION("""COMPUTED_VALUE"""),"-")</f>
        <v>-</v>
      </c>
      <c r="K224" t="str">
        <f>IFERROR(__xludf.DUMMYFUNCTION("""COMPUTED_VALUE"""),"-")</f>
        <v>-</v>
      </c>
      <c r="L224" t="str">
        <f>IFERROR(__xludf.DUMMYFUNCTION("""COMPUTED_VALUE"""),"-")</f>
        <v>-</v>
      </c>
      <c r="M224" t="str">
        <f>IFERROR(__xludf.DUMMYFUNCTION("""COMPUTED_VALUE"""),"-")</f>
        <v>-</v>
      </c>
      <c r="O224" t="str">
        <f>IFERROR(__xludf.DUMMYFUNCTION("""COMPUTED_VALUE"""),"#223")</f>
        <v>#223</v>
      </c>
      <c r="P224" t="str">
        <f>IFERROR(__xludf.DUMMYFUNCTION("""COMPUTED_VALUE"""),"Franck Louvrier")</f>
        <v>Franck Louvrier</v>
      </c>
      <c r="Q224">
        <f>IFERROR(__xludf.DUMMYFUNCTION("""COMPUTED_VALUE"""),23022.0)</f>
        <v>23022</v>
      </c>
      <c r="R224" t="str">
        <f>IFERROR(__xludf.DUMMYFUNCTION("""COMPUTED_VALUE"""),"-")</f>
        <v>-</v>
      </c>
      <c r="S224" t="str">
        <f>IFERROR(__xludf.DUMMYFUNCTION("""COMPUTED_VALUE"""),"-")</f>
        <v>-</v>
      </c>
      <c r="T224" t="str">
        <f>IFERROR(__xludf.DUMMYFUNCTION("""COMPUTED_VALUE"""),"-")</f>
        <v>-</v>
      </c>
      <c r="U224" t="str">
        <f>IFERROR(__xludf.DUMMYFUNCTION("""COMPUTED_VALUE"""),"-")</f>
        <v>-</v>
      </c>
      <c r="V224" t="str">
        <f>IFERROR(__xludf.DUMMYFUNCTION("""COMPUTED_VALUE"""),"-")</f>
        <v>-</v>
      </c>
      <c r="W224" t="str">
        <f>IFERROR(__xludf.DUMMYFUNCTION("""COMPUTED_VALUE"""),"-")</f>
        <v>-</v>
      </c>
      <c r="X224" t="str">
        <f>IFERROR(__xludf.DUMMYFUNCTION("""COMPUTED_VALUE"""),"-")</f>
        <v>-</v>
      </c>
      <c r="Y224" t="str">
        <f>IFERROR(__xludf.DUMMYFUNCTION("""COMPUTED_VALUE"""),"-")</f>
        <v>-</v>
      </c>
      <c r="Z224" t="str">
        <f>IFERROR(__xludf.DUMMYFUNCTION("""COMPUTED_VALUE"""),"-")</f>
        <v>-</v>
      </c>
      <c r="AA224" t="str">
        <f>IFERROR(__xludf.DUMMYFUNCTION("""COMPUTED_VALUE"""),"-")</f>
        <v>-</v>
      </c>
    </row>
    <row r="225">
      <c r="A225" t="str">
        <f>IFERROR(__xludf.DUMMYFUNCTION("""COMPUTED_VALUE"""),"#224")</f>
        <v>#224</v>
      </c>
      <c r="B225" t="str">
        <f>IFERROR(__xludf.DUMMYFUNCTION("""COMPUTED_VALUE"""),"Meyer Habib")</f>
        <v>Meyer Habib</v>
      </c>
      <c r="C225">
        <f>IFERROR(__xludf.DUMMYFUNCTION("""COMPUTED_VALUE"""),22879.0)</f>
        <v>22879</v>
      </c>
      <c r="D225" t="str">
        <f>IFERROR(__xludf.DUMMYFUNCTION("""COMPUTED_VALUE"""),"-")</f>
        <v>-</v>
      </c>
      <c r="E225" t="str">
        <f>IFERROR(__xludf.DUMMYFUNCTION("""COMPUTED_VALUE"""),"-")</f>
        <v>-</v>
      </c>
      <c r="F225" t="str">
        <f>IFERROR(__xludf.DUMMYFUNCTION("""COMPUTED_VALUE"""),"-")</f>
        <v>-</v>
      </c>
      <c r="G225" t="str">
        <f>IFERROR(__xludf.DUMMYFUNCTION("""COMPUTED_VALUE"""),"-")</f>
        <v>-</v>
      </c>
      <c r="H225" t="str">
        <f>IFERROR(__xludf.DUMMYFUNCTION("""COMPUTED_VALUE"""),"-")</f>
        <v>-</v>
      </c>
      <c r="I225" t="str">
        <f>IFERROR(__xludf.DUMMYFUNCTION("""COMPUTED_VALUE"""),"-")</f>
        <v>-</v>
      </c>
      <c r="J225" t="str">
        <f>IFERROR(__xludf.DUMMYFUNCTION("""COMPUTED_VALUE"""),"-")</f>
        <v>-</v>
      </c>
      <c r="K225" t="str">
        <f>IFERROR(__xludf.DUMMYFUNCTION("""COMPUTED_VALUE"""),"-")</f>
        <v>-</v>
      </c>
      <c r="L225" t="str">
        <f>IFERROR(__xludf.DUMMYFUNCTION("""COMPUTED_VALUE"""),"-")</f>
        <v>-</v>
      </c>
      <c r="M225" t="str">
        <f>IFERROR(__xludf.DUMMYFUNCTION("""COMPUTED_VALUE"""),"-")</f>
        <v>-</v>
      </c>
      <c r="O225" t="str">
        <f>IFERROR(__xludf.DUMMYFUNCTION("""COMPUTED_VALUE"""),"#224")</f>
        <v>#224</v>
      </c>
      <c r="P225" t="str">
        <f>IFERROR(__xludf.DUMMYFUNCTION("""COMPUTED_VALUE"""),"Meyer Habib")</f>
        <v>Meyer Habib</v>
      </c>
      <c r="Q225">
        <f>IFERROR(__xludf.DUMMYFUNCTION("""COMPUTED_VALUE"""),22879.0)</f>
        <v>22879</v>
      </c>
      <c r="R225" t="str">
        <f>IFERROR(__xludf.DUMMYFUNCTION("""COMPUTED_VALUE"""),"-")</f>
        <v>-</v>
      </c>
      <c r="S225" t="str">
        <f>IFERROR(__xludf.DUMMYFUNCTION("""COMPUTED_VALUE"""),"-")</f>
        <v>-</v>
      </c>
      <c r="T225" t="str">
        <f>IFERROR(__xludf.DUMMYFUNCTION("""COMPUTED_VALUE"""),"-")</f>
        <v>-</v>
      </c>
      <c r="U225" t="str">
        <f>IFERROR(__xludf.DUMMYFUNCTION("""COMPUTED_VALUE"""),"-")</f>
        <v>-</v>
      </c>
      <c r="V225" t="str">
        <f>IFERROR(__xludf.DUMMYFUNCTION("""COMPUTED_VALUE"""),"-")</f>
        <v>-</v>
      </c>
      <c r="W225" t="str">
        <f>IFERROR(__xludf.DUMMYFUNCTION("""COMPUTED_VALUE"""),"-")</f>
        <v>-</v>
      </c>
      <c r="X225" t="str">
        <f>IFERROR(__xludf.DUMMYFUNCTION("""COMPUTED_VALUE"""),"-")</f>
        <v>-</v>
      </c>
      <c r="Y225" t="str">
        <f>IFERROR(__xludf.DUMMYFUNCTION("""COMPUTED_VALUE"""),"-")</f>
        <v>-</v>
      </c>
      <c r="Z225" t="str">
        <f>IFERROR(__xludf.DUMMYFUNCTION("""COMPUTED_VALUE"""),"-")</f>
        <v>-</v>
      </c>
      <c r="AA225" t="str">
        <f>IFERROR(__xludf.DUMMYFUNCTION("""COMPUTED_VALUE"""),"-")</f>
        <v>-</v>
      </c>
    </row>
    <row r="226">
      <c r="A226" t="str">
        <f>IFERROR(__xludf.DUMMYFUNCTION("""COMPUTED_VALUE"""),"#225")</f>
        <v>#225</v>
      </c>
      <c r="B226" t="str">
        <f>IFERROR(__xludf.DUMMYFUNCTION("""COMPUTED_VALUE"""),"Sergio Coronado")</f>
        <v>Sergio Coronado</v>
      </c>
      <c r="C226">
        <f>IFERROR(__xludf.DUMMYFUNCTION("""COMPUTED_VALUE"""),22834.0)</f>
        <v>22834</v>
      </c>
      <c r="D226" t="str">
        <f>IFERROR(__xludf.DUMMYFUNCTION("""COMPUTED_VALUE"""),"-")</f>
        <v>-</v>
      </c>
      <c r="E226" t="str">
        <f>IFERROR(__xludf.DUMMYFUNCTION("""COMPUTED_VALUE"""),"-")</f>
        <v>-</v>
      </c>
      <c r="F226" t="str">
        <f>IFERROR(__xludf.DUMMYFUNCTION("""COMPUTED_VALUE"""),"-")</f>
        <v>-</v>
      </c>
      <c r="G226" t="str">
        <f>IFERROR(__xludf.DUMMYFUNCTION("""COMPUTED_VALUE"""),"-")</f>
        <v>-</v>
      </c>
      <c r="H226" t="str">
        <f>IFERROR(__xludf.DUMMYFUNCTION("""COMPUTED_VALUE"""),"-")</f>
        <v>-</v>
      </c>
      <c r="I226" t="str">
        <f>IFERROR(__xludf.DUMMYFUNCTION("""COMPUTED_VALUE"""),"-")</f>
        <v>-</v>
      </c>
      <c r="J226" t="str">
        <f>IFERROR(__xludf.DUMMYFUNCTION("""COMPUTED_VALUE"""),"-")</f>
        <v>-</v>
      </c>
      <c r="K226" t="str">
        <f>IFERROR(__xludf.DUMMYFUNCTION("""COMPUTED_VALUE"""),"-")</f>
        <v>-</v>
      </c>
      <c r="L226" t="str">
        <f>IFERROR(__xludf.DUMMYFUNCTION("""COMPUTED_VALUE"""),"-")</f>
        <v>-</v>
      </c>
      <c r="M226" t="str">
        <f>IFERROR(__xludf.DUMMYFUNCTION("""COMPUTED_VALUE"""),"-")</f>
        <v>-</v>
      </c>
      <c r="O226" t="str">
        <f>IFERROR(__xludf.DUMMYFUNCTION("""COMPUTED_VALUE"""),"#225")</f>
        <v>#225</v>
      </c>
      <c r="P226" t="str">
        <f>IFERROR(__xludf.DUMMYFUNCTION("""COMPUTED_VALUE"""),"Sergio Coronado")</f>
        <v>Sergio Coronado</v>
      </c>
      <c r="Q226">
        <f>IFERROR(__xludf.DUMMYFUNCTION("""COMPUTED_VALUE"""),22834.0)</f>
        <v>22834</v>
      </c>
      <c r="R226" t="str">
        <f>IFERROR(__xludf.DUMMYFUNCTION("""COMPUTED_VALUE"""),"-")</f>
        <v>-</v>
      </c>
      <c r="S226" t="str">
        <f>IFERROR(__xludf.DUMMYFUNCTION("""COMPUTED_VALUE"""),"-")</f>
        <v>-</v>
      </c>
      <c r="T226" t="str">
        <f>IFERROR(__xludf.DUMMYFUNCTION("""COMPUTED_VALUE"""),"-")</f>
        <v>-</v>
      </c>
      <c r="U226" t="str">
        <f>IFERROR(__xludf.DUMMYFUNCTION("""COMPUTED_VALUE"""),"-")</f>
        <v>-</v>
      </c>
      <c r="V226" t="str">
        <f>IFERROR(__xludf.DUMMYFUNCTION("""COMPUTED_VALUE"""),"-")</f>
        <v>-</v>
      </c>
      <c r="W226" t="str">
        <f>IFERROR(__xludf.DUMMYFUNCTION("""COMPUTED_VALUE"""),"-")</f>
        <v>-</v>
      </c>
      <c r="X226" t="str">
        <f>IFERROR(__xludf.DUMMYFUNCTION("""COMPUTED_VALUE"""),"-")</f>
        <v>-</v>
      </c>
      <c r="Y226" t="str">
        <f>IFERROR(__xludf.DUMMYFUNCTION("""COMPUTED_VALUE"""),"-")</f>
        <v>-</v>
      </c>
      <c r="Z226" t="str">
        <f>IFERROR(__xludf.DUMMYFUNCTION("""COMPUTED_VALUE"""),"-")</f>
        <v>-</v>
      </c>
      <c r="AA226" t="str">
        <f>IFERROR(__xludf.DUMMYFUNCTION("""COMPUTED_VALUE"""),"-")</f>
        <v>-</v>
      </c>
    </row>
    <row r="227">
      <c r="A227" t="str">
        <f>IFERROR(__xludf.DUMMYFUNCTION("""COMPUTED_VALUE"""),"#226")</f>
        <v>#226</v>
      </c>
      <c r="B227" t="str">
        <f>IFERROR(__xludf.DUMMYFUNCTION("""COMPUTED_VALUE"""),"Jean-Paul Delevoye")</f>
        <v>Jean-Paul Delevoye</v>
      </c>
      <c r="C227">
        <f>IFERROR(__xludf.DUMMYFUNCTION("""COMPUTED_VALUE"""),22354.0)</f>
        <v>22354</v>
      </c>
      <c r="D227" t="str">
        <f>IFERROR(__xludf.DUMMYFUNCTION("""COMPUTED_VALUE"""),"-")</f>
        <v>-</v>
      </c>
      <c r="E227" t="str">
        <f>IFERROR(__xludf.DUMMYFUNCTION("""COMPUTED_VALUE"""),"-")</f>
        <v>-</v>
      </c>
      <c r="F227" t="str">
        <f>IFERROR(__xludf.DUMMYFUNCTION("""COMPUTED_VALUE"""),"-")</f>
        <v>-</v>
      </c>
      <c r="G227" t="str">
        <f>IFERROR(__xludf.DUMMYFUNCTION("""COMPUTED_VALUE"""),"-")</f>
        <v>-</v>
      </c>
      <c r="H227" t="str">
        <f>IFERROR(__xludf.DUMMYFUNCTION("""COMPUTED_VALUE"""),"-")</f>
        <v>-</v>
      </c>
      <c r="I227" t="str">
        <f>IFERROR(__xludf.DUMMYFUNCTION("""COMPUTED_VALUE"""),"-")</f>
        <v>-</v>
      </c>
      <c r="J227" t="str">
        <f>IFERROR(__xludf.DUMMYFUNCTION("""COMPUTED_VALUE"""),"-")</f>
        <v>-</v>
      </c>
      <c r="K227" t="str">
        <f>IFERROR(__xludf.DUMMYFUNCTION("""COMPUTED_VALUE"""),"-")</f>
        <v>-</v>
      </c>
      <c r="L227" t="str">
        <f>IFERROR(__xludf.DUMMYFUNCTION("""COMPUTED_VALUE"""),"-")</f>
        <v>-</v>
      </c>
      <c r="M227" t="str">
        <f>IFERROR(__xludf.DUMMYFUNCTION("""COMPUTED_VALUE"""),"-")</f>
        <v>-</v>
      </c>
      <c r="O227" t="str">
        <f>IFERROR(__xludf.DUMMYFUNCTION("""COMPUTED_VALUE"""),"#226")</f>
        <v>#226</v>
      </c>
      <c r="P227" t="str">
        <f>IFERROR(__xludf.DUMMYFUNCTION("""COMPUTED_VALUE"""),"Jean-Paul Delevoye")</f>
        <v>Jean-Paul Delevoye</v>
      </c>
      <c r="Q227">
        <f>IFERROR(__xludf.DUMMYFUNCTION("""COMPUTED_VALUE"""),22354.0)</f>
        <v>22354</v>
      </c>
      <c r="R227" t="str">
        <f>IFERROR(__xludf.DUMMYFUNCTION("""COMPUTED_VALUE"""),"-")</f>
        <v>-</v>
      </c>
      <c r="S227" t="str">
        <f>IFERROR(__xludf.DUMMYFUNCTION("""COMPUTED_VALUE"""),"-")</f>
        <v>-</v>
      </c>
      <c r="T227" t="str">
        <f>IFERROR(__xludf.DUMMYFUNCTION("""COMPUTED_VALUE"""),"-")</f>
        <v>-</v>
      </c>
      <c r="U227" t="str">
        <f>IFERROR(__xludf.DUMMYFUNCTION("""COMPUTED_VALUE"""),"-")</f>
        <v>-</v>
      </c>
      <c r="V227" t="str">
        <f>IFERROR(__xludf.DUMMYFUNCTION("""COMPUTED_VALUE"""),"-")</f>
        <v>-</v>
      </c>
      <c r="W227" t="str">
        <f>IFERROR(__xludf.DUMMYFUNCTION("""COMPUTED_VALUE"""),"-")</f>
        <v>-</v>
      </c>
      <c r="X227" t="str">
        <f>IFERROR(__xludf.DUMMYFUNCTION("""COMPUTED_VALUE"""),"-")</f>
        <v>-</v>
      </c>
      <c r="Y227" t="str">
        <f>IFERROR(__xludf.DUMMYFUNCTION("""COMPUTED_VALUE"""),"-")</f>
        <v>-</v>
      </c>
      <c r="Z227" t="str">
        <f>IFERROR(__xludf.DUMMYFUNCTION("""COMPUTED_VALUE"""),"-")</f>
        <v>-</v>
      </c>
      <c r="AA227" t="str">
        <f>IFERROR(__xludf.DUMMYFUNCTION("""COMPUTED_VALUE"""),"-")</f>
        <v>-</v>
      </c>
    </row>
    <row r="228">
      <c r="A228" t="str">
        <f>IFERROR(__xludf.DUMMYFUNCTION("""COMPUTED_VALUE"""),"#227")</f>
        <v>#227</v>
      </c>
      <c r="B228" t="str">
        <f>IFERROR(__xludf.DUMMYFUNCTION("""COMPUTED_VALUE"""),"Emmanuel Maurel")</f>
        <v>Emmanuel Maurel</v>
      </c>
      <c r="C228">
        <f>IFERROR(__xludf.DUMMYFUNCTION("""COMPUTED_VALUE"""),22298.0)</f>
        <v>22298</v>
      </c>
      <c r="D228" t="str">
        <f>IFERROR(__xludf.DUMMYFUNCTION("""COMPUTED_VALUE"""),"-")</f>
        <v>-</v>
      </c>
      <c r="E228" t="str">
        <f>IFERROR(__xludf.DUMMYFUNCTION("""COMPUTED_VALUE"""),"-")</f>
        <v>-</v>
      </c>
      <c r="F228" t="str">
        <f>IFERROR(__xludf.DUMMYFUNCTION("""COMPUTED_VALUE"""),"-")</f>
        <v>-</v>
      </c>
      <c r="G228" t="str">
        <f>IFERROR(__xludf.DUMMYFUNCTION("""COMPUTED_VALUE"""),"-")</f>
        <v>-</v>
      </c>
      <c r="H228" t="str">
        <f>IFERROR(__xludf.DUMMYFUNCTION("""COMPUTED_VALUE"""),"-")</f>
        <v>-</v>
      </c>
      <c r="I228" t="str">
        <f>IFERROR(__xludf.DUMMYFUNCTION("""COMPUTED_VALUE"""),"-")</f>
        <v>-</v>
      </c>
      <c r="J228" t="str">
        <f>IFERROR(__xludf.DUMMYFUNCTION("""COMPUTED_VALUE"""),"-")</f>
        <v>-</v>
      </c>
      <c r="K228" t="str">
        <f>IFERROR(__xludf.DUMMYFUNCTION("""COMPUTED_VALUE"""),"-")</f>
        <v>-</v>
      </c>
      <c r="L228" t="str">
        <f>IFERROR(__xludf.DUMMYFUNCTION("""COMPUTED_VALUE"""),"-")</f>
        <v>-</v>
      </c>
      <c r="M228" t="str">
        <f>IFERROR(__xludf.DUMMYFUNCTION("""COMPUTED_VALUE"""),"-")</f>
        <v>-</v>
      </c>
      <c r="O228" t="str">
        <f>IFERROR(__xludf.DUMMYFUNCTION("""COMPUTED_VALUE"""),"#227")</f>
        <v>#227</v>
      </c>
      <c r="P228" t="str">
        <f>IFERROR(__xludf.DUMMYFUNCTION("""COMPUTED_VALUE"""),"Emmanuel Maurel")</f>
        <v>Emmanuel Maurel</v>
      </c>
      <c r="Q228">
        <f>IFERROR(__xludf.DUMMYFUNCTION("""COMPUTED_VALUE"""),22298.0)</f>
        <v>22298</v>
      </c>
      <c r="R228" t="str">
        <f>IFERROR(__xludf.DUMMYFUNCTION("""COMPUTED_VALUE"""),"-")</f>
        <v>-</v>
      </c>
      <c r="S228" t="str">
        <f>IFERROR(__xludf.DUMMYFUNCTION("""COMPUTED_VALUE"""),"-")</f>
        <v>-</v>
      </c>
      <c r="T228" t="str">
        <f>IFERROR(__xludf.DUMMYFUNCTION("""COMPUTED_VALUE"""),"-")</f>
        <v>-</v>
      </c>
      <c r="U228" t="str">
        <f>IFERROR(__xludf.DUMMYFUNCTION("""COMPUTED_VALUE"""),"-")</f>
        <v>-</v>
      </c>
      <c r="V228" t="str">
        <f>IFERROR(__xludf.DUMMYFUNCTION("""COMPUTED_VALUE"""),"-")</f>
        <v>-</v>
      </c>
      <c r="W228" t="str">
        <f>IFERROR(__xludf.DUMMYFUNCTION("""COMPUTED_VALUE"""),"-")</f>
        <v>-</v>
      </c>
      <c r="X228" t="str">
        <f>IFERROR(__xludf.DUMMYFUNCTION("""COMPUTED_VALUE"""),"-")</f>
        <v>-</v>
      </c>
      <c r="Y228" t="str">
        <f>IFERROR(__xludf.DUMMYFUNCTION("""COMPUTED_VALUE"""),"-")</f>
        <v>-</v>
      </c>
      <c r="Z228" t="str">
        <f>IFERROR(__xludf.DUMMYFUNCTION("""COMPUTED_VALUE"""),"-")</f>
        <v>-</v>
      </c>
      <c r="AA228" t="str">
        <f>IFERROR(__xludf.DUMMYFUNCTION("""COMPUTED_VALUE"""),"-")</f>
        <v>-</v>
      </c>
    </row>
    <row r="229">
      <c r="A229" t="str">
        <f>IFERROR(__xludf.DUMMYFUNCTION("""COMPUTED_VALUE"""),"#228")</f>
        <v>#228</v>
      </c>
      <c r="B229" t="str">
        <f>IFERROR(__xludf.DUMMYFUNCTION("""COMPUTED_VALUE"""),"Isabelle Attard")</f>
        <v>Isabelle Attard</v>
      </c>
      <c r="C229">
        <f>IFERROR(__xludf.DUMMYFUNCTION("""COMPUTED_VALUE"""),22260.0)</f>
        <v>22260</v>
      </c>
      <c r="D229" t="str">
        <f>IFERROR(__xludf.DUMMYFUNCTION("""COMPUTED_VALUE"""),"-")</f>
        <v>-</v>
      </c>
      <c r="E229" t="str">
        <f>IFERROR(__xludf.DUMMYFUNCTION("""COMPUTED_VALUE"""),"-")</f>
        <v>-</v>
      </c>
      <c r="F229" t="str">
        <f>IFERROR(__xludf.DUMMYFUNCTION("""COMPUTED_VALUE"""),"-")</f>
        <v>-</v>
      </c>
      <c r="G229" t="str">
        <f>IFERROR(__xludf.DUMMYFUNCTION("""COMPUTED_VALUE"""),"-")</f>
        <v>-</v>
      </c>
      <c r="H229" t="str">
        <f>IFERROR(__xludf.DUMMYFUNCTION("""COMPUTED_VALUE"""),"-")</f>
        <v>-</v>
      </c>
      <c r="I229" t="str">
        <f>IFERROR(__xludf.DUMMYFUNCTION("""COMPUTED_VALUE"""),"-")</f>
        <v>-</v>
      </c>
      <c r="J229" t="str">
        <f>IFERROR(__xludf.DUMMYFUNCTION("""COMPUTED_VALUE"""),"-")</f>
        <v>-</v>
      </c>
      <c r="K229" t="str">
        <f>IFERROR(__xludf.DUMMYFUNCTION("""COMPUTED_VALUE"""),"-")</f>
        <v>-</v>
      </c>
      <c r="L229" t="str">
        <f>IFERROR(__xludf.DUMMYFUNCTION("""COMPUTED_VALUE"""),"-")</f>
        <v>-</v>
      </c>
      <c r="M229" t="str">
        <f>IFERROR(__xludf.DUMMYFUNCTION("""COMPUTED_VALUE"""),"-")</f>
        <v>-</v>
      </c>
      <c r="O229" t="str">
        <f>IFERROR(__xludf.DUMMYFUNCTION("""COMPUTED_VALUE"""),"#228")</f>
        <v>#228</v>
      </c>
      <c r="P229" t="str">
        <f>IFERROR(__xludf.DUMMYFUNCTION("""COMPUTED_VALUE"""),"Isabelle Attard")</f>
        <v>Isabelle Attard</v>
      </c>
      <c r="Q229">
        <f>IFERROR(__xludf.DUMMYFUNCTION("""COMPUTED_VALUE"""),22260.0)</f>
        <v>22260</v>
      </c>
      <c r="R229" t="str">
        <f>IFERROR(__xludf.DUMMYFUNCTION("""COMPUTED_VALUE"""),"-")</f>
        <v>-</v>
      </c>
      <c r="S229" t="str">
        <f>IFERROR(__xludf.DUMMYFUNCTION("""COMPUTED_VALUE"""),"-")</f>
        <v>-</v>
      </c>
      <c r="T229" t="str">
        <f>IFERROR(__xludf.DUMMYFUNCTION("""COMPUTED_VALUE"""),"-")</f>
        <v>-</v>
      </c>
      <c r="U229" t="str">
        <f>IFERROR(__xludf.DUMMYFUNCTION("""COMPUTED_VALUE"""),"-")</f>
        <v>-</v>
      </c>
      <c r="V229" t="str">
        <f>IFERROR(__xludf.DUMMYFUNCTION("""COMPUTED_VALUE"""),"-")</f>
        <v>-</v>
      </c>
      <c r="W229" t="str">
        <f>IFERROR(__xludf.DUMMYFUNCTION("""COMPUTED_VALUE"""),"-")</f>
        <v>-</v>
      </c>
      <c r="X229" t="str">
        <f>IFERROR(__xludf.DUMMYFUNCTION("""COMPUTED_VALUE"""),"-")</f>
        <v>-</v>
      </c>
      <c r="Y229" t="str">
        <f>IFERROR(__xludf.DUMMYFUNCTION("""COMPUTED_VALUE"""),"-")</f>
        <v>-</v>
      </c>
      <c r="Z229" t="str">
        <f>IFERROR(__xludf.DUMMYFUNCTION("""COMPUTED_VALUE"""),"-")</f>
        <v>-</v>
      </c>
      <c r="AA229" t="str">
        <f>IFERROR(__xludf.DUMMYFUNCTION("""COMPUTED_VALUE"""),"-")</f>
        <v>-</v>
      </c>
    </row>
    <row r="230">
      <c r="A230" t="str">
        <f>IFERROR(__xludf.DUMMYFUNCTION("""COMPUTED_VALUE"""),"#229")</f>
        <v>#229</v>
      </c>
      <c r="B230" t="str">
        <f>IFERROR(__xludf.DUMMYFUNCTION("""COMPUTED_VALUE"""),"Hervé Mariton")</f>
        <v>Hervé Mariton</v>
      </c>
      <c r="C230">
        <f>IFERROR(__xludf.DUMMYFUNCTION("""COMPUTED_VALUE"""),22190.0)</f>
        <v>22190</v>
      </c>
      <c r="D230" t="str">
        <f>IFERROR(__xludf.DUMMYFUNCTION("""COMPUTED_VALUE"""),"-")</f>
        <v>-</v>
      </c>
      <c r="E230" t="str">
        <f>IFERROR(__xludf.DUMMYFUNCTION("""COMPUTED_VALUE"""),"-")</f>
        <v>-</v>
      </c>
      <c r="F230" t="str">
        <f>IFERROR(__xludf.DUMMYFUNCTION("""COMPUTED_VALUE"""),"-")</f>
        <v>-</v>
      </c>
      <c r="G230" t="str">
        <f>IFERROR(__xludf.DUMMYFUNCTION("""COMPUTED_VALUE"""),"-")</f>
        <v>-</v>
      </c>
      <c r="H230" t="str">
        <f>IFERROR(__xludf.DUMMYFUNCTION("""COMPUTED_VALUE"""),"-")</f>
        <v>-</v>
      </c>
      <c r="I230" t="str">
        <f>IFERROR(__xludf.DUMMYFUNCTION("""COMPUTED_VALUE"""),"-")</f>
        <v>-</v>
      </c>
      <c r="J230" t="str">
        <f>IFERROR(__xludf.DUMMYFUNCTION("""COMPUTED_VALUE"""),"-")</f>
        <v>-</v>
      </c>
      <c r="K230" t="str">
        <f>IFERROR(__xludf.DUMMYFUNCTION("""COMPUTED_VALUE"""),"-")</f>
        <v>-</v>
      </c>
      <c r="L230" t="str">
        <f>IFERROR(__xludf.DUMMYFUNCTION("""COMPUTED_VALUE"""),"-")</f>
        <v>-</v>
      </c>
      <c r="M230" t="str">
        <f>IFERROR(__xludf.DUMMYFUNCTION("""COMPUTED_VALUE"""),"-")</f>
        <v>-</v>
      </c>
      <c r="O230" t="str">
        <f>IFERROR(__xludf.DUMMYFUNCTION("""COMPUTED_VALUE"""),"#229")</f>
        <v>#229</v>
      </c>
      <c r="P230" t="str">
        <f>IFERROR(__xludf.DUMMYFUNCTION("""COMPUTED_VALUE"""),"Hervé Mariton")</f>
        <v>Hervé Mariton</v>
      </c>
      <c r="Q230">
        <f>IFERROR(__xludf.DUMMYFUNCTION("""COMPUTED_VALUE"""),22190.0)</f>
        <v>22190</v>
      </c>
      <c r="R230" t="str">
        <f>IFERROR(__xludf.DUMMYFUNCTION("""COMPUTED_VALUE"""),"-")</f>
        <v>-</v>
      </c>
      <c r="S230" t="str">
        <f>IFERROR(__xludf.DUMMYFUNCTION("""COMPUTED_VALUE"""),"-")</f>
        <v>-</v>
      </c>
      <c r="T230" t="str">
        <f>IFERROR(__xludf.DUMMYFUNCTION("""COMPUTED_VALUE"""),"-")</f>
        <v>-</v>
      </c>
      <c r="U230" t="str">
        <f>IFERROR(__xludf.DUMMYFUNCTION("""COMPUTED_VALUE"""),"-")</f>
        <v>-</v>
      </c>
      <c r="V230" t="str">
        <f>IFERROR(__xludf.DUMMYFUNCTION("""COMPUTED_VALUE"""),"-")</f>
        <v>-</v>
      </c>
      <c r="W230" t="str">
        <f>IFERROR(__xludf.DUMMYFUNCTION("""COMPUTED_VALUE"""),"-")</f>
        <v>-</v>
      </c>
      <c r="X230" t="str">
        <f>IFERROR(__xludf.DUMMYFUNCTION("""COMPUTED_VALUE"""),"-")</f>
        <v>-</v>
      </c>
      <c r="Y230" t="str">
        <f>IFERROR(__xludf.DUMMYFUNCTION("""COMPUTED_VALUE"""),"-")</f>
        <v>-</v>
      </c>
      <c r="Z230" t="str">
        <f>IFERROR(__xludf.DUMMYFUNCTION("""COMPUTED_VALUE"""),"-")</f>
        <v>-</v>
      </c>
      <c r="AA230" t="str">
        <f>IFERROR(__xludf.DUMMYFUNCTION("""COMPUTED_VALUE"""),"-")</f>
        <v>-</v>
      </c>
    </row>
    <row r="231">
      <c r="A231" t="str">
        <f>IFERROR(__xludf.DUMMYFUNCTION("""COMPUTED_VALUE"""),"#230")</f>
        <v>#230</v>
      </c>
      <c r="B231" t="str">
        <f>IFERROR(__xludf.DUMMYFUNCTION("""COMPUTED_VALUE"""),"Arnaud Danjean")</f>
        <v>Arnaud Danjean</v>
      </c>
      <c r="C231">
        <f>IFERROR(__xludf.DUMMYFUNCTION("""COMPUTED_VALUE"""),22060.0)</f>
        <v>22060</v>
      </c>
      <c r="D231" t="str">
        <f>IFERROR(__xludf.DUMMYFUNCTION("""COMPUTED_VALUE"""),"-")</f>
        <v>-</v>
      </c>
      <c r="E231" t="str">
        <f>IFERROR(__xludf.DUMMYFUNCTION("""COMPUTED_VALUE"""),"-")</f>
        <v>-</v>
      </c>
      <c r="F231" t="str">
        <f>IFERROR(__xludf.DUMMYFUNCTION("""COMPUTED_VALUE"""),"-")</f>
        <v>-</v>
      </c>
      <c r="G231" t="str">
        <f>IFERROR(__xludf.DUMMYFUNCTION("""COMPUTED_VALUE"""),"-")</f>
        <v>-</v>
      </c>
      <c r="H231" t="str">
        <f>IFERROR(__xludf.DUMMYFUNCTION("""COMPUTED_VALUE"""),"-")</f>
        <v>-</v>
      </c>
      <c r="I231" t="str">
        <f>IFERROR(__xludf.DUMMYFUNCTION("""COMPUTED_VALUE"""),"-")</f>
        <v>-</v>
      </c>
      <c r="J231" t="str">
        <f>IFERROR(__xludf.DUMMYFUNCTION("""COMPUTED_VALUE"""),"-")</f>
        <v>-</v>
      </c>
      <c r="K231" t="str">
        <f>IFERROR(__xludf.DUMMYFUNCTION("""COMPUTED_VALUE"""),"-")</f>
        <v>-</v>
      </c>
      <c r="L231" t="str">
        <f>IFERROR(__xludf.DUMMYFUNCTION("""COMPUTED_VALUE"""),"-")</f>
        <v>-</v>
      </c>
      <c r="M231" t="str">
        <f>IFERROR(__xludf.DUMMYFUNCTION("""COMPUTED_VALUE"""),"-")</f>
        <v>-</v>
      </c>
      <c r="O231" t="str">
        <f>IFERROR(__xludf.DUMMYFUNCTION("""COMPUTED_VALUE"""),"#230")</f>
        <v>#230</v>
      </c>
      <c r="P231" t="str">
        <f>IFERROR(__xludf.DUMMYFUNCTION("""COMPUTED_VALUE"""),"Arnaud Danjean")</f>
        <v>Arnaud Danjean</v>
      </c>
      <c r="Q231">
        <f>IFERROR(__xludf.DUMMYFUNCTION("""COMPUTED_VALUE"""),22060.0)</f>
        <v>22060</v>
      </c>
      <c r="R231" t="str">
        <f>IFERROR(__xludf.DUMMYFUNCTION("""COMPUTED_VALUE"""),"-")</f>
        <v>-</v>
      </c>
      <c r="S231" t="str">
        <f>IFERROR(__xludf.DUMMYFUNCTION("""COMPUTED_VALUE"""),"-")</f>
        <v>-</v>
      </c>
      <c r="T231" t="str">
        <f>IFERROR(__xludf.DUMMYFUNCTION("""COMPUTED_VALUE"""),"-")</f>
        <v>-</v>
      </c>
      <c r="U231" t="str">
        <f>IFERROR(__xludf.DUMMYFUNCTION("""COMPUTED_VALUE"""),"-")</f>
        <v>-</v>
      </c>
      <c r="V231" t="str">
        <f>IFERROR(__xludf.DUMMYFUNCTION("""COMPUTED_VALUE"""),"-")</f>
        <v>-</v>
      </c>
      <c r="W231" t="str">
        <f>IFERROR(__xludf.DUMMYFUNCTION("""COMPUTED_VALUE"""),"-")</f>
        <v>-</v>
      </c>
      <c r="X231" t="str">
        <f>IFERROR(__xludf.DUMMYFUNCTION("""COMPUTED_VALUE"""),"-")</f>
        <v>-</v>
      </c>
      <c r="Y231" t="str">
        <f>IFERROR(__xludf.DUMMYFUNCTION("""COMPUTED_VALUE"""),"-")</f>
        <v>-</v>
      </c>
      <c r="Z231" t="str">
        <f>IFERROR(__xludf.DUMMYFUNCTION("""COMPUTED_VALUE"""),"-")</f>
        <v>-</v>
      </c>
      <c r="AA231" t="str">
        <f>IFERROR(__xludf.DUMMYFUNCTION("""COMPUTED_VALUE"""),"-")</f>
        <v>-</v>
      </c>
    </row>
    <row r="232">
      <c r="A232" t="str">
        <f>IFERROR(__xludf.DUMMYFUNCTION("""COMPUTED_VALUE"""),"#231")</f>
        <v>#231</v>
      </c>
      <c r="B232" t="str">
        <f>IFERROR(__xludf.DUMMYFUNCTION("""COMPUTED_VALUE"""),"Samia Ghali")</f>
        <v>Samia Ghali</v>
      </c>
      <c r="C232">
        <f>IFERROR(__xludf.DUMMYFUNCTION("""COMPUTED_VALUE"""),21922.0)</f>
        <v>21922</v>
      </c>
      <c r="D232" t="str">
        <f>IFERROR(__xludf.DUMMYFUNCTION("""COMPUTED_VALUE"""),"-")</f>
        <v>-</v>
      </c>
      <c r="E232" t="str">
        <f>IFERROR(__xludf.DUMMYFUNCTION("""COMPUTED_VALUE"""),"-")</f>
        <v>-</v>
      </c>
      <c r="F232" t="str">
        <f>IFERROR(__xludf.DUMMYFUNCTION("""COMPUTED_VALUE"""),"-")</f>
        <v>-</v>
      </c>
      <c r="G232" t="str">
        <f>IFERROR(__xludf.DUMMYFUNCTION("""COMPUTED_VALUE"""),"-")</f>
        <v>-</v>
      </c>
      <c r="H232" t="str">
        <f>IFERROR(__xludf.DUMMYFUNCTION("""COMPUTED_VALUE"""),"-")</f>
        <v>-</v>
      </c>
      <c r="I232" t="str">
        <f>IFERROR(__xludf.DUMMYFUNCTION("""COMPUTED_VALUE"""),"-")</f>
        <v>-</v>
      </c>
      <c r="J232" t="str">
        <f>IFERROR(__xludf.DUMMYFUNCTION("""COMPUTED_VALUE"""),"-")</f>
        <v>-</v>
      </c>
      <c r="K232" t="str">
        <f>IFERROR(__xludf.DUMMYFUNCTION("""COMPUTED_VALUE"""),"-")</f>
        <v>-</v>
      </c>
      <c r="L232" t="str">
        <f>IFERROR(__xludf.DUMMYFUNCTION("""COMPUTED_VALUE"""),"-")</f>
        <v>-</v>
      </c>
      <c r="M232" t="str">
        <f>IFERROR(__xludf.DUMMYFUNCTION("""COMPUTED_VALUE"""),"-")</f>
        <v>-</v>
      </c>
      <c r="O232" t="str">
        <f>IFERROR(__xludf.DUMMYFUNCTION("""COMPUTED_VALUE"""),"#231")</f>
        <v>#231</v>
      </c>
      <c r="P232" t="str">
        <f>IFERROR(__xludf.DUMMYFUNCTION("""COMPUTED_VALUE"""),"Samia Ghali")</f>
        <v>Samia Ghali</v>
      </c>
      <c r="Q232">
        <f>IFERROR(__xludf.DUMMYFUNCTION("""COMPUTED_VALUE"""),21922.0)</f>
        <v>21922</v>
      </c>
      <c r="R232" t="str">
        <f>IFERROR(__xludf.DUMMYFUNCTION("""COMPUTED_VALUE"""),"-")</f>
        <v>-</v>
      </c>
      <c r="S232" t="str">
        <f>IFERROR(__xludf.DUMMYFUNCTION("""COMPUTED_VALUE"""),"-")</f>
        <v>-</v>
      </c>
      <c r="T232" t="str">
        <f>IFERROR(__xludf.DUMMYFUNCTION("""COMPUTED_VALUE"""),"-")</f>
        <v>-</v>
      </c>
      <c r="U232" t="str">
        <f>IFERROR(__xludf.DUMMYFUNCTION("""COMPUTED_VALUE"""),"-")</f>
        <v>-</v>
      </c>
      <c r="V232" t="str">
        <f>IFERROR(__xludf.DUMMYFUNCTION("""COMPUTED_VALUE"""),"-")</f>
        <v>-</v>
      </c>
      <c r="W232" t="str">
        <f>IFERROR(__xludf.DUMMYFUNCTION("""COMPUTED_VALUE"""),"-")</f>
        <v>-</v>
      </c>
      <c r="X232" t="str">
        <f>IFERROR(__xludf.DUMMYFUNCTION("""COMPUTED_VALUE"""),"-")</f>
        <v>-</v>
      </c>
      <c r="Y232" t="str">
        <f>IFERROR(__xludf.DUMMYFUNCTION("""COMPUTED_VALUE"""),"-")</f>
        <v>-</v>
      </c>
      <c r="Z232" t="str">
        <f>IFERROR(__xludf.DUMMYFUNCTION("""COMPUTED_VALUE"""),"-")</f>
        <v>-</v>
      </c>
      <c r="AA232" t="str">
        <f>IFERROR(__xludf.DUMMYFUNCTION("""COMPUTED_VALUE"""),"-")</f>
        <v>-</v>
      </c>
    </row>
    <row r="233">
      <c r="A233" t="str">
        <f>IFERROR(__xludf.DUMMYFUNCTION("""COMPUTED_VALUE"""),"#232")</f>
        <v>#232</v>
      </c>
      <c r="B233" t="str">
        <f>IFERROR(__xludf.DUMMYFUNCTION("""COMPUTED_VALUE"""),"Michel Larive")</f>
        <v>Michel Larive</v>
      </c>
      <c r="C233">
        <f>IFERROR(__xludf.DUMMYFUNCTION("""COMPUTED_VALUE"""),21919.0)</f>
        <v>21919</v>
      </c>
      <c r="D233" t="str">
        <f>IFERROR(__xludf.DUMMYFUNCTION("""COMPUTED_VALUE"""),"-")</f>
        <v>-</v>
      </c>
      <c r="E233" t="str">
        <f>IFERROR(__xludf.DUMMYFUNCTION("""COMPUTED_VALUE"""),"-")</f>
        <v>-</v>
      </c>
      <c r="F233" t="str">
        <f>IFERROR(__xludf.DUMMYFUNCTION("""COMPUTED_VALUE"""),"-")</f>
        <v>-</v>
      </c>
      <c r="G233" t="str">
        <f>IFERROR(__xludf.DUMMYFUNCTION("""COMPUTED_VALUE"""),"-")</f>
        <v>-</v>
      </c>
      <c r="H233" t="str">
        <f>IFERROR(__xludf.DUMMYFUNCTION("""COMPUTED_VALUE"""),"-")</f>
        <v>-</v>
      </c>
      <c r="I233" t="str">
        <f>IFERROR(__xludf.DUMMYFUNCTION("""COMPUTED_VALUE"""),"-")</f>
        <v>-</v>
      </c>
      <c r="J233" t="str">
        <f>IFERROR(__xludf.DUMMYFUNCTION("""COMPUTED_VALUE"""),"-")</f>
        <v>-</v>
      </c>
      <c r="K233" t="str">
        <f>IFERROR(__xludf.DUMMYFUNCTION("""COMPUTED_VALUE"""),"-")</f>
        <v>-</v>
      </c>
      <c r="L233" t="str">
        <f>IFERROR(__xludf.DUMMYFUNCTION("""COMPUTED_VALUE"""),"-")</f>
        <v>-</v>
      </c>
      <c r="M233" t="str">
        <f>IFERROR(__xludf.DUMMYFUNCTION("""COMPUTED_VALUE"""),"-")</f>
        <v>-</v>
      </c>
      <c r="O233" t="str">
        <f>IFERROR(__xludf.DUMMYFUNCTION("""COMPUTED_VALUE"""),"#232")</f>
        <v>#232</v>
      </c>
      <c r="P233" t="str">
        <f>IFERROR(__xludf.DUMMYFUNCTION("""COMPUTED_VALUE"""),"Michel Larive")</f>
        <v>Michel Larive</v>
      </c>
      <c r="Q233">
        <f>IFERROR(__xludf.DUMMYFUNCTION("""COMPUTED_VALUE"""),21919.0)</f>
        <v>21919</v>
      </c>
      <c r="R233" t="str">
        <f>IFERROR(__xludf.DUMMYFUNCTION("""COMPUTED_VALUE"""),"-")</f>
        <v>-</v>
      </c>
      <c r="S233" t="str">
        <f>IFERROR(__xludf.DUMMYFUNCTION("""COMPUTED_VALUE"""),"-")</f>
        <v>-</v>
      </c>
      <c r="T233" t="str">
        <f>IFERROR(__xludf.DUMMYFUNCTION("""COMPUTED_VALUE"""),"-")</f>
        <v>-</v>
      </c>
      <c r="U233" t="str">
        <f>IFERROR(__xludf.DUMMYFUNCTION("""COMPUTED_VALUE"""),"-")</f>
        <v>-</v>
      </c>
      <c r="V233" t="str">
        <f>IFERROR(__xludf.DUMMYFUNCTION("""COMPUTED_VALUE"""),"-")</f>
        <v>-</v>
      </c>
      <c r="W233" t="str">
        <f>IFERROR(__xludf.DUMMYFUNCTION("""COMPUTED_VALUE"""),"-")</f>
        <v>-</v>
      </c>
      <c r="X233" t="str">
        <f>IFERROR(__xludf.DUMMYFUNCTION("""COMPUTED_VALUE"""),"-")</f>
        <v>-</v>
      </c>
      <c r="Y233" t="str">
        <f>IFERROR(__xludf.DUMMYFUNCTION("""COMPUTED_VALUE"""),"-")</f>
        <v>-</v>
      </c>
      <c r="Z233" t="str">
        <f>IFERROR(__xludf.DUMMYFUNCTION("""COMPUTED_VALUE"""),"-")</f>
        <v>-</v>
      </c>
      <c r="AA233" t="str">
        <f>IFERROR(__xludf.DUMMYFUNCTION("""COMPUTED_VALUE"""),"-")</f>
        <v>-</v>
      </c>
    </row>
    <row r="234">
      <c r="A234" t="str">
        <f>IFERROR(__xludf.DUMMYFUNCTION("""COMPUTED_VALUE"""),"#233")</f>
        <v>#233</v>
      </c>
      <c r="B234" t="str">
        <f>IFERROR(__xludf.DUMMYFUNCTION("""COMPUTED_VALUE"""),"Thierry Braillard")</f>
        <v>Thierry Braillard</v>
      </c>
      <c r="C234">
        <f>IFERROR(__xludf.DUMMYFUNCTION("""COMPUTED_VALUE"""),21880.0)</f>
        <v>21880</v>
      </c>
      <c r="D234" t="str">
        <f>IFERROR(__xludf.DUMMYFUNCTION("""COMPUTED_VALUE"""),"-")</f>
        <v>-</v>
      </c>
      <c r="E234" t="str">
        <f>IFERROR(__xludf.DUMMYFUNCTION("""COMPUTED_VALUE"""),"-")</f>
        <v>-</v>
      </c>
      <c r="F234" t="str">
        <f>IFERROR(__xludf.DUMMYFUNCTION("""COMPUTED_VALUE"""),"-")</f>
        <v>-</v>
      </c>
      <c r="G234" t="str">
        <f>IFERROR(__xludf.DUMMYFUNCTION("""COMPUTED_VALUE"""),"-")</f>
        <v>-</v>
      </c>
      <c r="H234" t="str">
        <f>IFERROR(__xludf.DUMMYFUNCTION("""COMPUTED_VALUE"""),"-")</f>
        <v>-</v>
      </c>
      <c r="I234" t="str">
        <f>IFERROR(__xludf.DUMMYFUNCTION("""COMPUTED_VALUE"""),"-")</f>
        <v>-</v>
      </c>
      <c r="J234" t="str">
        <f>IFERROR(__xludf.DUMMYFUNCTION("""COMPUTED_VALUE"""),"-")</f>
        <v>-</v>
      </c>
      <c r="K234" t="str">
        <f>IFERROR(__xludf.DUMMYFUNCTION("""COMPUTED_VALUE"""),"-")</f>
        <v>-</v>
      </c>
      <c r="L234" t="str">
        <f>IFERROR(__xludf.DUMMYFUNCTION("""COMPUTED_VALUE"""),"-")</f>
        <v>-</v>
      </c>
      <c r="M234" t="str">
        <f>IFERROR(__xludf.DUMMYFUNCTION("""COMPUTED_VALUE"""),"-")</f>
        <v>-</v>
      </c>
      <c r="O234" t="str">
        <f>IFERROR(__xludf.DUMMYFUNCTION("""COMPUTED_VALUE"""),"#233")</f>
        <v>#233</v>
      </c>
      <c r="P234" t="str">
        <f>IFERROR(__xludf.DUMMYFUNCTION("""COMPUTED_VALUE"""),"Thierry Braillard")</f>
        <v>Thierry Braillard</v>
      </c>
      <c r="Q234">
        <f>IFERROR(__xludf.DUMMYFUNCTION("""COMPUTED_VALUE"""),21880.0)</f>
        <v>21880</v>
      </c>
      <c r="R234" t="str">
        <f>IFERROR(__xludf.DUMMYFUNCTION("""COMPUTED_VALUE"""),"-")</f>
        <v>-</v>
      </c>
      <c r="S234" t="str">
        <f>IFERROR(__xludf.DUMMYFUNCTION("""COMPUTED_VALUE"""),"-")</f>
        <v>-</v>
      </c>
      <c r="T234" t="str">
        <f>IFERROR(__xludf.DUMMYFUNCTION("""COMPUTED_VALUE"""),"-")</f>
        <v>-</v>
      </c>
      <c r="U234" t="str">
        <f>IFERROR(__xludf.DUMMYFUNCTION("""COMPUTED_VALUE"""),"-")</f>
        <v>-</v>
      </c>
      <c r="V234" t="str">
        <f>IFERROR(__xludf.DUMMYFUNCTION("""COMPUTED_VALUE"""),"-")</f>
        <v>-</v>
      </c>
      <c r="W234" t="str">
        <f>IFERROR(__xludf.DUMMYFUNCTION("""COMPUTED_VALUE"""),"-")</f>
        <v>-</v>
      </c>
      <c r="X234" t="str">
        <f>IFERROR(__xludf.DUMMYFUNCTION("""COMPUTED_VALUE"""),"-")</f>
        <v>-</v>
      </c>
      <c r="Y234" t="str">
        <f>IFERROR(__xludf.DUMMYFUNCTION("""COMPUTED_VALUE"""),"-")</f>
        <v>-</v>
      </c>
      <c r="Z234" t="str">
        <f>IFERROR(__xludf.DUMMYFUNCTION("""COMPUTED_VALUE"""),"-")</f>
        <v>-</v>
      </c>
      <c r="AA234" t="str">
        <f>IFERROR(__xludf.DUMMYFUNCTION("""COMPUTED_VALUE"""),"-")</f>
        <v>-</v>
      </c>
    </row>
    <row r="235">
      <c r="A235" t="str">
        <f>IFERROR(__xludf.DUMMYFUNCTION("""COMPUTED_VALUE"""),"#234")</f>
        <v>#234</v>
      </c>
      <c r="B235" t="str">
        <f>IFERROR(__xludf.DUMMYFUNCTION("""COMPUTED_VALUE"""),"Corinne Morel Darleux")</f>
        <v>Corinne Morel Darleux</v>
      </c>
      <c r="C235">
        <f>IFERROR(__xludf.DUMMYFUNCTION("""COMPUTED_VALUE"""),21777.0)</f>
        <v>21777</v>
      </c>
      <c r="D235" t="str">
        <f>IFERROR(__xludf.DUMMYFUNCTION("""COMPUTED_VALUE"""),"-")</f>
        <v>-</v>
      </c>
      <c r="E235" t="str">
        <f>IFERROR(__xludf.DUMMYFUNCTION("""COMPUTED_VALUE"""),"-")</f>
        <v>-</v>
      </c>
      <c r="F235" t="str">
        <f>IFERROR(__xludf.DUMMYFUNCTION("""COMPUTED_VALUE"""),"-")</f>
        <v>-</v>
      </c>
      <c r="G235" t="str">
        <f>IFERROR(__xludf.DUMMYFUNCTION("""COMPUTED_VALUE"""),"-")</f>
        <v>-</v>
      </c>
      <c r="H235" t="str">
        <f>IFERROR(__xludf.DUMMYFUNCTION("""COMPUTED_VALUE"""),"-")</f>
        <v>-</v>
      </c>
      <c r="I235" t="str">
        <f>IFERROR(__xludf.DUMMYFUNCTION("""COMPUTED_VALUE"""),"-")</f>
        <v>-</v>
      </c>
      <c r="J235" t="str">
        <f>IFERROR(__xludf.DUMMYFUNCTION("""COMPUTED_VALUE"""),"-")</f>
        <v>-</v>
      </c>
      <c r="K235" t="str">
        <f>IFERROR(__xludf.DUMMYFUNCTION("""COMPUTED_VALUE"""),"-")</f>
        <v>-</v>
      </c>
      <c r="L235" t="str">
        <f>IFERROR(__xludf.DUMMYFUNCTION("""COMPUTED_VALUE"""),"-")</f>
        <v>-</v>
      </c>
      <c r="M235" t="str">
        <f>IFERROR(__xludf.DUMMYFUNCTION("""COMPUTED_VALUE"""),"-")</f>
        <v>-</v>
      </c>
      <c r="O235" t="str">
        <f>IFERROR(__xludf.DUMMYFUNCTION("""COMPUTED_VALUE"""),"#234")</f>
        <v>#234</v>
      </c>
      <c r="P235" t="str">
        <f>IFERROR(__xludf.DUMMYFUNCTION("""COMPUTED_VALUE"""),"Corinne Morel Darleux")</f>
        <v>Corinne Morel Darleux</v>
      </c>
      <c r="Q235">
        <f>IFERROR(__xludf.DUMMYFUNCTION("""COMPUTED_VALUE"""),21777.0)</f>
        <v>21777</v>
      </c>
      <c r="R235" t="str">
        <f>IFERROR(__xludf.DUMMYFUNCTION("""COMPUTED_VALUE"""),"-")</f>
        <v>-</v>
      </c>
      <c r="S235" t="str">
        <f>IFERROR(__xludf.DUMMYFUNCTION("""COMPUTED_VALUE"""),"-")</f>
        <v>-</v>
      </c>
      <c r="T235" t="str">
        <f>IFERROR(__xludf.DUMMYFUNCTION("""COMPUTED_VALUE"""),"-")</f>
        <v>-</v>
      </c>
      <c r="U235" t="str">
        <f>IFERROR(__xludf.DUMMYFUNCTION("""COMPUTED_VALUE"""),"-")</f>
        <v>-</v>
      </c>
      <c r="V235" t="str">
        <f>IFERROR(__xludf.DUMMYFUNCTION("""COMPUTED_VALUE"""),"-")</f>
        <v>-</v>
      </c>
      <c r="W235" t="str">
        <f>IFERROR(__xludf.DUMMYFUNCTION("""COMPUTED_VALUE"""),"-")</f>
        <v>-</v>
      </c>
      <c r="X235" t="str">
        <f>IFERROR(__xludf.DUMMYFUNCTION("""COMPUTED_VALUE"""),"-")</f>
        <v>-</v>
      </c>
      <c r="Y235" t="str">
        <f>IFERROR(__xludf.DUMMYFUNCTION("""COMPUTED_VALUE"""),"-")</f>
        <v>-</v>
      </c>
      <c r="Z235" t="str">
        <f>IFERROR(__xludf.DUMMYFUNCTION("""COMPUTED_VALUE"""),"-")</f>
        <v>-</v>
      </c>
      <c r="AA235" t="str">
        <f>IFERROR(__xludf.DUMMYFUNCTION("""COMPUTED_VALUE"""),"-")</f>
        <v>-</v>
      </c>
    </row>
    <row r="236">
      <c r="A236" t="str">
        <f>IFERROR(__xludf.DUMMYFUNCTION("""COMPUTED_VALUE"""),"#235")</f>
        <v>#235</v>
      </c>
      <c r="B236" t="str">
        <f>IFERROR(__xludf.DUMMYFUNCTION("""COMPUTED_VALUE"""),"Pascal Durand")</f>
        <v>Pascal Durand</v>
      </c>
      <c r="C236">
        <f>IFERROR(__xludf.DUMMYFUNCTION("""COMPUTED_VALUE"""),21720.0)</f>
        <v>21720</v>
      </c>
      <c r="D236" t="str">
        <f>IFERROR(__xludf.DUMMYFUNCTION("""COMPUTED_VALUE"""),"-")</f>
        <v>-</v>
      </c>
      <c r="E236" t="str">
        <f>IFERROR(__xludf.DUMMYFUNCTION("""COMPUTED_VALUE"""),"-")</f>
        <v>-</v>
      </c>
      <c r="F236" t="str">
        <f>IFERROR(__xludf.DUMMYFUNCTION("""COMPUTED_VALUE"""),"-")</f>
        <v>-</v>
      </c>
      <c r="G236" t="str">
        <f>IFERROR(__xludf.DUMMYFUNCTION("""COMPUTED_VALUE"""),"-")</f>
        <v>-</v>
      </c>
      <c r="H236" t="str">
        <f>IFERROR(__xludf.DUMMYFUNCTION("""COMPUTED_VALUE"""),"-")</f>
        <v>-</v>
      </c>
      <c r="I236" t="str">
        <f>IFERROR(__xludf.DUMMYFUNCTION("""COMPUTED_VALUE"""),"-")</f>
        <v>-</v>
      </c>
      <c r="J236" t="str">
        <f>IFERROR(__xludf.DUMMYFUNCTION("""COMPUTED_VALUE"""),"-")</f>
        <v>-</v>
      </c>
      <c r="K236" t="str">
        <f>IFERROR(__xludf.DUMMYFUNCTION("""COMPUTED_VALUE"""),"-")</f>
        <v>-</v>
      </c>
      <c r="L236" t="str">
        <f>IFERROR(__xludf.DUMMYFUNCTION("""COMPUTED_VALUE"""),"-")</f>
        <v>-</v>
      </c>
      <c r="M236" t="str">
        <f>IFERROR(__xludf.DUMMYFUNCTION("""COMPUTED_VALUE"""),"-")</f>
        <v>-</v>
      </c>
      <c r="O236" t="str">
        <f>IFERROR(__xludf.DUMMYFUNCTION("""COMPUTED_VALUE"""),"#235")</f>
        <v>#235</v>
      </c>
      <c r="P236" t="str">
        <f>IFERROR(__xludf.DUMMYFUNCTION("""COMPUTED_VALUE"""),"Pascal Durand")</f>
        <v>Pascal Durand</v>
      </c>
      <c r="Q236">
        <f>IFERROR(__xludf.DUMMYFUNCTION("""COMPUTED_VALUE"""),21720.0)</f>
        <v>21720</v>
      </c>
      <c r="R236" t="str">
        <f>IFERROR(__xludf.DUMMYFUNCTION("""COMPUTED_VALUE"""),"-")</f>
        <v>-</v>
      </c>
      <c r="S236" t="str">
        <f>IFERROR(__xludf.DUMMYFUNCTION("""COMPUTED_VALUE"""),"-")</f>
        <v>-</v>
      </c>
      <c r="T236" t="str">
        <f>IFERROR(__xludf.DUMMYFUNCTION("""COMPUTED_VALUE"""),"-")</f>
        <v>-</v>
      </c>
      <c r="U236" t="str">
        <f>IFERROR(__xludf.DUMMYFUNCTION("""COMPUTED_VALUE"""),"-")</f>
        <v>-</v>
      </c>
      <c r="V236" t="str">
        <f>IFERROR(__xludf.DUMMYFUNCTION("""COMPUTED_VALUE"""),"-")</f>
        <v>-</v>
      </c>
      <c r="W236" t="str">
        <f>IFERROR(__xludf.DUMMYFUNCTION("""COMPUTED_VALUE"""),"-")</f>
        <v>-</v>
      </c>
      <c r="X236" t="str">
        <f>IFERROR(__xludf.DUMMYFUNCTION("""COMPUTED_VALUE"""),"-")</f>
        <v>-</v>
      </c>
      <c r="Y236" t="str">
        <f>IFERROR(__xludf.DUMMYFUNCTION("""COMPUTED_VALUE"""),"-")</f>
        <v>-</v>
      </c>
      <c r="Z236" t="str">
        <f>IFERROR(__xludf.DUMMYFUNCTION("""COMPUTED_VALUE"""),"-")</f>
        <v>-</v>
      </c>
      <c r="AA236" t="str">
        <f>IFERROR(__xludf.DUMMYFUNCTION("""COMPUTED_VALUE"""),"-")</f>
        <v>-</v>
      </c>
    </row>
    <row r="237">
      <c r="A237" t="str">
        <f>IFERROR(__xludf.DUMMYFUNCTION("""COMPUTED_VALUE"""),"#236")</f>
        <v>#236</v>
      </c>
      <c r="B237" t="str">
        <f>IFERROR(__xludf.DUMMYFUNCTION("""COMPUTED_VALUE"""),"Jacques Mézard")</f>
        <v>Jacques Mézard</v>
      </c>
      <c r="C237">
        <f>IFERROR(__xludf.DUMMYFUNCTION("""COMPUTED_VALUE"""),21694.0)</f>
        <v>21694</v>
      </c>
      <c r="D237" t="str">
        <f>IFERROR(__xludf.DUMMYFUNCTION("""COMPUTED_VALUE"""),"-")</f>
        <v>-</v>
      </c>
      <c r="E237" t="str">
        <f>IFERROR(__xludf.DUMMYFUNCTION("""COMPUTED_VALUE"""),"-")</f>
        <v>-</v>
      </c>
      <c r="F237" t="str">
        <f>IFERROR(__xludf.DUMMYFUNCTION("""COMPUTED_VALUE"""),"-")</f>
        <v>-</v>
      </c>
      <c r="G237" t="str">
        <f>IFERROR(__xludf.DUMMYFUNCTION("""COMPUTED_VALUE"""),"-")</f>
        <v>-</v>
      </c>
      <c r="H237" t="str">
        <f>IFERROR(__xludf.DUMMYFUNCTION("""COMPUTED_VALUE"""),"-")</f>
        <v>-</v>
      </c>
      <c r="I237" t="str">
        <f>IFERROR(__xludf.DUMMYFUNCTION("""COMPUTED_VALUE"""),"-")</f>
        <v>-</v>
      </c>
      <c r="J237" t="str">
        <f>IFERROR(__xludf.DUMMYFUNCTION("""COMPUTED_VALUE"""),"-")</f>
        <v>-</v>
      </c>
      <c r="K237" t="str">
        <f>IFERROR(__xludf.DUMMYFUNCTION("""COMPUTED_VALUE"""),"-")</f>
        <v>-</v>
      </c>
      <c r="L237" t="str">
        <f>IFERROR(__xludf.DUMMYFUNCTION("""COMPUTED_VALUE"""),"-")</f>
        <v>-</v>
      </c>
      <c r="M237" t="str">
        <f>IFERROR(__xludf.DUMMYFUNCTION("""COMPUTED_VALUE"""),"-")</f>
        <v>-</v>
      </c>
      <c r="O237" t="str">
        <f>IFERROR(__xludf.DUMMYFUNCTION("""COMPUTED_VALUE"""),"#236")</f>
        <v>#236</v>
      </c>
      <c r="P237" t="str">
        <f>IFERROR(__xludf.DUMMYFUNCTION("""COMPUTED_VALUE"""),"Jacques Mézard")</f>
        <v>Jacques Mézard</v>
      </c>
      <c r="Q237">
        <f>IFERROR(__xludf.DUMMYFUNCTION("""COMPUTED_VALUE"""),21694.0)</f>
        <v>21694</v>
      </c>
      <c r="R237" t="str">
        <f>IFERROR(__xludf.DUMMYFUNCTION("""COMPUTED_VALUE"""),"-")</f>
        <v>-</v>
      </c>
      <c r="S237" t="str">
        <f>IFERROR(__xludf.DUMMYFUNCTION("""COMPUTED_VALUE"""),"-")</f>
        <v>-</v>
      </c>
      <c r="T237" t="str">
        <f>IFERROR(__xludf.DUMMYFUNCTION("""COMPUTED_VALUE"""),"-")</f>
        <v>-</v>
      </c>
      <c r="U237" t="str">
        <f>IFERROR(__xludf.DUMMYFUNCTION("""COMPUTED_VALUE"""),"-")</f>
        <v>-</v>
      </c>
      <c r="V237" t="str">
        <f>IFERROR(__xludf.DUMMYFUNCTION("""COMPUTED_VALUE"""),"-")</f>
        <v>-</v>
      </c>
      <c r="W237" t="str">
        <f>IFERROR(__xludf.DUMMYFUNCTION("""COMPUTED_VALUE"""),"-")</f>
        <v>-</v>
      </c>
      <c r="X237" t="str">
        <f>IFERROR(__xludf.DUMMYFUNCTION("""COMPUTED_VALUE"""),"-")</f>
        <v>-</v>
      </c>
      <c r="Y237" t="str">
        <f>IFERROR(__xludf.DUMMYFUNCTION("""COMPUTED_VALUE"""),"-")</f>
        <v>-</v>
      </c>
      <c r="Z237" t="str">
        <f>IFERROR(__xludf.DUMMYFUNCTION("""COMPUTED_VALUE"""),"-")</f>
        <v>-</v>
      </c>
      <c r="AA237" t="str">
        <f>IFERROR(__xludf.DUMMYFUNCTION("""COMPUTED_VALUE"""),"-")</f>
        <v>-</v>
      </c>
    </row>
    <row r="238">
      <c r="A238" t="str">
        <f>IFERROR(__xludf.DUMMYFUNCTION("""COMPUTED_VALUE"""),"#237")</f>
        <v>#237</v>
      </c>
      <c r="B238" t="str">
        <f>IFERROR(__xludf.DUMMYFUNCTION("""COMPUTED_VALUE"""),"Fabien Roussel")</f>
        <v>Fabien Roussel</v>
      </c>
      <c r="C238">
        <f>IFERROR(__xludf.DUMMYFUNCTION("""COMPUTED_VALUE"""),21569.0)</f>
        <v>21569</v>
      </c>
      <c r="D238" t="str">
        <f>IFERROR(__xludf.DUMMYFUNCTION("""COMPUTED_VALUE"""),"-")</f>
        <v>-</v>
      </c>
      <c r="E238" t="str">
        <f>IFERROR(__xludf.DUMMYFUNCTION("""COMPUTED_VALUE"""),"-")</f>
        <v>-</v>
      </c>
      <c r="F238" t="str">
        <f>IFERROR(__xludf.DUMMYFUNCTION("""COMPUTED_VALUE"""),"-")</f>
        <v>-</v>
      </c>
      <c r="G238" t="str">
        <f>IFERROR(__xludf.DUMMYFUNCTION("""COMPUTED_VALUE"""),"-")</f>
        <v>-</v>
      </c>
      <c r="H238" t="str">
        <f>IFERROR(__xludf.DUMMYFUNCTION("""COMPUTED_VALUE"""),"-")</f>
        <v>-</v>
      </c>
      <c r="I238" t="str">
        <f>IFERROR(__xludf.DUMMYFUNCTION("""COMPUTED_VALUE"""),"-")</f>
        <v>-</v>
      </c>
      <c r="J238" t="str">
        <f>IFERROR(__xludf.DUMMYFUNCTION("""COMPUTED_VALUE"""),"-")</f>
        <v>-</v>
      </c>
      <c r="K238" t="str">
        <f>IFERROR(__xludf.DUMMYFUNCTION("""COMPUTED_VALUE"""),"-")</f>
        <v>-</v>
      </c>
      <c r="L238" t="str">
        <f>IFERROR(__xludf.DUMMYFUNCTION("""COMPUTED_VALUE"""),"-")</f>
        <v>-</v>
      </c>
      <c r="M238" t="str">
        <f>IFERROR(__xludf.DUMMYFUNCTION("""COMPUTED_VALUE"""),"-")</f>
        <v>-</v>
      </c>
      <c r="O238" t="str">
        <f>IFERROR(__xludf.DUMMYFUNCTION("""COMPUTED_VALUE"""),"#237")</f>
        <v>#237</v>
      </c>
      <c r="P238" t="str">
        <f>IFERROR(__xludf.DUMMYFUNCTION("""COMPUTED_VALUE"""),"Fabien Roussel")</f>
        <v>Fabien Roussel</v>
      </c>
      <c r="Q238">
        <f>IFERROR(__xludf.DUMMYFUNCTION("""COMPUTED_VALUE"""),21569.0)</f>
        <v>21569</v>
      </c>
      <c r="R238" t="str">
        <f>IFERROR(__xludf.DUMMYFUNCTION("""COMPUTED_VALUE"""),"-")</f>
        <v>-</v>
      </c>
      <c r="S238" t="str">
        <f>IFERROR(__xludf.DUMMYFUNCTION("""COMPUTED_VALUE"""),"-")</f>
        <v>-</v>
      </c>
      <c r="T238" t="str">
        <f>IFERROR(__xludf.DUMMYFUNCTION("""COMPUTED_VALUE"""),"-")</f>
        <v>-</v>
      </c>
      <c r="U238" t="str">
        <f>IFERROR(__xludf.DUMMYFUNCTION("""COMPUTED_VALUE"""),"-")</f>
        <v>-</v>
      </c>
      <c r="V238" t="str">
        <f>IFERROR(__xludf.DUMMYFUNCTION("""COMPUTED_VALUE"""),"-")</f>
        <v>-</v>
      </c>
      <c r="W238" t="str">
        <f>IFERROR(__xludf.DUMMYFUNCTION("""COMPUTED_VALUE"""),"-")</f>
        <v>-</v>
      </c>
      <c r="X238" t="str">
        <f>IFERROR(__xludf.DUMMYFUNCTION("""COMPUTED_VALUE"""),"-")</f>
        <v>-</v>
      </c>
      <c r="Y238" t="str">
        <f>IFERROR(__xludf.DUMMYFUNCTION("""COMPUTED_VALUE"""),"-")</f>
        <v>-</v>
      </c>
      <c r="Z238" t="str">
        <f>IFERROR(__xludf.DUMMYFUNCTION("""COMPUTED_VALUE"""),"-")</f>
        <v>-</v>
      </c>
      <c r="AA238" t="str">
        <f>IFERROR(__xludf.DUMMYFUNCTION("""COMPUTED_VALUE"""),"-")</f>
        <v>-</v>
      </c>
    </row>
    <row r="239">
      <c r="A239" t="str">
        <f>IFERROR(__xludf.DUMMYFUNCTION("""COMPUTED_VALUE"""),"#238")</f>
        <v>#238</v>
      </c>
      <c r="B239" t="str">
        <f>IFERROR(__xludf.DUMMYFUNCTION("""COMPUTED_VALUE"""),"Agnès Marion")</f>
        <v>Agnès Marion</v>
      </c>
      <c r="C239">
        <f>IFERROR(__xludf.DUMMYFUNCTION("""COMPUTED_VALUE"""),21525.0)</f>
        <v>21525</v>
      </c>
      <c r="D239" t="str">
        <f>IFERROR(__xludf.DUMMYFUNCTION("""COMPUTED_VALUE"""),"-")</f>
        <v>-</v>
      </c>
      <c r="E239" t="str">
        <f>IFERROR(__xludf.DUMMYFUNCTION("""COMPUTED_VALUE"""),"-")</f>
        <v>-</v>
      </c>
      <c r="F239" t="str">
        <f>IFERROR(__xludf.DUMMYFUNCTION("""COMPUTED_VALUE"""),"-")</f>
        <v>-</v>
      </c>
      <c r="G239" t="str">
        <f>IFERROR(__xludf.DUMMYFUNCTION("""COMPUTED_VALUE"""),"-")</f>
        <v>-</v>
      </c>
      <c r="H239" t="str">
        <f>IFERROR(__xludf.DUMMYFUNCTION("""COMPUTED_VALUE"""),"-")</f>
        <v>-</v>
      </c>
      <c r="I239" t="str">
        <f>IFERROR(__xludf.DUMMYFUNCTION("""COMPUTED_VALUE"""),"-")</f>
        <v>-</v>
      </c>
      <c r="J239" t="str">
        <f>IFERROR(__xludf.DUMMYFUNCTION("""COMPUTED_VALUE"""),"-")</f>
        <v>-</v>
      </c>
      <c r="K239" t="str">
        <f>IFERROR(__xludf.DUMMYFUNCTION("""COMPUTED_VALUE"""),"-")</f>
        <v>-</v>
      </c>
      <c r="L239" t="str">
        <f>IFERROR(__xludf.DUMMYFUNCTION("""COMPUTED_VALUE"""),"-")</f>
        <v>-</v>
      </c>
      <c r="M239" t="str">
        <f>IFERROR(__xludf.DUMMYFUNCTION("""COMPUTED_VALUE"""),"-")</f>
        <v>-</v>
      </c>
      <c r="O239" t="str">
        <f>IFERROR(__xludf.DUMMYFUNCTION("""COMPUTED_VALUE"""),"#238")</f>
        <v>#238</v>
      </c>
      <c r="P239" t="str">
        <f>IFERROR(__xludf.DUMMYFUNCTION("""COMPUTED_VALUE"""),"Agnès Marion")</f>
        <v>Agnès Marion</v>
      </c>
      <c r="Q239">
        <f>IFERROR(__xludf.DUMMYFUNCTION("""COMPUTED_VALUE"""),21525.0)</f>
        <v>21525</v>
      </c>
      <c r="R239" t="str">
        <f>IFERROR(__xludf.DUMMYFUNCTION("""COMPUTED_VALUE"""),"-")</f>
        <v>-</v>
      </c>
      <c r="S239" t="str">
        <f>IFERROR(__xludf.DUMMYFUNCTION("""COMPUTED_VALUE"""),"-")</f>
        <v>-</v>
      </c>
      <c r="T239" t="str">
        <f>IFERROR(__xludf.DUMMYFUNCTION("""COMPUTED_VALUE"""),"-")</f>
        <v>-</v>
      </c>
      <c r="U239" t="str">
        <f>IFERROR(__xludf.DUMMYFUNCTION("""COMPUTED_VALUE"""),"-")</f>
        <v>-</v>
      </c>
      <c r="V239" t="str">
        <f>IFERROR(__xludf.DUMMYFUNCTION("""COMPUTED_VALUE"""),"-")</f>
        <v>-</v>
      </c>
      <c r="W239" t="str">
        <f>IFERROR(__xludf.DUMMYFUNCTION("""COMPUTED_VALUE"""),"-")</f>
        <v>-</v>
      </c>
      <c r="X239" t="str">
        <f>IFERROR(__xludf.DUMMYFUNCTION("""COMPUTED_VALUE"""),"-")</f>
        <v>-</v>
      </c>
      <c r="Y239" t="str">
        <f>IFERROR(__xludf.DUMMYFUNCTION("""COMPUTED_VALUE"""),"-")</f>
        <v>-</v>
      </c>
      <c r="Z239" t="str">
        <f>IFERROR(__xludf.DUMMYFUNCTION("""COMPUTED_VALUE"""),"-")</f>
        <v>-</v>
      </c>
      <c r="AA239" t="str">
        <f>IFERROR(__xludf.DUMMYFUNCTION("""COMPUTED_VALUE"""),"-")</f>
        <v>-</v>
      </c>
    </row>
    <row r="240">
      <c r="A240" t="str">
        <f>IFERROR(__xludf.DUMMYFUNCTION("""COMPUTED_VALUE"""),"#239")</f>
        <v>#239</v>
      </c>
      <c r="B240" t="str">
        <f>IFERROR(__xludf.DUMMYFUNCTION("""COMPUTED_VALUE"""),"Axelle Tessandier")</f>
        <v>Axelle Tessandier</v>
      </c>
      <c r="C240">
        <f>IFERROR(__xludf.DUMMYFUNCTION("""COMPUTED_VALUE"""),21410.0)</f>
        <v>21410</v>
      </c>
      <c r="D240" t="str">
        <f>IFERROR(__xludf.DUMMYFUNCTION("""COMPUTED_VALUE"""),"-")</f>
        <v>-</v>
      </c>
      <c r="E240" t="str">
        <f>IFERROR(__xludf.DUMMYFUNCTION("""COMPUTED_VALUE"""),"-")</f>
        <v>-</v>
      </c>
      <c r="F240" t="str">
        <f>IFERROR(__xludf.DUMMYFUNCTION("""COMPUTED_VALUE"""),"-")</f>
        <v>-</v>
      </c>
      <c r="G240" t="str">
        <f>IFERROR(__xludf.DUMMYFUNCTION("""COMPUTED_VALUE"""),"-")</f>
        <v>-</v>
      </c>
      <c r="H240" t="str">
        <f>IFERROR(__xludf.DUMMYFUNCTION("""COMPUTED_VALUE"""),"-")</f>
        <v>-</v>
      </c>
      <c r="I240" t="str">
        <f>IFERROR(__xludf.DUMMYFUNCTION("""COMPUTED_VALUE"""),"-")</f>
        <v>-</v>
      </c>
      <c r="J240" t="str">
        <f>IFERROR(__xludf.DUMMYFUNCTION("""COMPUTED_VALUE"""),"-")</f>
        <v>-</v>
      </c>
      <c r="K240" t="str">
        <f>IFERROR(__xludf.DUMMYFUNCTION("""COMPUTED_VALUE"""),"-")</f>
        <v>-</v>
      </c>
      <c r="L240" t="str">
        <f>IFERROR(__xludf.DUMMYFUNCTION("""COMPUTED_VALUE"""),"-")</f>
        <v>-</v>
      </c>
      <c r="M240" t="str">
        <f>IFERROR(__xludf.DUMMYFUNCTION("""COMPUTED_VALUE"""),"-")</f>
        <v>-</v>
      </c>
      <c r="O240" t="str">
        <f>IFERROR(__xludf.DUMMYFUNCTION("""COMPUTED_VALUE"""),"#239")</f>
        <v>#239</v>
      </c>
      <c r="P240" t="str">
        <f>IFERROR(__xludf.DUMMYFUNCTION("""COMPUTED_VALUE"""),"Axelle Tessandier")</f>
        <v>Axelle Tessandier</v>
      </c>
      <c r="Q240">
        <f>IFERROR(__xludf.DUMMYFUNCTION("""COMPUTED_VALUE"""),21410.0)</f>
        <v>21410</v>
      </c>
      <c r="R240" t="str">
        <f>IFERROR(__xludf.DUMMYFUNCTION("""COMPUTED_VALUE"""),"-")</f>
        <v>-</v>
      </c>
      <c r="S240" t="str">
        <f>IFERROR(__xludf.DUMMYFUNCTION("""COMPUTED_VALUE"""),"-")</f>
        <v>-</v>
      </c>
      <c r="T240" t="str">
        <f>IFERROR(__xludf.DUMMYFUNCTION("""COMPUTED_VALUE"""),"-")</f>
        <v>-</v>
      </c>
      <c r="U240" t="str">
        <f>IFERROR(__xludf.DUMMYFUNCTION("""COMPUTED_VALUE"""),"-")</f>
        <v>-</v>
      </c>
      <c r="V240" t="str">
        <f>IFERROR(__xludf.DUMMYFUNCTION("""COMPUTED_VALUE"""),"-")</f>
        <v>-</v>
      </c>
      <c r="W240" t="str">
        <f>IFERROR(__xludf.DUMMYFUNCTION("""COMPUTED_VALUE"""),"-")</f>
        <v>-</v>
      </c>
      <c r="X240" t="str">
        <f>IFERROR(__xludf.DUMMYFUNCTION("""COMPUTED_VALUE"""),"-")</f>
        <v>-</v>
      </c>
      <c r="Y240" t="str">
        <f>IFERROR(__xludf.DUMMYFUNCTION("""COMPUTED_VALUE"""),"-")</f>
        <v>-</v>
      </c>
      <c r="Z240" t="str">
        <f>IFERROR(__xludf.DUMMYFUNCTION("""COMPUTED_VALUE"""),"-")</f>
        <v>-</v>
      </c>
      <c r="AA240" t="str">
        <f>IFERROR(__xludf.DUMMYFUNCTION("""COMPUTED_VALUE"""),"-")</f>
        <v>-</v>
      </c>
    </row>
    <row r="241">
      <c r="A241" t="str">
        <f>IFERROR(__xludf.DUMMYFUNCTION("""COMPUTED_VALUE"""),"#240")</f>
        <v>#240</v>
      </c>
      <c r="B241" t="str">
        <f>IFERROR(__xludf.DUMMYFUNCTION("""COMPUTED_VALUE"""),"Sylvie Goulard")</f>
        <v>Sylvie Goulard</v>
      </c>
      <c r="C241">
        <f>IFERROR(__xludf.DUMMYFUNCTION("""COMPUTED_VALUE"""),21297.0)</f>
        <v>21297</v>
      </c>
      <c r="D241" t="str">
        <f>IFERROR(__xludf.DUMMYFUNCTION("""COMPUTED_VALUE"""),"-")</f>
        <v>-</v>
      </c>
      <c r="E241" t="str">
        <f>IFERROR(__xludf.DUMMYFUNCTION("""COMPUTED_VALUE"""),"-")</f>
        <v>-</v>
      </c>
      <c r="F241" t="str">
        <f>IFERROR(__xludf.DUMMYFUNCTION("""COMPUTED_VALUE"""),"-")</f>
        <v>-</v>
      </c>
      <c r="G241" t="str">
        <f>IFERROR(__xludf.DUMMYFUNCTION("""COMPUTED_VALUE"""),"-")</f>
        <v>-</v>
      </c>
      <c r="H241" t="str">
        <f>IFERROR(__xludf.DUMMYFUNCTION("""COMPUTED_VALUE"""),"-")</f>
        <v>-</v>
      </c>
      <c r="I241" t="str">
        <f>IFERROR(__xludf.DUMMYFUNCTION("""COMPUTED_VALUE"""),"-")</f>
        <v>-</v>
      </c>
      <c r="J241" t="str">
        <f>IFERROR(__xludf.DUMMYFUNCTION("""COMPUTED_VALUE"""),"-")</f>
        <v>-</v>
      </c>
      <c r="K241" t="str">
        <f>IFERROR(__xludf.DUMMYFUNCTION("""COMPUTED_VALUE"""),"-")</f>
        <v>-</v>
      </c>
      <c r="L241" t="str">
        <f>IFERROR(__xludf.DUMMYFUNCTION("""COMPUTED_VALUE"""),"-")</f>
        <v>-</v>
      </c>
      <c r="M241" t="str">
        <f>IFERROR(__xludf.DUMMYFUNCTION("""COMPUTED_VALUE"""),"-")</f>
        <v>-</v>
      </c>
      <c r="O241" t="str">
        <f>IFERROR(__xludf.DUMMYFUNCTION("""COMPUTED_VALUE"""),"#240")</f>
        <v>#240</v>
      </c>
      <c r="P241" t="str">
        <f>IFERROR(__xludf.DUMMYFUNCTION("""COMPUTED_VALUE"""),"Sylvie Goulard")</f>
        <v>Sylvie Goulard</v>
      </c>
      <c r="Q241">
        <f>IFERROR(__xludf.DUMMYFUNCTION("""COMPUTED_VALUE"""),21297.0)</f>
        <v>21297</v>
      </c>
      <c r="R241" t="str">
        <f>IFERROR(__xludf.DUMMYFUNCTION("""COMPUTED_VALUE"""),"-")</f>
        <v>-</v>
      </c>
      <c r="S241" t="str">
        <f>IFERROR(__xludf.DUMMYFUNCTION("""COMPUTED_VALUE"""),"-")</f>
        <v>-</v>
      </c>
      <c r="T241" t="str">
        <f>IFERROR(__xludf.DUMMYFUNCTION("""COMPUTED_VALUE"""),"-")</f>
        <v>-</v>
      </c>
      <c r="U241" t="str">
        <f>IFERROR(__xludf.DUMMYFUNCTION("""COMPUTED_VALUE"""),"-")</f>
        <v>-</v>
      </c>
      <c r="V241" t="str">
        <f>IFERROR(__xludf.DUMMYFUNCTION("""COMPUTED_VALUE"""),"-")</f>
        <v>-</v>
      </c>
      <c r="W241" t="str">
        <f>IFERROR(__xludf.DUMMYFUNCTION("""COMPUTED_VALUE"""),"-")</f>
        <v>-</v>
      </c>
      <c r="X241" t="str">
        <f>IFERROR(__xludf.DUMMYFUNCTION("""COMPUTED_VALUE"""),"-")</f>
        <v>-</v>
      </c>
      <c r="Y241" t="str">
        <f>IFERROR(__xludf.DUMMYFUNCTION("""COMPUTED_VALUE"""),"-")</f>
        <v>-</v>
      </c>
      <c r="Z241" t="str">
        <f>IFERROR(__xludf.DUMMYFUNCTION("""COMPUTED_VALUE"""),"-")</f>
        <v>-</v>
      </c>
      <c r="AA241" t="str">
        <f>IFERROR(__xludf.DUMMYFUNCTION("""COMPUTED_VALUE"""),"-")</f>
        <v>-</v>
      </c>
    </row>
    <row r="242">
      <c r="A242" t="str">
        <f>IFERROR(__xludf.DUMMYFUNCTION("""COMPUTED_VALUE"""),"#241")</f>
        <v>#241</v>
      </c>
      <c r="B242" t="str">
        <f>IFERROR(__xludf.DUMMYFUNCTION("""COMPUTED_VALUE"""),"Sebastien Jumel")</f>
        <v>Sebastien Jumel</v>
      </c>
      <c r="C242">
        <f>IFERROR(__xludf.DUMMYFUNCTION("""COMPUTED_VALUE"""),21199.0)</f>
        <v>21199</v>
      </c>
      <c r="D242" t="str">
        <f>IFERROR(__xludf.DUMMYFUNCTION("""COMPUTED_VALUE"""),"-")</f>
        <v>-</v>
      </c>
      <c r="E242" t="str">
        <f>IFERROR(__xludf.DUMMYFUNCTION("""COMPUTED_VALUE"""),"-")</f>
        <v>-</v>
      </c>
      <c r="F242" t="str">
        <f>IFERROR(__xludf.DUMMYFUNCTION("""COMPUTED_VALUE"""),"-")</f>
        <v>-</v>
      </c>
      <c r="G242" t="str">
        <f>IFERROR(__xludf.DUMMYFUNCTION("""COMPUTED_VALUE"""),"-")</f>
        <v>-</v>
      </c>
      <c r="H242" t="str">
        <f>IFERROR(__xludf.DUMMYFUNCTION("""COMPUTED_VALUE"""),"-")</f>
        <v>-</v>
      </c>
      <c r="I242" t="str">
        <f>IFERROR(__xludf.DUMMYFUNCTION("""COMPUTED_VALUE"""),"-")</f>
        <v>-</v>
      </c>
      <c r="J242" t="str">
        <f>IFERROR(__xludf.DUMMYFUNCTION("""COMPUTED_VALUE"""),"-")</f>
        <v>-</v>
      </c>
      <c r="K242" t="str">
        <f>IFERROR(__xludf.DUMMYFUNCTION("""COMPUTED_VALUE"""),"-")</f>
        <v>-</v>
      </c>
      <c r="L242" t="str">
        <f>IFERROR(__xludf.DUMMYFUNCTION("""COMPUTED_VALUE"""),"-")</f>
        <v>-</v>
      </c>
      <c r="M242" t="str">
        <f>IFERROR(__xludf.DUMMYFUNCTION("""COMPUTED_VALUE"""),"-")</f>
        <v>-</v>
      </c>
      <c r="O242" t="str">
        <f>IFERROR(__xludf.DUMMYFUNCTION("""COMPUTED_VALUE"""),"#241")</f>
        <v>#241</v>
      </c>
      <c r="P242" t="str">
        <f>IFERROR(__xludf.DUMMYFUNCTION("""COMPUTED_VALUE"""),"Sebastien Jumel")</f>
        <v>Sebastien Jumel</v>
      </c>
      <c r="Q242">
        <f>IFERROR(__xludf.DUMMYFUNCTION("""COMPUTED_VALUE"""),21199.0)</f>
        <v>21199</v>
      </c>
      <c r="R242" t="str">
        <f>IFERROR(__xludf.DUMMYFUNCTION("""COMPUTED_VALUE"""),"-")</f>
        <v>-</v>
      </c>
      <c r="S242" t="str">
        <f>IFERROR(__xludf.DUMMYFUNCTION("""COMPUTED_VALUE"""),"-")</f>
        <v>-</v>
      </c>
      <c r="T242" t="str">
        <f>IFERROR(__xludf.DUMMYFUNCTION("""COMPUTED_VALUE"""),"-")</f>
        <v>-</v>
      </c>
      <c r="U242" t="str">
        <f>IFERROR(__xludf.DUMMYFUNCTION("""COMPUTED_VALUE"""),"-")</f>
        <v>-</v>
      </c>
      <c r="V242" t="str">
        <f>IFERROR(__xludf.DUMMYFUNCTION("""COMPUTED_VALUE"""),"-")</f>
        <v>-</v>
      </c>
      <c r="W242" t="str">
        <f>IFERROR(__xludf.DUMMYFUNCTION("""COMPUTED_VALUE"""),"-")</f>
        <v>-</v>
      </c>
      <c r="X242" t="str">
        <f>IFERROR(__xludf.DUMMYFUNCTION("""COMPUTED_VALUE"""),"-")</f>
        <v>-</v>
      </c>
      <c r="Y242" t="str">
        <f>IFERROR(__xludf.DUMMYFUNCTION("""COMPUTED_VALUE"""),"-")</f>
        <v>-</v>
      </c>
      <c r="Z242" t="str">
        <f>IFERROR(__xludf.DUMMYFUNCTION("""COMPUTED_VALUE"""),"-")</f>
        <v>-</v>
      </c>
      <c r="AA242" t="str">
        <f>IFERROR(__xludf.DUMMYFUNCTION("""COMPUTED_VALUE"""),"-")</f>
        <v>-</v>
      </c>
    </row>
    <row r="243">
      <c r="A243" t="str">
        <f>IFERROR(__xludf.DUMMYFUNCTION("""COMPUTED_VALUE"""),"#242")</f>
        <v>#242</v>
      </c>
      <c r="B243" t="str">
        <f>IFERROR(__xludf.DUMMYFUNCTION("""COMPUTED_VALUE"""),"Philippe Saurel")</f>
        <v>Philippe Saurel</v>
      </c>
      <c r="C243">
        <f>IFERROR(__xludf.DUMMYFUNCTION("""COMPUTED_VALUE"""),20906.0)</f>
        <v>20906</v>
      </c>
      <c r="D243" t="str">
        <f>IFERROR(__xludf.DUMMYFUNCTION("""COMPUTED_VALUE"""),"-")</f>
        <v>-</v>
      </c>
      <c r="E243" t="str">
        <f>IFERROR(__xludf.DUMMYFUNCTION("""COMPUTED_VALUE"""),"-")</f>
        <v>-</v>
      </c>
      <c r="F243" t="str">
        <f>IFERROR(__xludf.DUMMYFUNCTION("""COMPUTED_VALUE"""),"-")</f>
        <v>-</v>
      </c>
      <c r="G243" t="str">
        <f>IFERROR(__xludf.DUMMYFUNCTION("""COMPUTED_VALUE"""),"-")</f>
        <v>-</v>
      </c>
      <c r="H243" t="str">
        <f>IFERROR(__xludf.DUMMYFUNCTION("""COMPUTED_VALUE"""),"-")</f>
        <v>-</v>
      </c>
      <c r="I243" t="str">
        <f>IFERROR(__xludf.DUMMYFUNCTION("""COMPUTED_VALUE"""),"-")</f>
        <v>-</v>
      </c>
      <c r="J243" t="str">
        <f>IFERROR(__xludf.DUMMYFUNCTION("""COMPUTED_VALUE"""),"-")</f>
        <v>-</v>
      </c>
      <c r="K243" t="str">
        <f>IFERROR(__xludf.DUMMYFUNCTION("""COMPUTED_VALUE"""),"-")</f>
        <v>-</v>
      </c>
      <c r="L243" t="str">
        <f>IFERROR(__xludf.DUMMYFUNCTION("""COMPUTED_VALUE"""),"-")</f>
        <v>-</v>
      </c>
      <c r="M243" t="str">
        <f>IFERROR(__xludf.DUMMYFUNCTION("""COMPUTED_VALUE"""),"-")</f>
        <v>-</v>
      </c>
      <c r="O243" t="str">
        <f>IFERROR(__xludf.DUMMYFUNCTION("""COMPUTED_VALUE"""),"#242")</f>
        <v>#242</v>
      </c>
      <c r="P243" t="str">
        <f>IFERROR(__xludf.DUMMYFUNCTION("""COMPUTED_VALUE"""),"Philippe Saurel")</f>
        <v>Philippe Saurel</v>
      </c>
      <c r="Q243">
        <f>IFERROR(__xludf.DUMMYFUNCTION("""COMPUTED_VALUE"""),20906.0)</f>
        <v>20906</v>
      </c>
      <c r="R243" t="str">
        <f>IFERROR(__xludf.DUMMYFUNCTION("""COMPUTED_VALUE"""),"-")</f>
        <v>-</v>
      </c>
      <c r="S243" t="str">
        <f>IFERROR(__xludf.DUMMYFUNCTION("""COMPUTED_VALUE"""),"-")</f>
        <v>-</v>
      </c>
      <c r="T243" t="str">
        <f>IFERROR(__xludf.DUMMYFUNCTION("""COMPUTED_VALUE"""),"-")</f>
        <v>-</v>
      </c>
      <c r="U243" t="str">
        <f>IFERROR(__xludf.DUMMYFUNCTION("""COMPUTED_VALUE"""),"-")</f>
        <v>-</v>
      </c>
      <c r="V243" t="str">
        <f>IFERROR(__xludf.DUMMYFUNCTION("""COMPUTED_VALUE"""),"-")</f>
        <v>-</v>
      </c>
      <c r="W243" t="str">
        <f>IFERROR(__xludf.DUMMYFUNCTION("""COMPUTED_VALUE"""),"-")</f>
        <v>-</v>
      </c>
      <c r="X243" t="str">
        <f>IFERROR(__xludf.DUMMYFUNCTION("""COMPUTED_VALUE"""),"-")</f>
        <v>-</v>
      </c>
      <c r="Y243" t="str">
        <f>IFERROR(__xludf.DUMMYFUNCTION("""COMPUTED_VALUE"""),"-")</f>
        <v>-</v>
      </c>
      <c r="Z243" t="str">
        <f>IFERROR(__xludf.DUMMYFUNCTION("""COMPUTED_VALUE"""),"-")</f>
        <v>-</v>
      </c>
      <c r="AA243" t="str">
        <f>IFERROR(__xludf.DUMMYFUNCTION("""COMPUTED_VALUE"""),"-")</f>
        <v>-</v>
      </c>
    </row>
    <row r="244">
      <c r="A244" t="str">
        <f>IFERROR(__xludf.DUMMYFUNCTION("""COMPUTED_VALUE"""),"#243")</f>
        <v>#243</v>
      </c>
      <c r="B244" t="str">
        <f>IFERROR(__xludf.DUMMYFUNCTION("""COMPUTED_VALUE"""),"Isabelle Surply")</f>
        <v>Isabelle Surply</v>
      </c>
      <c r="C244">
        <f>IFERROR(__xludf.DUMMYFUNCTION("""COMPUTED_VALUE"""),20892.0)</f>
        <v>20892</v>
      </c>
      <c r="D244" t="str">
        <f>IFERROR(__xludf.DUMMYFUNCTION("""COMPUTED_VALUE"""),"-")</f>
        <v>-</v>
      </c>
      <c r="E244" t="str">
        <f>IFERROR(__xludf.DUMMYFUNCTION("""COMPUTED_VALUE"""),"-")</f>
        <v>-</v>
      </c>
      <c r="F244" t="str">
        <f>IFERROR(__xludf.DUMMYFUNCTION("""COMPUTED_VALUE"""),"-")</f>
        <v>-</v>
      </c>
      <c r="G244" t="str">
        <f>IFERROR(__xludf.DUMMYFUNCTION("""COMPUTED_VALUE"""),"-")</f>
        <v>-</v>
      </c>
      <c r="H244" t="str">
        <f>IFERROR(__xludf.DUMMYFUNCTION("""COMPUTED_VALUE"""),"-")</f>
        <v>-</v>
      </c>
      <c r="I244" t="str">
        <f>IFERROR(__xludf.DUMMYFUNCTION("""COMPUTED_VALUE"""),"-")</f>
        <v>-</v>
      </c>
      <c r="J244" t="str">
        <f>IFERROR(__xludf.DUMMYFUNCTION("""COMPUTED_VALUE"""),"-")</f>
        <v>-</v>
      </c>
      <c r="K244" t="str">
        <f>IFERROR(__xludf.DUMMYFUNCTION("""COMPUTED_VALUE"""),"-")</f>
        <v>-</v>
      </c>
      <c r="L244" t="str">
        <f>IFERROR(__xludf.DUMMYFUNCTION("""COMPUTED_VALUE"""),"-")</f>
        <v>-</v>
      </c>
      <c r="M244" t="str">
        <f>IFERROR(__xludf.DUMMYFUNCTION("""COMPUTED_VALUE"""),"-")</f>
        <v>-</v>
      </c>
      <c r="O244" t="str">
        <f>IFERROR(__xludf.DUMMYFUNCTION("""COMPUTED_VALUE"""),"#243")</f>
        <v>#243</v>
      </c>
      <c r="P244" t="str">
        <f>IFERROR(__xludf.DUMMYFUNCTION("""COMPUTED_VALUE"""),"Isabelle Surply")</f>
        <v>Isabelle Surply</v>
      </c>
      <c r="Q244">
        <f>IFERROR(__xludf.DUMMYFUNCTION("""COMPUTED_VALUE"""),20892.0)</f>
        <v>20892</v>
      </c>
      <c r="R244" t="str">
        <f>IFERROR(__xludf.DUMMYFUNCTION("""COMPUTED_VALUE"""),"-")</f>
        <v>-</v>
      </c>
      <c r="S244" t="str">
        <f>IFERROR(__xludf.DUMMYFUNCTION("""COMPUTED_VALUE"""),"-")</f>
        <v>-</v>
      </c>
      <c r="T244" t="str">
        <f>IFERROR(__xludf.DUMMYFUNCTION("""COMPUTED_VALUE"""),"-")</f>
        <v>-</v>
      </c>
      <c r="U244" t="str">
        <f>IFERROR(__xludf.DUMMYFUNCTION("""COMPUTED_VALUE"""),"-")</f>
        <v>-</v>
      </c>
      <c r="V244" t="str">
        <f>IFERROR(__xludf.DUMMYFUNCTION("""COMPUTED_VALUE"""),"-")</f>
        <v>-</v>
      </c>
      <c r="W244" t="str">
        <f>IFERROR(__xludf.DUMMYFUNCTION("""COMPUTED_VALUE"""),"-")</f>
        <v>-</v>
      </c>
      <c r="X244" t="str">
        <f>IFERROR(__xludf.DUMMYFUNCTION("""COMPUTED_VALUE"""),"-")</f>
        <v>-</v>
      </c>
      <c r="Y244" t="str">
        <f>IFERROR(__xludf.DUMMYFUNCTION("""COMPUTED_VALUE"""),"-")</f>
        <v>-</v>
      </c>
      <c r="Z244" t="str">
        <f>IFERROR(__xludf.DUMMYFUNCTION("""COMPUTED_VALUE"""),"-")</f>
        <v>-</v>
      </c>
      <c r="AA244" t="str">
        <f>IFERROR(__xludf.DUMMYFUNCTION("""COMPUTED_VALUE"""),"-")</f>
        <v>-</v>
      </c>
    </row>
    <row r="245">
      <c r="A245" t="str">
        <f>IFERROR(__xludf.DUMMYFUNCTION("""COMPUTED_VALUE"""),"#244")</f>
        <v>#244</v>
      </c>
      <c r="B245" t="str">
        <f>IFERROR(__xludf.DUMMYFUNCTION("""COMPUTED_VALUE"""),"Claude Goasguen")</f>
        <v>Claude Goasguen</v>
      </c>
      <c r="C245">
        <f>IFERROR(__xludf.DUMMYFUNCTION("""COMPUTED_VALUE"""),20527.0)</f>
        <v>20527</v>
      </c>
      <c r="D245" t="str">
        <f>IFERROR(__xludf.DUMMYFUNCTION("""COMPUTED_VALUE"""),"-")</f>
        <v>-</v>
      </c>
      <c r="E245" t="str">
        <f>IFERROR(__xludf.DUMMYFUNCTION("""COMPUTED_VALUE"""),"-")</f>
        <v>-</v>
      </c>
      <c r="F245" t="str">
        <f>IFERROR(__xludf.DUMMYFUNCTION("""COMPUTED_VALUE"""),"-")</f>
        <v>-</v>
      </c>
      <c r="G245" t="str">
        <f>IFERROR(__xludf.DUMMYFUNCTION("""COMPUTED_VALUE"""),"-")</f>
        <v>-</v>
      </c>
      <c r="H245" t="str">
        <f>IFERROR(__xludf.DUMMYFUNCTION("""COMPUTED_VALUE"""),"-")</f>
        <v>-</v>
      </c>
      <c r="I245" t="str">
        <f>IFERROR(__xludf.DUMMYFUNCTION("""COMPUTED_VALUE"""),"-")</f>
        <v>-</v>
      </c>
      <c r="J245" t="str">
        <f>IFERROR(__xludf.DUMMYFUNCTION("""COMPUTED_VALUE"""),"-")</f>
        <v>-</v>
      </c>
      <c r="K245" t="str">
        <f>IFERROR(__xludf.DUMMYFUNCTION("""COMPUTED_VALUE"""),"-")</f>
        <v>-</v>
      </c>
      <c r="L245" t="str">
        <f>IFERROR(__xludf.DUMMYFUNCTION("""COMPUTED_VALUE"""),"-")</f>
        <v>-</v>
      </c>
      <c r="M245" t="str">
        <f>IFERROR(__xludf.DUMMYFUNCTION("""COMPUTED_VALUE"""),"-")</f>
        <v>-</v>
      </c>
      <c r="O245" t="str">
        <f>IFERROR(__xludf.DUMMYFUNCTION("""COMPUTED_VALUE"""),"#244")</f>
        <v>#244</v>
      </c>
      <c r="P245" t="str">
        <f>IFERROR(__xludf.DUMMYFUNCTION("""COMPUTED_VALUE"""),"Claude Goasguen")</f>
        <v>Claude Goasguen</v>
      </c>
      <c r="Q245">
        <f>IFERROR(__xludf.DUMMYFUNCTION("""COMPUTED_VALUE"""),20527.0)</f>
        <v>20527</v>
      </c>
      <c r="R245" t="str">
        <f>IFERROR(__xludf.DUMMYFUNCTION("""COMPUTED_VALUE"""),"-")</f>
        <v>-</v>
      </c>
      <c r="S245" t="str">
        <f>IFERROR(__xludf.DUMMYFUNCTION("""COMPUTED_VALUE"""),"-")</f>
        <v>-</v>
      </c>
      <c r="T245" t="str">
        <f>IFERROR(__xludf.DUMMYFUNCTION("""COMPUTED_VALUE"""),"-")</f>
        <v>-</v>
      </c>
      <c r="U245" t="str">
        <f>IFERROR(__xludf.DUMMYFUNCTION("""COMPUTED_VALUE"""),"-")</f>
        <v>-</v>
      </c>
      <c r="V245" t="str">
        <f>IFERROR(__xludf.DUMMYFUNCTION("""COMPUTED_VALUE"""),"-")</f>
        <v>-</v>
      </c>
      <c r="W245" t="str">
        <f>IFERROR(__xludf.DUMMYFUNCTION("""COMPUTED_VALUE"""),"-")</f>
        <v>-</v>
      </c>
      <c r="X245" t="str">
        <f>IFERROR(__xludf.DUMMYFUNCTION("""COMPUTED_VALUE"""),"-")</f>
        <v>-</v>
      </c>
      <c r="Y245" t="str">
        <f>IFERROR(__xludf.DUMMYFUNCTION("""COMPUTED_VALUE"""),"-")</f>
        <v>-</v>
      </c>
      <c r="Z245" t="str">
        <f>IFERROR(__xludf.DUMMYFUNCTION("""COMPUTED_VALUE"""),"-")</f>
        <v>-</v>
      </c>
      <c r="AA245" t="str">
        <f>IFERROR(__xludf.DUMMYFUNCTION("""COMPUTED_VALUE"""),"-")</f>
        <v>-</v>
      </c>
    </row>
    <row r="246">
      <c r="A246" t="str">
        <f>IFERROR(__xludf.DUMMYFUNCTION("""COMPUTED_VALUE"""),"#245")</f>
        <v>#245</v>
      </c>
      <c r="B246" t="str">
        <f>IFERROR(__xludf.DUMMYFUNCTION("""COMPUTED_VALUE"""),"Wallerand de Saint Just")</f>
        <v>Wallerand de Saint Just</v>
      </c>
      <c r="C246">
        <f>IFERROR(__xludf.DUMMYFUNCTION("""COMPUTED_VALUE"""),20490.0)</f>
        <v>20490</v>
      </c>
      <c r="D246" t="str">
        <f>IFERROR(__xludf.DUMMYFUNCTION("""COMPUTED_VALUE"""),"-")</f>
        <v>-</v>
      </c>
      <c r="E246" t="str">
        <f>IFERROR(__xludf.DUMMYFUNCTION("""COMPUTED_VALUE"""),"-")</f>
        <v>-</v>
      </c>
      <c r="F246" t="str">
        <f>IFERROR(__xludf.DUMMYFUNCTION("""COMPUTED_VALUE"""),"-")</f>
        <v>-</v>
      </c>
      <c r="G246" t="str">
        <f>IFERROR(__xludf.DUMMYFUNCTION("""COMPUTED_VALUE"""),"-")</f>
        <v>-</v>
      </c>
      <c r="H246" t="str">
        <f>IFERROR(__xludf.DUMMYFUNCTION("""COMPUTED_VALUE"""),"-")</f>
        <v>-</v>
      </c>
      <c r="I246" t="str">
        <f>IFERROR(__xludf.DUMMYFUNCTION("""COMPUTED_VALUE"""),"-")</f>
        <v>-</v>
      </c>
      <c r="J246" t="str">
        <f>IFERROR(__xludf.DUMMYFUNCTION("""COMPUTED_VALUE"""),"-")</f>
        <v>-</v>
      </c>
      <c r="K246" t="str">
        <f>IFERROR(__xludf.DUMMYFUNCTION("""COMPUTED_VALUE"""),"-")</f>
        <v>-</v>
      </c>
      <c r="L246" t="str">
        <f>IFERROR(__xludf.DUMMYFUNCTION("""COMPUTED_VALUE"""),"-")</f>
        <v>-</v>
      </c>
      <c r="M246" t="str">
        <f>IFERROR(__xludf.DUMMYFUNCTION("""COMPUTED_VALUE"""),"-")</f>
        <v>-</v>
      </c>
      <c r="O246" t="str">
        <f>IFERROR(__xludf.DUMMYFUNCTION("""COMPUTED_VALUE"""),"#245")</f>
        <v>#245</v>
      </c>
      <c r="P246" t="str">
        <f>IFERROR(__xludf.DUMMYFUNCTION("""COMPUTED_VALUE"""),"Wallerand de Saint Just")</f>
        <v>Wallerand de Saint Just</v>
      </c>
      <c r="Q246">
        <f>IFERROR(__xludf.DUMMYFUNCTION("""COMPUTED_VALUE"""),20490.0)</f>
        <v>20490</v>
      </c>
      <c r="R246" t="str">
        <f>IFERROR(__xludf.DUMMYFUNCTION("""COMPUTED_VALUE"""),"-")</f>
        <v>-</v>
      </c>
      <c r="S246" t="str">
        <f>IFERROR(__xludf.DUMMYFUNCTION("""COMPUTED_VALUE"""),"-")</f>
        <v>-</v>
      </c>
      <c r="T246" t="str">
        <f>IFERROR(__xludf.DUMMYFUNCTION("""COMPUTED_VALUE"""),"-")</f>
        <v>-</v>
      </c>
      <c r="U246" t="str">
        <f>IFERROR(__xludf.DUMMYFUNCTION("""COMPUTED_VALUE"""),"-")</f>
        <v>-</v>
      </c>
      <c r="V246" t="str">
        <f>IFERROR(__xludf.DUMMYFUNCTION("""COMPUTED_VALUE"""),"-")</f>
        <v>-</v>
      </c>
      <c r="W246" t="str">
        <f>IFERROR(__xludf.DUMMYFUNCTION("""COMPUTED_VALUE"""),"-")</f>
        <v>-</v>
      </c>
      <c r="X246" t="str">
        <f>IFERROR(__xludf.DUMMYFUNCTION("""COMPUTED_VALUE"""),"-")</f>
        <v>-</v>
      </c>
      <c r="Y246" t="str">
        <f>IFERROR(__xludf.DUMMYFUNCTION("""COMPUTED_VALUE"""),"-")</f>
        <v>-</v>
      </c>
      <c r="Z246" t="str">
        <f>IFERROR(__xludf.DUMMYFUNCTION("""COMPUTED_VALUE"""),"-")</f>
        <v>-</v>
      </c>
      <c r="AA246" t="str">
        <f>IFERROR(__xludf.DUMMYFUNCTION("""COMPUTED_VALUE"""),"-")</f>
        <v>-</v>
      </c>
    </row>
    <row r="247">
      <c r="A247" t="str">
        <f>IFERROR(__xludf.DUMMYFUNCTION("""COMPUTED_VALUE"""),"#246")</f>
        <v>#246</v>
      </c>
      <c r="B247" t="str">
        <f>IFERROR(__xludf.DUMMYFUNCTION("""COMPUTED_VALUE"""),"Matthias Fekl")</f>
        <v>Matthias Fekl</v>
      </c>
      <c r="C247">
        <f>IFERROR(__xludf.DUMMYFUNCTION("""COMPUTED_VALUE"""),20470.0)</f>
        <v>20470</v>
      </c>
      <c r="D247" t="str">
        <f>IFERROR(__xludf.DUMMYFUNCTION("""COMPUTED_VALUE"""),"-")</f>
        <v>-</v>
      </c>
      <c r="E247" t="str">
        <f>IFERROR(__xludf.DUMMYFUNCTION("""COMPUTED_VALUE"""),"-")</f>
        <v>-</v>
      </c>
      <c r="F247" t="str">
        <f>IFERROR(__xludf.DUMMYFUNCTION("""COMPUTED_VALUE"""),"-")</f>
        <v>-</v>
      </c>
      <c r="G247" t="str">
        <f>IFERROR(__xludf.DUMMYFUNCTION("""COMPUTED_VALUE"""),"-")</f>
        <v>-</v>
      </c>
      <c r="H247" t="str">
        <f>IFERROR(__xludf.DUMMYFUNCTION("""COMPUTED_VALUE"""),"-")</f>
        <v>-</v>
      </c>
      <c r="I247" t="str">
        <f>IFERROR(__xludf.DUMMYFUNCTION("""COMPUTED_VALUE"""),"-")</f>
        <v>-</v>
      </c>
      <c r="J247" t="str">
        <f>IFERROR(__xludf.DUMMYFUNCTION("""COMPUTED_VALUE"""),"-")</f>
        <v>-</v>
      </c>
      <c r="K247" t="str">
        <f>IFERROR(__xludf.DUMMYFUNCTION("""COMPUTED_VALUE"""),"-")</f>
        <v>-</v>
      </c>
      <c r="L247" t="str">
        <f>IFERROR(__xludf.DUMMYFUNCTION("""COMPUTED_VALUE"""),"-")</f>
        <v>-</v>
      </c>
      <c r="M247" t="str">
        <f>IFERROR(__xludf.DUMMYFUNCTION("""COMPUTED_VALUE"""),"-")</f>
        <v>-</v>
      </c>
      <c r="O247" t="str">
        <f>IFERROR(__xludf.DUMMYFUNCTION("""COMPUTED_VALUE"""),"#246")</f>
        <v>#246</v>
      </c>
      <c r="P247" t="str">
        <f>IFERROR(__xludf.DUMMYFUNCTION("""COMPUTED_VALUE"""),"Matthias Fekl")</f>
        <v>Matthias Fekl</v>
      </c>
      <c r="Q247">
        <f>IFERROR(__xludf.DUMMYFUNCTION("""COMPUTED_VALUE"""),20470.0)</f>
        <v>20470</v>
      </c>
      <c r="R247" t="str">
        <f>IFERROR(__xludf.DUMMYFUNCTION("""COMPUTED_VALUE"""),"-")</f>
        <v>-</v>
      </c>
      <c r="S247" t="str">
        <f>IFERROR(__xludf.DUMMYFUNCTION("""COMPUTED_VALUE"""),"-")</f>
        <v>-</v>
      </c>
      <c r="T247" t="str">
        <f>IFERROR(__xludf.DUMMYFUNCTION("""COMPUTED_VALUE"""),"-")</f>
        <v>-</v>
      </c>
      <c r="U247" t="str">
        <f>IFERROR(__xludf.DUMMYFUNCTION("""COMPUTED_VALUE"""),"-")</f>
        <v>-</v>
      </c>
      <c r="V247" t="str">
        <f>IFERROR(__xludf.DUMMYFUNCTION("""COMPUTED_VALUE"""),"-")</f>
        <v>-</v>
      </c>
      <c r="W247" t="str">
        <f>IFERROR(__xludf.DUMMYFUNCTION("""COMPUTED_VALUE"""),"-")</f>
        <v>-</v>
      </c>
      <c r="X247" t="str">
        <f>IFERROR(__xludf.DUMMYFUNCTION("""COMPUTED_VALUE"""),"-")</f>
        <v>-</v>
      </c>
      <c r="Y247" t="str">
        <f>IFERROR(__xludf.DUMMYFUNCTION("""COMPUTED_VALUE"""),"-")</f>
        <v>-</v>
      </c>
      <c r="Z247" t="str">
        <f>IFERROR(__xludf.DUMMYFUNCTION("""COMPUTED_VALUE"""),"-")</f>
        <v>-</v>
      </c>
      <c r="AA247" t="str">
        <f>IFERROR(__xludf.DUMMYFUNCTION("""COMPUTED_VALUE"""),"-")</f>
        <v>-</v>
      </c>
    </row>
    <row r="248">
      <c r="A248" t="str">
        <f>IFERROR(__xludf.DUMMYFUNCTION("""COMPUTED_VALUE"""),"#247")</f>
        <v>#247</v>
      </c>
      <c r="B248" t="str">
        <f>IFERROR(__xludf.DUMMYFUNCTION("""COMPUTED_VALUE"""),"Jean-Christophe Fromantin")</f>
        <v>Jean-Christophe Fromantin</v>
      </c>
      <c r="C248">
        <f>IFERROR(__xludf.DUMMYFUNCTION("""COMPUTED_VALUE"""),20366.0)</f>
        <v>20366</v>
      </c>
      <c r="D248" t="str">
        <f>IFERROR(__xludf.DUMMYFUNCTION("""COMPUTED_VALUE"""),"-")</f>
        <v>-</v>
      </c>
      <c r="E248" t="str">
        <f>IFERROR(__xludf.DUMMYFUNCTION("""COMPUTED_VALUE"""),"-")</f>
        <v>-</v>
      </c>
      <c r="F248" t="str">
        <f>IFERROR(__xludf.DUMMYFUNCTION("""COMPUTED_VALUE"""),"-")</f>
        <v>-</v>
      </c>
      <c r="G248" t="str">
        <f>IFERROR(__xludf.DUMMYFUNCTION("""COMPUTED_VALUE"""),"-")</f>
        <v>-</v>
      </c>
      <c r="H248" t="str">
        <f>IFERROR(__xludf.DUMMYFUNCTION("""COMPUTED_VALUE"""),"-")</f>
        <v>-</v>
      </c>
      <c r="I248" t="str">
        <f>IFERROR(__xludf.DUMMYFUNCTION("""COMPUTED_VALUE"""),"-")</f>
        <v>-</v>
      </c>
      <c r="J248" t="str">
        <f>IFERROR(__xludf.DUMMYFUNCTION("""COMPUTED_VALUE"""),"-")</f>
        <v>-</v>
      </c>
      <c r="K248" t="str">
        <f>IFERROR(__xludf.DUMMYFUNCTION("""COMPUTED_VALUE"""),"-")</f>
        <v>-</v>
      </c>
      <c r="L248" t="str">
        <f>IFERROR(__xludf.DUMMYFUNCTION("""COMPUTED_VALUE"""),"-")</f>
        <v>-</v>
      </c>
      <c r="M248" t="str">
        <f>IFERROR(__xludf.DUMMYFUNCTION("""COMPUTED_VALUE"""),"-")</f>
        <v>-</v>
      </c>
      <c r="O248" t="str">
        <f>IFERROR(__xludf.DUMMYFUNCTION("""COMPUTED_VALUE"""),"#247")</f>
        <v>#247</v>
      </c>
      <c r="P248" t="str">
        <f>IFERROR(__xludf.DUMMYFUNCTION("""COMPUTED_VALUE"""),"Jean-Christophe Fromantin")</f>
        <v>Jean-Christophe Fromantin</v>
      </c>
      <c r="Q248">
        <f>IFERROR(__xludf.DUMMYFUNCTION("""COMPUTED_VALUE"""),20366.0)</f>
        <v>20366</v>
      </c>
      <c r="R248" t="str">
        <f>IFERROR(__xludf.DUMMYFUNCTION("""COMPUTED_VALUE"""),"-")</f>
        <v>-</v>
      </c>
      <c r="S248" t="str">
        <f>IFERROR(__xludf.DUMMYFUNCTION("""COMPUTED_VALUE"""),"-")</f>
        <v>-</v>
      </c>
      <c r="T248" t="str">
        <f>IFERROR(__xludf.DUMMYFUNCTION("""COMPUTED_VALUE"""),"-")</f>
        <v>-</v>
      </c>
      <c r="U248" t="str">
        <f>IFERROR(__xludf.DUMMYFUNCTION("""COMPUTED_VALUE"""),"-")</f>
        <v>-</v>
      </c>
      <c r="V248" t="str">
        <f>IFERROR(__xludf.DUMMYFUNCTION("""COMPUTED_VALUE"""),"-")</f>
        <v>-</v>
      </c>
      <c r="W248" t="str">
        <f>IFERROR(__xludf.DUMMYFUNCTION("""COMPUTED_VALUE"""),"-")</f>
        <v>-</v>
      </c>
      <c r="X248" t="str">
        <f>IFERROR(__xludf.DUMMYFUNCTION("""COMPUTED_VALUE"""),"-")</f>
        <v>-</v>
      </c>
      <c r="Y248" t="str">
        <f>IFERROR(__xludf.DUMMYFUNCTION("""COMPUTED_VALUE"""),"-")</f>
        <v>-</v>
      </c>
      <c r="Z248" t="str">
        <f>IFERROR(__xludf.DUMMYFUNCTION("""COMPUTED_VALUE"""),"-")</f>
        <v>-</v>
      </c>
      <c r="AA248" t="str">
        <f>IFERROR(__xludf.DUMMYFUNCTION("""COMPUTED_VALUE"""),"-")</f>
        <v>-</v>
      </c>
    </row>
    <row r="249">
      <c r="A249" t="str">
        <f>IFERROR(__xludf.DUMMYFUNCTION("""COMPUTED_VALUE"""),"#248")</f>
        <v>#248</v>
      </c>
      <c r="B249" t="str">
        <f>IFERROR(__xludf.DUMMYFUNCTION("""COMPUTED_VALUE"""),"Gilles Lebreton")</f>
        <v>Gilles Lebreton</v>
      </c>
      <c r="C249">
        <f>IFERROR(__xludf.DUMMYFUNCTION("""COMPUTED_VALUE"""),19983.0)</f>
        <v>19983</v>
      </c>
      <c r="D249" t="str">
        <f>IFERROR(__xludf.DUMMYFUNCTION("""COMPUTED_VALUE"""),"-")</f>
        <v>-</v>
      </c>
      <c r="E249" t="str">
        <f>IFERROR(__xludf.DUMMYFUNCTION("""COMPUTED_VALUE"""),"-")</f>
        <v>-</v>
      </c>
      <c r="F249" t="str">
        <f>IFERROR(__xludf.DUMMYFUNCTION("""COMPUTED_VALUE"""),"-")</f>
        <v>-</v>
      </c>
      <c r="G249" t="str">
        <f>IFERROR(__xludf.DUMMYFUNCTION("""COMPUTED_VALUE"""),"-")</f>
        <v>-</v>
      </c>
      <c r="H249" t="str">
        <f>IFERROR(__xludf.DUMMYFUNCTION("""COMPUTED_VALUE"""),"-")</f>
        <v>-</v>
      </c>
      <c r="I249" t="str">
        <f>IFERROR(__xludf.DUMMYFUNCTION("""COMPUTED_VALUE"""),"-")</f>
        <v>-</v>
      </c>
      <c r="J249" t="str">
        <f>IFERROR(__xludf.DUMMYFUNCTION("""COMPUTED_VALUE"""),"-")</f>
        <v>-</v>
      </c>
      <c r="K249" t="str">
        <f>IFERROR(__xludf.DUMMYFUNCTION("""COMPUTED_VALUE"""),"-")</f>
        <v>-</v>
      </c>
      <c r="L249" t="str">
        <f>IFERROR(__xludf.DUMMYFUNCTION("""COMPUTED_VALUE"""),"-")</f>
        <v>-</v>
      </c>
      <c r="M249" t="str">
        <f>IFERROR(__xludf.DUMMYFUNCTION("""COMPUTED_VALUE"""),"-")</f>
        <v>-</v>
      </c>
      <c r="O249" t="str">
        <f>IFERROR(__xludf.DUMMYFUNCTION("""COMPUTED_VALUE"""),"#248")</f>
        <v>#248</v>
      </c>
      <c r="P249" t="str">
        <f>IFERROR(__xludf.DUMMYFUNCTION("""COMPUTED_VALUE"""),"Gilles Lebreton")</f>
        <v>Gilles Lebreton</v>
      </c>
      <c r="Q249">
        <f>IFERROR(__xludf.DUMMYFUNCTION("""COMPUTED_VALUE"""),19983.0)</f>
        <v>19983</v>
      </c>
      <c r="R249" t="str">
        <f>IFERROR(__xludf.DUMMYFUNCTION("""COMPUTED_VALUE"""),"-")</f>
        <v>-</v>
      </c>
      <c r="S249" t="str">
        <f>IFERROR(__xludf.DUMMYFUNCTION("""COMPUTED_VALUE"""),"-")</f>
        <v>-</v>
      </c>
      <c r="T249" t="str">
        <f>IFERROR(__xludf.DUMMYFUNCTION("""COMPUTED_VALUE"""),"-")</f>
        <v>-</v>
      </c>
      <c r="U249" t="str">
        <f>IFERROR(__xludf.DUMMYFUNCTION("""COMPUTED_VALUE"""),"-")</f>
        <v>-</v>
      </c>
      <c r="V249" t="str">
        <f>IFERROR(__xludf.DUMMYFUNCTION("""COMPUTED_VALUE"""),"-")</f>
        <v>-</v>
      </c>
      <c r="W249" t="str">
        <f>IFERROR(__xludf.DUMMYFUNCTION("""COMPUTED_VALUE"""),"-")</f>
        <v>-</v>
      </c>
      <c r="X249" t="str">
        <f>IFERROR(__xludf.DUMMYFUNCTION("""COMPUTED_VALUE"""),"-")</f>
        <v>-</v>
      </c>
      <c r="Y249" t="str">
        <f>IFERROR(__xludf.DUMMYFUNCTION("""COMPUTED_VALUE"""),"-")</f>
        <v>-</v>
      </c>
      <c r="Z249" t="str">
        <f>IFERROR(__xludf.DUMMYFUNCTION("""COMPUTED_VALUE"""),"-")</f>
        <v>-</v>
      </c>
      <c r="AA249" t="str">
        <f>IFERROR(__xludf.DUMMYFUNCTION("""COMPUTED_VALUE"""),"-")</f>
        <v>-</v>
      </c>
    </row>
    <row r="250">
      <c r="A250" t="str">
        <f>IFERROR(__xludf.DUMMYFUNCTION("""COMPUTED_VALUE"""),"#249")</f>
        <v>#249</v>
      </c>
      <c r="B250" t="str">
        <f>IFERROR(__xludf.DUMMYFUNCTION("""COMPUTED_VALUE"""),"Edwige Diaz")</f>
        <v>Edwige Diaz</v>
      </c>
      <c r="C250">
        <f>IFERROR(__xludf.DUMMYFUNCTION("""COMPUTED_VALUE"""),19761.0)</f>
        <v>19761</v>
      </c>
      <c r="D250" t="str">
        <f>IFERROR(__xludf.DUMMYFUNCTION("""COMPUTED_VALUE"""),"-")</f>
        <v>-</v>
      </c>
      <c r="E250" t="str">
        <f>IFERROR(__xludf.DUMMYFUNCTION("""COMPUTED_VALUE"""),"-")</f>
        <v>-</v>
      </c>
      <c r="F250" t="str">
        <f>IFERROR(__xludf.DUMMYFUNCTION("""COMPUTED_VALUE"""),"-")</f>
        <v>-</v>
      </c>
      <c r="G250" t="str">
        <f>IFERROR(__xludf.DUMMYFUNCTION("""COMPUTED_VALUE"""),"-")</f>
        <v>-</v>
      </c>
      <c r="H250" t="str">
        <f>IFERROR(__xludf.DUMMYFUNCTION("""COMPUTED_VALUE"""),"-")</f>
        <v>-</v>
      </c>
      <c r="I250" t="str">
        <f>IFERROR(__xludf.DUMMYFUNCTION("""COMPUTED_VALUE"""),"-")</f>
        <v>-</v>
      </c>
      <c r="J250" t="str">
        <f>IFERROR(__xludf.DUMMYFUNCTION("""COMPUTED_VALUE"""),"-")</f>
        <v>-</v>
      </c>
      <c r="K250" t="str">
        <f>IFERROR(__xludf.DUMMYFUNCTION("""COMPUTED_VALUE"""),"-")</f>
        <v>-</v>
      </c>
      <c r="L250" t="str">
        <f>IFERROR(__xludf.DUMMYFUNCTION("""COMPUTED_VALUE"""),"-")</f>
        <v>-</v>
      </c>
      <c r="M250" t="str">
        <f>IFERROR(__xludf.DUMMYFUNCTION("""COMPUTED_VALUE"""),"-")</f>
        <v>-</v>
      </c>
      <c r="O250" t="str">
        <f>IFERROR(__xludf.DUMMYFUNCTION("""COMPUTED_VALUE"""),"#249")</f>
        <v>#249</v>
      </c>
      <c r="P250" t="str">
        <f>IFERROR(__xludf.DUMMYFUNCTION("""COMPUTED_VALUE"""),"Edwige Diaz")</f>
        <v>Edwige Diaz</v>
      </c>
      <c r="Q250">
        <f>IFERROR(__xludf.DUMMYFUNCTION("""COMPUTED_VALUE"""),19761.0)</f>
        <v>19761</v>
      </c>
      <c r="R250" t="str">
        <f>IFERROR(__xludf.DUMMYFUNCTION("""COMPUTED_VALUE"""),"-")</f>
        <v>-</v>
      </c>
      <c r="S250" t="str">
        <f>IFERROR(__xludf.DUMMYFUNCTION("""COMPUTED_VALUE"""),"-")</f>
        <v>-</v>
      </c>
      <c r="T250" t="str">
        <f>IFERROR(__xludf.DUMMYFUNCTION("""COMPUTED_VALUE"""),"-")</f>
        <v>-</v>
      </c>
      <c r="U250" t="str">
        <f>IFERROR(__xludf.DUMMYFUNCTION("""COMPUTED_VALUE"""),"-")</f>
        <v>-</v>
      </c>
      <c r="V250" t="str">
        <f>IFERROR(__xludf.DUMMYFUNCTION("""COMPUTED_VALUE"""),"-")</f>
        <v>-</v>
      </c>
      <c r="W250" t="str">
        <f>IFERROR(__xludf.DUMMYFUNCTION("""COMPUTED_VALUE"""),"-")</f>
        <v>-</v>
      </c>
      <c r="X250" t="str">
        <f>IFERROR(__xludf.DUMMYFUNCTION("""COMPUTED_VALUE"""),"-")</f>
        <v>-</v>
      </c>
      <c r="Y250" t="str">
        <f>IFERROR(__xludf.DUMMYFUNCTION("""COMPUTED_VALUE"""),"-")</f>
        <v>-</v>
      </c>
      <c r="Z250" t="str">
        <f>IFERROR(__xludf.DUMMYFUNCTION("""COMPUTED_VALUE"""),"-")</f>
        <v>-</v>
      </c>
      <c r="AA250" t="str">
        <f>IFERROR(__xludf.DUMMYFUNCTION("""COMPUTED_VALUE"""),"-")</f>
        <v>-</v>
      </c>
    </row>
    <row r="251">
      <c r="A251" t="str">
        <f>IFERROR(__xludf.DUMMYFUNCTION("""COMPUTED_VALUE"""),"#250")</f>
        <v>#250</v>
      </c>
      <c r="B251" t="str">
        <f>IFERROR(__xludf.DUMMYFUNCTION("""COMPUTED_VALUE"""),"Olivier Bianchi")</f>
        <v>Olivier Bianchi</v>
      </c>
      <c r="C251">
        <f>IFERROR(__xludf.DUMMYFUNCTION("""COMPUTED_VALUE"""),19081.0)</f>
        <v>19081</v>
      </c>
      <c r="D251" t="str">
        <f>IFERROR(__xludf.DUMMYFUNCTION("""COMPUTED_VALUE"""),"-")</f>
        <v>-</v>
      </c>
      <c r="E251" t="str">
        <f>IFERROR(__xludf.DUMMYFUNCTION("""COMPUTED_VALUE"""),"-")</f>
        <v>-</v>
      </c>
      <c r="F251" t="str">
        <f>IFERROR(__xludf.DUMMYFUNCTION("""COMPUTED_VALUE"""),"-")</f>
        <v>-</v>
      </c>
      <c r="G251" t="str">
        <f>IFERROR(__xludf.DUMMYFUNCTION("""COMPUTED_VALUE"""),"-")</f>
        <v>-</v>
      </c>
      <c r="H251" t="str">
        <f>IFERROR(__xludf.DUMMYFUNCTION("""COMPUTED_VALUE"""),"-")</f>
        <v>-</v>
      </c>
      <c r="I251" t="str">
        <f>IFERROR(__xludf.DUMMYFUNCTION("""COMPUTED_VALUE"""),"-")</f>
        <v>-</v>
      </c>
      <c r="J251" t="str">
        <f>IFERROR(__xludf.DUMMYFUNCTION("""COMPUTED_VALUE"""),"-")</f>
        <v>-</v>
      </c>
      <c r="K251" t="str">
        <f>IFERROR(__xludf.DUMMYFUNCTION("""COMPUTED_VALUE"""),"-")</f>
        <v>-</v>
      </c>
      <c r="L251" t="str">
        <f>IFERROR(__xludf.DUMMYFUNCTION("""COMPUTED_VALUE"""),"-")</f>
        <v>-</v>
      </c>
      <c r="M251" t="str">
        <f>IFERROR(__xludf.DUMMYFUNCTION("""COMPUTED_VALUE"""),"-")</f>
        <v>-</v>
      </c>
      <c r="O251" t="str">
        <f>IFERROR(__xludf.DUMMYFUNCTION("""COMPUTED_VALUE"""),"#250")</f>
        <v>#250</v>
      </c>
      <c r="P251" t="str">
        <f>IFERROR(__xludf.DUMMYFUNCTION("""COMPUTED_VALUE"""),"Olivier Bianchi")</f>
        <v>Olivier Bianchi</v>
      </c>
      <c r="Q251">
        <f>IFERROR(__xludf.DUMMYFUNCTION("""COMPUTED_VALUE"""),19081.0)</f>
        <v>19081</v>
      </c>
      <c r="R251" t="str">
        <f>IFERROR(__xludf.DUMMYFUNCTION("""COMPUTED_VALUE"""),"-")</f>
        <v>-</v>
      </c>
      <c r="S251" t="str">
        <f>IFERROR(__xludf.DUMMYFUNCTION("""COMPUTED_VALUE"""),"-")</f>
        <v>-</v>
      </c>
      <c r="T251" t="str">
        <f>IFERROR(__xludf.DUMMYFUNCTION("""COMPUTED_VALUE"""),"-")</f>
        <v>-</v>
      </c>
      <c r="U251" t="str">
        <f>IFERROR(__xludf.DUMMYFUNCTION("""COMPUTED_VALUE"""),"-")</f>
        <v>-</v>
      </c>
      <c r="V251" t="str">
        <f>IFERROR(__xludf.DUMMYFUNCTION("""COMPUTED_VALUE"""),"-")</f>
        <v>-</v>
      </c>
      <c r="W251" t="str">
        <f>IFERROR(__xludf.DUMMYFUNCTION("""COMPUTED_VALUE"""),"-")</f>
        <v>-</v>
      </c>
      <c r="X251" t="str">
        <f>IFERROR(__xludf.DUMMYFUNCTION("""COMPUTED_VALUE"""),"-")</f>
        <v>-</v>
      </c>
      <c r="Y251" t="str">
        <f>IFERROR(__xludf.DUMMYFUNCTION("""COMPUTED_VALUE"""),"-")</f>
        <v>-</v>
      </c>
      <c r="Z251" t="str">
        <f>IFERROR(__xludf.DUMMYFUNCTION("""COMPUTED_VALUE"""),"-")</f>
        <v>-</v>
      </c>
      <c r="AA251" t="str">
        <f>IFERROR(__xludf.DUMMYFUNCTION("""COMPUTED_VALUE"""),"-")</f>
        <v>-</v>
      </c>
    </row>
    <row r="252">
      <c r="A252" t="str">
        <f>IFERROR(__xludf.DUMMYFUNCTION("""COMPUTED_VALUE"""),"#251")</f>
        <v>#251</v>
      </c>
      <c r="B252" t="str">
        <f>IFERROR(__xludf.DUMMYFUNCTION("""COMPUTED_VALUE"""),"Jean-Paul Garraud")</f>
        <v>Jean-Paul Garraud</v>
      </c>
      <c r="C252">
        <f>IFERROR(__xludf.DUMMYFUNCTION("""COMPUTED_VALUE"""),18982.0)</f>
        <v>18982</v>
      </c>
      <c r="D252" t="str">
        <f>IFERROR(__xludf.DUMMYFUNCTION("""COMPUTED_VALUE"""),"-")</f>
        <v>-</v>
      </c>
      <c r="E252" t="str">
        <f>IFERROR(__xludf.DUMMYFUNCTION("""COMPUTED_VALUE"""),"-")</f>
        <v>-</v>
      </c>
      <c r="F252" t="str">
        <f>IFERROR(__xludf.DUMMYFUNCTION("""COMPUTED_VALUE"""),"-")</f>
        <v>-</v>
      </c>
      <c r="G252" t="str">
        <f>IFERROR(__xludf.DUMMYFUNCTION("""COMPUTED_VALUE"""),"-")</f>
        <v>-</v>
      </c>
      <c r="H252" t="str">
        <f>IFERROR(__xludf.DUMMYFUNCTION("""COMPUTED_VALUE"""),"-")</f>
        <v>-</v>
      </c>
      <c r="I252" t="str">
        <f>IFERROR(__xludf.DUMMYFUNCTION("""COMPUTED_VALUE"""),"-")</f>
        <v>-</v>
      </c>
      <c r="J252" t="str">
        <f>IFERROR(__xludf.DUMMYFUNCTION("""COMPUTED_VALUE"""),"-")</f>
        <v>-</v>
      </c>
      <c r="K252" t="str">
        <f>IFERROR(__xludf.DUMMYFUNCTION("""COMPUTED_VALUE"""),"-")</f>
        <v>-</v>
      </c>
      <c r="L252" t="str">
        <f>IFERROR(__xludf.DUMMYFUNCTION("""COMPUTED_VALUE"""),"-")</f>
        <v>-</v>
      </c>
      <c r="M252" t="str">
        <f>IFERROR(__xludf.DUMMYFUNCTION("""COMPUTED_VALUE"""),"-")</f>
        <v>-</v>
      </c>
      <c r="O252" t="str">
        <f>IFERROR(__xludf.DUMMYFUNCTION("""COMPUTED_VALUE"""),"#251")</f>
        <v>#251</v>
      </c>
      <c r="P252" t="str">
        <f>IFERROR(__xludf.DUMMYFUNCTION("""COMPUTED_VALUE"""),"Jean-Paul Garraud")</f>
        <v>Jean-Paul Garraud</v>
      </c>
      <c r="Q252">
        <f>IFERROR(__xludf.DUMMYFUNCTION("""COMPUTED_VALUE"""),18982.0)</f>
        <v>18982</v>
      </c>
      <c r="R252" t="str">
        <f>IFERROR(__xludf.DUMMYFUNCTION("""COMPUTED_VALUE"""),"-")</f>
        <v>-</v>
      </c>
      <c r="S252" t="str">
        <f>IFERROR(__xludf.DUMMYFUNCTION("""COMPUTED_VALUE"""),"-")</f>
        <v>-</v>
      </c>
      <c r="T252" t="str">
        <f>IFERROR(__xludf.DUMMYFUNCTION("""COMPUTED_VALUE"""),"-")</f>
        <v>-</v>
      </c>
      <c r="U252" t="str">
        <f>IFERROR(__xludf.DUMMYFUNCTION("""COMPUTED_VALUE"""),"-")</f>
        <v>-</v>
      </c>
      <c r="V252" t="str">
        <f>IFERROR(__xludf.DUMMYFUNCTION("""COMPUTED_VALUE"""),"-")</f>
        <v>-</v>
      </c>
      <c r="W252" t="str">
        <f>IFERROR(__xludf.DUMMYFUNCTION("""COMPUTED_VALUE"""),"-")</f>
        <v>-</v>
      </c>
      <c r="X252" t="str">
        <f>IFERROR(__xludf.DUMMYFUNCTION("""COMPUTED_VALUE"""),"-")</f>
        <v>-</v>
      </c>
      <c r="Y252" t="str">
        <f>IFERROR(__xludf.DUMMYFUNCTION("""COMPUTED_VALUE"""),"-")</f>
        <v>-</v>
      </c>
      <c r="Z252" t="str">
        <f>IFERROR(__xludf.DUMMYFUNCTION("""COMPUTED_VALUE"""),"-")</f>
        <v>-</v>
      </c>
      <c r="AA252" t="str">
        <f>IFERROR(__xludf.DUMMYFUNCTION("""COMPUTED_VALUE"""),"-")</f>
        <v>-</v>
      </c>
    </row>
    <row r="253">
      <c r="A253" t="str">
        <f>IFERROR(__xludf.DUMMYFUNCTION("""COMPUTED_VALUE"""),"#252")</f>
        <v>#252</v>
      </c>
      <c r="B253" t="str">
        <f>IFERROR(__xludf.DUMMYFUNCTION("""COMPUTED_VALUE"""),"Jean-Marie Le Guen")</f>
        <v>Jean-Marie Le Guen</v>
      </c>
      <c r="C253">
        <f>IFERROR(__xludf.DUMMYFUNCTION("""COMPUTED_VALUE"""),18981.0)</f>
        <v>18981</v>
      </c>
      <c r="D253" t="str">
        <f>IFERROR(__xludf.DUMMYFUNCTION("""COMPUTED_VALUE"""),"-")</f>
        <v>-</v>
      </c>
      <c r="E253" t="str">
        <f>IFERROR(__xludf.DUMMYFUNCTION("""COMPUTED_VALUE"""),"-")</f>
        <v>-</v>
      </c>
      <c r="F253" t="str">
        <f>IFERROR(__xludf.DUMMYFUNCTION("""COMPUTED_VALUE"""),"-")</f>
        <v>-</v>
      </c>
      <c r="G253" t="str">
        <f>IFERROR(__xludf.DUMMYFUNCTION("""COMPUTED_VALUE"""),"-")</f>
        <v>-</v>
      </c>
      <c r="H253" t="str">
        <f>IFERROR(__xludf.DUMMYFUNCTION("""COMPUTED_VALUE"""),"-")</f>
        <v>-</v>
      </c>
      <c r="I253" t="str">
        <f>IFERROR(__xludf.DUMMYFUNCTION("""COMPUTED_VALUE"""),"-")</f>
        <v>-</v>
      </c>
      <c r="J253" t="str">
        <f>IFERROR(__xludf.DUMMYFUNCTION("""COMPUTED_VALUE"""),"-")</f>
        <v>-</v>
      </c>
      <c r="K253" t="str">
        <f>IFERROR(__xludf.DUMMYFUNCTION("""COMPUTED_VALUE"""),"-")</f>
        <v>-</v>
      </c>
      <c r="L253" t="str">
        <f>IFERROR(__xludf.DUMMYFUNCTION("""COMPUTED_VALUE"""),"-")</f>
        <v>-</v>
      </c>
      <c r="M253" t="str">
        <f>IFERROR(__xludf.DUMMYFUNCTION("""COMPUTED_VALUE"""),"-")</f>
        <v>-</v>
      </c>
      <c r="O253" t="str">
        <f>IFERROR(__xludf.DUMMYFUNCTION("""COMPUTED_VALUE"""),"#252")</f>
        <v>#252</v>
      </c>
      <c r="P253" t="str">
        <f>IFERROR(__xludf.DUMMYFUNCTION("""COMPUTED_VALUE"""),"Jean-Marie Le Guen")</f>
        <v>Jean-Marie Le Guen</v>
      </c>
      <c r="Q253">
        <f>IFERROR(__xludf.DUMMYFUNCTION("""COMPUTED_VALUE"""),18981.0)</f>
        <v>18981</v>
      </c>
      <c r="R253" t="str">
        <f>IFERROR(__xludf.DUMMYFUNCTION("""COMPUTED_VALUE"""),"-")</f>
        <v>-</v>
      </c>
      <c r="S253" t="str">
        <f>IFERROR(__xludf.DUMMYFUNCTION("""COMPUTED_VALUE"""),"-")</f>
        <v>-</v>
      </c>
      <c r="T253" t="str">
        <f>IFERROR(__xludf.DUMMYFUNCTION("""COMPUTED_VALUE"""),"-")</f>
        <v>-</v>
      </c>
      <c r="U253" t="str">
        <f>IFERROR(__xludf.DUMMYFUNCTION("""COMPUTED_VALUE"""),"-")</f>
        <v>-</v>
      </c>
      <c r="V253" t="str">
        <f>IFERROR(__xludf.DUMMYFUNCTION("""COMPUTED_VALUE"""),"-")</f>
        <v>-</v>
      </c>
      <c r="W253" t="str">
        <f>IFERROR(__xludf.DUMMYFUNCTION("""COMPUTED_VALUE"""),"-")</f>
        <v>-</v>
      </c>
      <c r="X253" t="str">
        <f>IFERROR(__xludf.DUMMYFUNCTION("""COMPUTED_VALUE"""),"-")</f>
        <v>-</v>
      </c>
      <c r="Y253" t="str">
        <f>IFERROR(__xludf.DUMMYFUNCTION("""COMPUTED_VALUE"""),"-")</f>
        <v>-</v>
      </c>
      <c r="Z253" t="str">
        <f>IFERROR(__xludf.DUMMYFUNCTION("""COMPUTED_VALUE"""),"-")</f>
        <v>-</v>
      </c>
      <c r="AA253" t="str">
        <f>IFERROR(__xludf.DUMMYFUNCTION("""COMPUTED_VALUE"""),"-")</f>
        <v>-</v>
      </c>
    </row>
    <row r="254">
      <c r="A254" t="str">
        <f>IFERROR(__xludf.DUMMYFUNCTION("""COMPUTED_VALUE"""),"#253")</f>
        <v>#253</v>
      </c>
      <c r="B254" t="str">
        <f>IFERROR(__xludf.DUMMYFUNCTION("""COMPUTED_VALUE"""),"Bénédicte Taurine")</f>
        <v>Bénédicte Taurine</v>
      </c>
      <c r="C254">
        <f>IFERROR(__xludf.DUMMYFUNCTION("""COMPUTED_VALUE"""),18894.0)</f>
        <v>18894</v>
      </c>
      <c r="D254" t="str">
        <f>IFERROR(__xludf.DUMMYFUNCTION("""COMPUTED_VALUE"""),"-")</f>
        <v>-</v>
      </c>
      <c r="E254" t="str">
        <f>IFERROR(__xludf.DUMMYFUNCTION("""COMPUTED_VALUE"""),"-")</f>
        <v>-</v>
      </c>
      <c r="F254" t="str">
        <f>IFERROR(__xludf.DUMMYFUNCTION("""COMPUTED_VALUE"""),"-")</f>
        <v>-</v>
      </c>
      <c r="G254" t="str">
        <f>IFERROR(__xludf.DUMMYFUNCTION("""COMPUTED_VALUE"""),"-")</f>
        <v>-</v>
      </c>
      <c r="H254" t="str">
        <f>IFERROR(__xludf.DUMMYFUNCTION("""COMPUTED_VALUE"""),"-")</f>
        <v>-</v>
      </c>
      <c r="I254" t="str">
        <f>IFERROR(__xludf.DUMMYFUNCTION("""COMPUTED_VALUE"""),"-")</f>
        <v>-</v>
      </c>
      <c r="J254" t="str">
        <f>IFERROR(__xludf.DUMMYFUNCTION("""COMPUTED_VALUE"""),"-")</f>
        <v>-</v>
      </c>
      <c r="K254" t="str">
        <f>IFERROR(__xludf.DUMMYFUNCTION("""COMPUTED_VALUE"""),"-")</f>
        <v>-</v>
      </c>
      <c r="L254" t="str">
        <f>IFERROR(__xludf.DUMMYFUNCTION("""COMPUTED_VALUE"""),"-")</f>
        <v>-</v>
      </c>
      <c r="M254" t="str">
        <f>IFERROR(__xludf.DUMMYFUNCTION("""COMPUTED_VALUE"""),"-")</f>
        <v>-</v>
      </c>
      <c r="O254" t="str">
        <f>IFERROR(__xludf.DUMMYFUNCTION("""COMPUTED_VALUE"""),"#253")</f>
        <v>#253</v>
      </c>
      <c r="P254" t="str">
        <f>IFERROR(__xludf.DUMMYFUNCTION("""COMPUTED_VALUE"""),"Bénédicte Taurine")</f>
        <v>Bénédicte Taurine</v>
      </c>
      <c r="Q254">
        <f>IFERROR(__xludf.DUMMYFUNCTION("""COMPUTED_VALUE"""),18894.0)</f>
        <v>18894</v>
      </c>
      <c r="R254" t="str">
        <f>IFERROR(__xludf.DUMMYFUNCTION("""COMPUTED_VALUE"""),"-")</f>
        <v>-</v>
      </c>
      <c r="S254" t="str">
        <f>IFERROR(__xludf.DUMMYFUNCTION("""COMPUTED_VALUE"""),"-")</f>
        <v>-</v>
      </c>
      <c r="T254" t="str">
        <f>IFERROR(__xludf.DUMMYFUNCTION("""COMPUTED_VALUE"""),"-")</f>
        <v>-</v>
      </c>
      <c r="U254" t="str">
        <f>IFERROR(__xludf.DUMMYFUNCTION("""COMPUTED_VALUE"""),"-")</f>
        <v>-</v>
      </c>
      <c r="V254" t="str">
        <f>IFERROR(__xludf.DUMMYFUNCTION("""COMPUTED_VALUE"""),"-")</f>
        <v>-</v>
      </c>
      <c r="W254" t="str">
        <f>IFERROR(__xludf.DUMMYFUNCTION("""COMPUTED_VALUE"""),"-")</f>
        <v>-</v>
      </c>
      <c r="X254" t="str">
        <f>IFERROR(__xludf.DUMMYFUNCTION("""COMPUTED_VALUE"""),"-")</f>
        <v>-</v>
      </c>
      <c r="Y254" t="str">
        <f>IFERROR(__xludf.DUMMYFUNCTION("""COMPUTED_VALUE"""),"-")</f>
        <v>-</v>
      </c>
      <c r="Z254" t="str">
        <f>IFERROR(__xludf.DUMMYFUNCTION("""COMPUTED_VALUE"""),"-")</f>
        <v>-</v>
      </c>
      <c r="AA254" t="str">
        <f>IFERROR(__xludf.DUMMYFUNCTION("""COMPUTED_VALUE"""),"-")</f>
        <v>-</v>
      </c>
    </row>
    <row r="255">
      <c r="A255" t="str">
        <f>IFERROR(__xludf.DUMMYFUNCTION("""COMPUTED_VALUE"""),"#254")</f>
        <v>#254</v>
      </c>
      <c r="B255" t="str">
        <f>IFERROR(__xludf.DUMMYFUNCTION("""COMPUTED_VALUE"""),"Pierre Serne")</f>
        <v>Pierre Serne</v>
      </c>
      <c r="C255">
        <f>IFERROR(__xludf.DUMMYFUNCTION("""COMPUTED_VALUE"""),18831.0)</f>
        <v>18831</v>
      </c>
      <c r="D255" t="str">
        <f>IFERROR(__xludf.DUMMYFUNCTION("""COMPUTED_VALUE"""),"-")</f>
        <v>-</v>
      </c>
      <c r="E255" t="str">
        <f>IFERROR(__xludf.DUMMYFUNCTION("""COMPUTED_VALUE"""),"-")</f>
        <v>-</v>
      </c>
      <c r="F255" t="str">
        <f>IFERROR(__xludf.DUMMYFUNCTION("""COMPUTED_VALUE"""),"-")</f>
        <v>-</v>
      </c>
      <c r="G255" t="str">
        <f>IFERROR(__xludf.DUMMYFUNCTION("""COMPUTED_VALUE"""),"-")</f>
        <v>-</v>
      </c>
      <c r="H255" t="str">
        <f>IFERROR(__xludf.DUMMYFUNCTION("""COMPUTED_VALUE"""),"-")</f>
        <v>-</v>
      </c>
      <c r="I255" t="str">
        <f>IFERROR(__xludf.DUMMYFUNCTION("""COMPUTED_VALUE"""),"-")</f>
        <v>-</v>
      </c>
      <c r="J255" t="str">
        <f>IFERROR(__xludf.DUMMYFUNCTION("""COMPUTED_VALUE"""),"-")</f>
        <v>-</v>
      </c>
      <c r="K255" t="str">
        <f>IFERROR(__xludf.DUMMYFUNCTION("""COMPUTED_VALUE"""),"-")</f>
        <v>-</v>
      </c>
      <c r="L255" t="str">
        <f>IFERROR(__xludf.DUMMYFUNCTION("""COMPUTED_VALUE"""),"-")</f>
        <v>-</v>
      </c>
      <c r="M255" t="str">
        <f>IFERROR(__xludf.DUMMYFUNCTION("""COMPUTED_VALUE"""),"-")</f>
        <v>-</v>
      </c>
      <c r="O255" t="str">
        <f>IFERROR(__xludf.DUMMYFUNCTION("""COMPUTED_VALUE"""),"#254")</f>
        <v>#254</v>
      </c>
      <c r="P255" t="str">
        <f>IFERROR(__xludf.DUMMYFUNCTION("""COMPUTED_VALUE"""),"Pierre Serne")</f>
        <v>Pierre Serne</v>
      </c>
      <c r="Q255">
        <f>IFERROR(__xludf.DUMMYFUNCTION("""COMPUTED_VALUE"""),18831.0)</f>
        <v>18831</v>
      </c>
      <c r="R255" t="str">
        <f>IFERROR(__xludf.DUMMYFUNCTION("""COMPUTED_VALUE"""),"-")</f>
        <v>-</v>
      </c>
      <c r="S255" t="str">
        <f>IFERROR(__xludf.DUMMYFUNCTION("""COMPUTED_VALUE"""),"-")</f>
        <v>-</v>
      </c>
      <c r="T255" t="str">
        <f>IFERROR(__xludf.DUMMYFUNCTION("""COMPUTED_VALUE"""),"-")</f>
        <v>-</v>
      </c>
      <c r="U255" t="str">
        <f>IFERROR(__xludf.DUMMYFUNCTION("""COMPUTED_VALUE"""),"-")</f>
        <v>-</v>
      </c>
      <c r="V255" t="str">
        <f>IFERROR(__xludf.DUMMYFUNCTION("""COMPUTED_VALUE"""),"-")</f>
        <v>-</v>
      </c>
      <c r="W255" t="str">
        <f>IFERROR(__xludf.DUMMYFUNCTION("""COMPUTED_VALUE"""),"-")</f>
        <v>-</v>
      </c>
      <c r="X255" t="str">
        <f>IFERROR(__xludf.DUMMYFUNCTION("""COMPUTED_VALUE"""),"-")</f>
        <v>-</v>
      </c>
      <c r="Y255" t="str">
        <f>IFERROR(__xludf.DUMMYFUNCTION("""COMPUTED_VALUE"""),"-")</f>
        <v>-</v>
      </c>
      <c r="Z255" t="str">
        <f>IFERROR(__xludf.DUMMYFUNCTION("""COMPUTED_VALUE"""),"-")</f>
        <v>-</v>
      </c>
      <c r="AA255" t="str">
        <f>IFERROR(__xludf.DUMMYFUNCTION("""COMPUTED_VALUE"""),"-")</f>
        <v>-</v>
      </c>
    </row>
    <row r="256">
      <c r="A256" t="str">
        <f>IFERROR(__xludf.DUMMYFUNCTION("""COMPUTED_VALUE"""),"#255")</f>
        <v>#255</v>
      </c>
      <c r="B256" t="str">
        <f>IFERROR(__xludf.DUMMYFUNCTION("""COMPUTED_VALUE"""),"Gilles Pennelle")</f>
        <v>Gilles Pennelle</v>
      </c>
      <c r="C256">
        <f>IFERROR(__xludf.DUMMYFUNCTION("""COMPUTED_VALUE"""),18717.0)</f>
        <v>18717</v>
      </c>
      <c r="D256" t="str">
        <f>IFERROR(__xludf.DUMMYFUNCTION("""COMPUTED_VALUE"""),"-")</f>
        <v>-</v>
      </c>
      <c r="E256" t="str">
        <f>IFERROR(__xludf.DUMMYFUNCTION("""COMPUTED_VALUE"""),"-")</f>
        <v>-</v>
      </c>
      <c r="F256" t="str">
        <f>IFERROR(__xludf.DUMMYFUNCTION("""COMPUTED_VALUE"""),"-")</f>
        <v>-</v>
      </c>
      <c r="G256" t="str">
        <f>IFERROR(__xludf.DUMMYFUNCTION("""COMPUTED_VALUE"""),"-")</f>
        <v>-</v>
      </c>
      <c r="H256" t="str">
        <f>IFERROR(__xludf.DUMMYFUNCTION("""COMPUTED_VALUE"""),"-")</f>
        <v>-</v>
      </c>
      <c r="I256" t="str">
        <f>IFERROR(__xludf.DUMMYFUNCTION("""COMPUTED_VALUE"""),"-")</f>
        <v>-</v>
      </c>
      <c r="J256" t="str">
        <f>IFERROR(__xludf.DUMMYFUNCTION("""COMPUTED_VALUE"""),"-")</f>
        <v>-</v>
      </c>
      <c r="K256" t="str">
        <f>IFERROR(__xludf.DUMMYFUNCTION("""COMPUTED_VALUE"""),"-")</f>
        <v>-</v>
      </c>
      <c r="L256" t="str">
        <f>IFERROR(__xludf.DUMMYFUNCTION("""COMPUTED_VALUE"""),"-")</f>
        <v>-</v>
      </c>
      <c r="M256" t="str">
        <f>IFERROR(__xludf.DUMMYFUNCTION("""COMPUTED_VALUE"""),"-")</f>
        <v>-</v>
      </c>
      <c r="O256" t="str">
        <f>IFERROR(__xludf.DUMMYFUNCTION("""COMPUTED_VALUE"""),"#255")</f>
        <v>#255</v>
      </c>
      <c r="P256" t="str">
        <f>IFERROR(__xludf.DUMMYFUNCTION("""COMPUTED_VALUE"""),"Gilles Pennelle")</f>
        <v>Gilles Pennelle</v>
      </c>
      <c r="Q256">
        <f>IFERROR(__xludf.DUMMYFUNCTION("""COMPUTED_VALUE"""),18717.0)</f>
        <v>18717</v>
      </c>
      <c r="R256" t="str">
        <f>IFERROR(__xludf.DUMMYFUNCTION("""COMPUTED_VALUE"""),"-")</f>
        <v>-</v>
      </c>
      <c r="S256" t="str">
        <f>IFERROR(__xludf.DUMMYFUNCTION("""COMPUTED_VALUE"""),"-")</f>
        <v>-</v>
      </c>
      <c r="T256" t="str">
        <f>IFERROR(__xludf.DUMMYFUNCTION("""COMPUTED_VALUE"""),"-")</f>
        <v>-</v>
      </c>
      <c r="U256" t="str">
        <f>IFERROR(__xludf.DUMMYFUNCTION("""COMPUTED_VALUE"""),"-")</f>
        <v>-</v>
      </c>
      <c r="V256" t="str">
        <f>IFERROR(__xludf.DUMMYFUNCTION("""COMPUTED_VALUE"""),"-")</f>
        <v>-</v>
      </c>
      <c r="W256" t="str">
        <f>IFERROR(__xludf.DUMMYFUNCTION("""COMPUTED_VALUE"""),"-")</f>
        <v>-</v>
      </c>
      <c r="X256" t="str">
        <f>IFERROR(__xludf.DUMMYFUNCTION("""COMPUTED_VALUE"""),"-")</f>
        <v>-</v>
      </c>
      <c r="Y256" t="str">
        <f>IFERROR(__xludf.DUMMYFUNCTION("""COMPUTED_VALUE"""),"-")</f>
        <v>-</v>
      </c>
      <c r="Z256" t="str">
        <f>IFERROR(__xludf.DUMMYFUNCTION("""COMPUTED_VALUE"""),"-")</f>
        <v>-</v>
      </c>
      <c r="AA256" t="str">
        <f>IFERROR(__xludf.DUMMYFUNCTION("""COMPUTED_VALUE"""),"-")</f>
        <v>-</v>
      </c>
    </row>
    <row r="257">
      <c r="A257" t="str">
        <f>IFERROR(__xludf.DUMMYFUNCTION("""COMPUTED_VALUE"""),"#256")</f>
        <v>#256</v>
      </c>
      <c r="B257" t="str">
        <f>IFERROR(__xludf.DUMMYFUNCTION("""COMPUTED_VALUE"""),"Virginie Calmels")</f>
        <v>Virginie Calmels</v>
      </c>
      <c r="C257">
        <f>IFERROR(__xludf.DUMMYFUNCTION("""COMPUTED_VALUE"""),18570.0)</f>
        <v>18570</v>
      </c>
      <c r="D257" t="str">
        <f>IFERROR(__xludf.DUMMYFUNCTION("""COMPUTED_VALUE"""),"-")</f>
        <v>-</v>
      </c>
      <c r="E257" t="str">
        <f>IFERROR(__xludf.DUMMYFUNCTION("""COMPUTED_VALUE"""),"-")</f>
        <v>-</v>
      </c>
      <c r="F257" t="str">
        <f>IFERROR(__xludf.DUMMYFUNCTION("""COMPUTED_VALUE"""),"-")</f>
        <v>-</v>
      </c>
      <c r="G257" t="str">
        <f>IFERROR(__xludf.DUMMYFUNCTION("""COMPUTED_VALUE"""),"-")</f>
        <v>-</v>
      </c>
      <c r="H257" t="str">
        <f>IFERROR(__xludf.DUMMYFUNCTION("""COMPUTED_VALUE"""),"-")</f>
        <v>-</v>
      </c>
      <c r="I257" t="str">
        <f>IFERROR(__xludf.DUMMYFUNCTION("""COMPUTED_VALUE"""),"-")</f>
        <v>-</v>
      </c>
      <c r="J257" t="str">
        <f>IFERROR(__xludf.DUMMYFUNCTION("""COMPUTED_VALUE"""),"-")</f>
        <v>-</v>
      </c>
      <c r="K257" t="str">
        <f>IFERROR(__xludf.DUMMYFUNCTION("""COMPUTED_VALUE"""),"-")</f>
        <v>-</v>
      </c>
      <c r="L257" t="str">
        <f>IFERROR(__xludf.DUMMYFUNCTION("""COMPUTED_VALUE"""),"-")</f>
        <v>-</v>
      </c>
      <c r="M257" t="str">
        <f>IFERROR(__xludf.DUMMYFUNCTION("""COMPUTED_VALUE"""),"-")</f>
        <v>-</v>
      </c>
      <c r="O257" t="str">
        <f>IFERROR(__xludf.DUMMYFUNCTION("""COMPUTED_VALUE"""),"#256")</f>
        <v>#256</v>
      </c>
      <c r="P257" t="str">
        <f>IFERROR(__xludf.DUMMYFUNCTION("""COMPUTED_VALUE"""),"Virginie Calmels")</f>
        <v>Virginie Calmels</v>
      </c>
      <c r="Q257">
        <f>IFERROR(__xludf.DUMMYFUNCTION("""COMPUTED_VALUE"""),18570.0)</f>
        <v>18570</v>
      </c>
      <c r="R257" t="str">
        <f>IFERROR(__xludf.DUMMYFUNCTION("""COMPUTED_VALUE"""),"-")</f>
        <v>-</v>
      </c>
      <c r="S257" t="str">
        <f>IFERROR(__xludf.DUMMYFUNCTION("""COMPUTED_VALUE"""),"-")</f>
        <v>-</v>
      </c>
      <c r="T257" t="str">
        <f>IFERROR(__xludf.DUMMYFUNCTION("""COMPUTED_VALUE"""),"-")</f>
        <v>-</v>
      </c>
      <c r="U257" t="str">
        <f>IFERROR(__xludf.DUMMYFUNCTION("""COMPUTED_VALUE"""),"-")</f>
        <v>-</v>
      </c>
      <c r="V257" t="str">
        <f>IFERROR(__xludf.DUMMYFUNCTION("""COMPUTED_VALUE"""),"-")</f>
        <v>-</v>
      </c>
      <c r="W257" t="str">
        <f>IFERROR(__xludf.DUMMYFUNCTION("""COMPUTED_VALUE"""),"-")</f>
        <v>-</v>
      </c>
      <c r="X257" t="str">
        <f>IFERROR(__xludf.DUMMYFUNCTION("""COMPUTED_VALUE"""),"-")</f>
        <v>-</v>
      </c>
      <c r="Y257" t="str">
        <f>IFERROR(__xludf.DUMMYFUNCTION("""COMPUTED_VALUE"""),"-")</f>
        <v>-</v>
      </c>
      <c r="Z257" t="str">
        <f>IFERROR(__xludf.DUMMYFUNCTION("""COMPUTED_VALUE"""),"-")</f>
        <v>-</v>
      </c>
      <c r="AA257" t="str">
        <f>IFERROR(__xludf.DUMMYFUNCTION("""COMPUTED_VALUE"""),"-")</f>
        <v>-</v>
      </c>
    </row>
    <row r="258">
      <c r="A258" t="str">
        <f>IFERROR(__xludf.DUMMYFUNCTION("""COMPUTED_VALUE"""),"#257")</f>
        <v>#257</v>
      </c>
      <c r="B258" t="str">
        <f>IFERROR(__xludf.DUMMYFUNCTION("""COMPUTED_VALUE"""),"Marielle de Sarnez")</f>
        <v>Marielle de Sarnez</v>
      </c>
      <c r="C258">
        <f>IFERROR(__xludf.DUMMYFUNCTION("""COMPUTED_VALUE"""),18317.0)</f>
        <v>18317</v>
      </c>
      <c r="D258" t="str">
        <f>IFERROR(__xludf.DUMMYFUNCTION("""COMPUTED_VALUE"""),"-")</f>
        <v>-</v>
      </c>
      <c r="E258" t="str">
        <f>IFERROR(__xludf.DUMMYFUNCTION("""COMPUTED_VALUE"""),"-")</f>
        <v>-</v>
      </c>
      <c r="F258" t="str">
        <f>IFERROR(__xludf.DUMMYFUNCTION("""COMPUTED_VALUE"""),"-")</f>
        <v>-</v>
      </c>
      <c r="G258" t="str">
        <f>IFERROR(__xludf.DUMMYFUNCTION("""COMPUTED_VALUE"""),"-")</f>
        <v>-</v>
      </c>
      <c r="H258" t="str">
        <f>IFERROR(__xludf.DUMMYFUNCTION("""COMPUTED_VALUE"""),"-")</f>
        <v>-</v>
      </c>
      <c r="I258" t="str">
        <f>IFERROR(__xludf.DUMMYFUNCTION("""COMPUTED_VALUE"""),"-")</f>
        <v>-</v>
      </c>
      <c r="J258" t="str">
        <f>IFERROR(__xludf.DUMMYFUNCTION("""COMPUTED_VALUE"""),"-")</f>
        <v>-</v>
      </c>
      <c r="K258" t="str">
        <f>IFERROR(__xludf.DUMMYFUNCTION("""COMPUTED_VALUE"""),"-")</f>
        <v>-</v>
      </c>
      <c r="L258" t="str">
        <f>IFERROR(__xludf.DUMMYFUNCTION("""COMPUTED_VALUE"""),"-")</f>
        <v>-</v>
      </c>
      <c r="M258" t="str">
        <f>IFERROR(__xludf.DUMMYFUNCTION("""COMPUTED_VALUE"""),"-")</f>
        <v>-</v>
      </c>
      <c r="O258" t="str">
        <f>IFERROR(__xludf.DUMMYFUNCTION("""COMPUTED_VALUE"""),"#257")</f>
        <v>#257</v>
      </c>
      <c r="P258" t="str">
        <f>IFERROR(__xludf.DUMMYFUNCTION("""COMPUTED_VALUE"""),"Marielle de Sarnez")</f>
        <v>Marielle de Sarnez</v>
      </c>
      <c r="Q258">
        <f>IFERROR(__xludf.DUMMYFUNCTION("""COMPUTED_VALUE"""),18317.0)</f>
        <v>18317</v>
      </c>
      <c r="R258" t="str">
        <f>IFERROR(__xludf.DUMMYFUNCTION("""COMPUTED_VALUE"""),"-")</f>
        <v>-</v>
      </c>
      <c r="S258" t="str">
        <f>IFERROR(__xludf.DUMMYFUNCTION("""COMPUTED_VALUE"""),"-")</f>
        <v>-</v>
      </c>
      <c r="T258" t="str">
        <f>IFERROR(__xludf.DUMMYFUNCTION("""COMPUTED_VALUE"""),"-")</f>
        <v>-</v>
      </c>
      <c r="U258" t="str">
        <f>IFERROR(__xludf.DUMMYFUNCTION("""COMPUTED_VALUE"""),"-")</f>
        <v>-</v>
      </c>
      <c r="V258" t="str">
        <f>IFERROR(__xludf.DUMMYFUNCTION("""COMPUTED_VALUE"""),"-")</f>
        <v>-</v>
      </c>
      <c r="W258" t="str">
        <f>IFERROR(__xludf.DUMMYFUNCTION("""COMPUTED_VALUE"""),"-")</f>
        <v>-</v>
      </c>
      <c r="X258" t="str">
        <f>IFERROR(__xludf.DUMMYFUNCTION("""COMPUTED_VALUE"""),"-")</f>
        <v>-</v>
      </c>
      <c r="Y258" t="str">
        <f>IFERROR(__xludf.DUMMYFUNCTION("""COMPUTED_VALUE"""),"-")</f>
        <v>-</v>
      </c>
      <c r="Z258" t="str">
        <f>IFERROR(__xludf.DUMMYFUNCTION("""COMPUTED_VALUE"""),"-")</f>
        <v>-</v>
      </c>
      <c r="AA258" t="str">
        <f>IFERROR(__xludf.DUMMYFUNCTION("""COMPUTED_VALUE"""),"-")</f>
        <v>-</v>
      </c>
    </row>
    <row r="259">
      <c r="A259" t="str">
        <f>IFERROR(__xludf.DUMMYFUNCTION("""COMPUTED_VALUE"""),"#258")</f>
        <v>#258</v>
      </c>
      <c r="B259" t="str">
        <f>IFERROR(__xludf.DUMMYFUNCTION("""COMPUTED_VALUE"""),"Ronan Loas")</f>
        <v>Ronan Loas</v>
      </c>
      <c r="C259">
        <f>IFERROR(__xludf.DUMMYFUNCTION("""COMPUTED_VALUE"""),18306.0)</f>
        <v>18306</v>
      </c>
      <c r="D259" t="str">
        <f>IFERROR(__xludf.DUMMYFUNCTION("""COMPUTED_VALUE"""),"-")</f>
        <v>-</v>
      </c>
      <c r="E259" t="str">
        <f>IFERROR(__xludf.DUMMYFUNCTION("""COMPUTED_VALUE"""),"-")</f>
        <v>-</v>
      </c>
      <c r="F259" t="str">
        <f>IFERROR(__xludf.DUMMYFUNCTION("""COMPUTED_VALUE"""),"-")</f>
        <v>-</v>
      </c>
      <c r="G259" t="str">
        <f>IFERROR(__xludf.DUMMYFUNCTION("""COMPUTED_VALUE"""),"-")</f>
        <v>-</v>
      </c>
      <c r="H259" t="str">
        <f>IFERROR(__xludf.DUMMYFUNCTION("""COMPUTED_VALUE"""),"-")</f>
        <v>-</v>
      </c>
      <c r="I259" t="str">
        <f>IFERROR(__xludf.DUMMYFUNCTION("""COMPUTED_VALUE"""),"-")</f>
        <v>-</v>
      </c>
      <c r="J259" t="str">
        <f>IFERROR(__xludf.DUMMYFUNCTION("""COMPUTED_VALUE"""),"-")</f>
        <v>-</v>
      </c>
      <c r="K259" t="str">
        <f>IFERROR(__xludf.DUMMYFUNCTION("""COMPUTED_VALUE"""),"-")</f>
        <v>-</v>
      </c>
      <c r="L259" t="str">
        <f>IFERROR(__xludf.DUMMYFUNCTION("""COMPUTED_VALUE"""),"-")</f>
        <v>-</v>
      </c>
      <c r="M259" t="str">
        <f>IFERROR(__xludf.DUMMYFUNCTION("""COMPUTED_VALUE"""),"-")</f>
        <v>-</v>
      </c>
      <c r="O259" t="str">
        <f>IFERROR(__xludf.DUMMYFUNCTION("""COMPUTED_VALUE"""),"#258")</f>
        <v>#258</v>
      </c>
      <c r="P259" t="str">
        <f>IFERROR(__xludf.DUMMYFUNCTION("""COMPUTED_VALUE"""),"Ronan Loas")</f>
        <v>Ronan Loas</v>
      </c>
      <c r="Q259">
        <f>IFERROR(__xludf.DUMMYFUNCTION("""COMPUTED_VALUE"""),18306.0)</f>
        <v>18306</v>
      </c>
      <c r="R259" t="str">
        <f>IFERROR(__xludf.DUMMYFUNCTION("""COMPUTED_VALUE"""),"-")</f>
        <v>-</v>
      </c>
      <c r="S259" t="str">
        <f>IFERROR(__xludf.DUMMYFUNCTION("""COMPUTED_VALUE"""),"-")</f>
        <v>-</v>
      </c>
      <c r="T259" t="str">
        <f>IFERROR(__xludf.DUMMYFUNCTION("""COMPUTED_VALUE"""),"-")</f>
        <v>-</v>
      </c>
      <c r="U259" t="str">
        <f>IFERROR(__xludf.DUMMYFUNCTION("""COMPUTED_VALUE"""),"-")</f>
        <v>-</v>
      </c>
      <c r="V259" t="str">
        <f>IFERROR(__xludf.DUMMYFUNCTION("""COMPUTED_VALUE"""),"-")</f>
        <v>-</v>
      </c>
      <c r="W259" t="str">
        <f>IFERROR(__xludf.DUMMYFUNCTION("""COMPUTED_VALUE"""),"-")</f>
        <v>-</v>
      </c>
      <c r="X259" t="str">
        <f>IFERROR(__xludf.DUMMYFUNCTION("""COMPUTED_VALUE"""),"-")</f>
        <v>-</v>
      </c>
      <c r="Y259" t="str">
        <f>IFERROR(__xludf.DUMMYFUNCTION("""COMPUTED_VALUE"""),"-")</f>
        <v>-</v>
      </c>
      <c r="Z259" t="str">
        <f>IFERROR(__xludf.DUMMYFUNCTION("""COMPUTED_VALUE"""),"-")</f>
        <v>-</v>
      </c>
      <c r="AA259" t="str">
        <f>IFERROR(__xludf.DUMMYFUNCTION("""COMPUTED_VALUE"""),"-")</f>
        <v>-</v>
      </c>
    </row>
    <row r="260">
      <c r="A260" t="str">
        <f>IFERROR(__xludf.DUMMYFUNCTION("""COMPUTED_VALUE"""),"#259")</f>
        <v>#259</v>
      </c>
      <c r="B260" t="str">
        <f>IFERROR(__xludf.DUMMYFUNCTION("""COMPUTED_VALUE"""),"Frédéric Cuvillier")</f>
        <v>Frédéric Cuvillier</v>
      </c>
      <c r="C260">
        <f>IFERROR(__xludf.DUMMYFUNCTION("""COMPUTED_VALUE"""),18094.0)</f>
        <v>18094</v>
      </c>
      <c r="D260" t="str">
        <f>IFERROR(__xludf.DUMMYFUNCTION("""COMPUTED_VALUE"""),"-")</f>
        <v>-</v>
      </c>
      <c r="E260" t="str">
        <f>IFERROR(__xludf.DUMMYFUNCTION("""COMPUTED_VALUE"""),"-")</f>
        <v>-</v>
      </c>
      <c r="F260" t="str">
        <f>IFERROR(__xludf.DUMMYFUNCTION("""COMPUTED_VALUE"""),"-")</f>
        <v>-</v>
      </c>
      <c r="G260" t="str">
        <f>IFERROR(__xludf.DUMMYFUNCTION("""COMPUTED_VALUE"""),"-")</f>
        <v>-</v>
      </c>
      <c r="H260" t="str">
        <f>IFERROR(__xludf.DUMMYFUNCTION("""COMPUTED_VALUE"""),"-")</f>
        <v>-</v>
      </c>
      <c r="I260" t="str">
        <f>IFERROR(__xludf.DUMMYFUNCTION("""COMPUTED_VALUE"""),"-")</f>
        <v>-</v>
      </c>
      <c r="J260" t="str">
        <f>IFERROR(__xludf.DUMMYFUNCTION("""COMPUTED_VALUE"""),"-")</f>
        <v>-</v>
      </c>
      <c r="K260" t="str">
        <f>IFERROR(__xludf.DUMMYFUNCTION("""COMPUTED_VALUE"""),"-")</f>
        <v>-</v>
      </c>
      <c r="L260" t="str">
        <f>IFERROR(__xludf.DUMMYFUNCTION("""COMPUTED_VALUE"""),"-")</f>
        <v>-</v>
      </c>
      <c r="M260" t="str">
        <f>IFERROR(__xludf.DUMMYFUNCTION("""COMPUTED_VALUE"""),"-")</f>
        <v>-</v>
      </c>
      <c r="O260" t="str">
        <f>IFERROR(__xludf.DUMMYFUNCTION("""COMPUTED_VALUE"""),"#259")</f>
        <v>#259</v>
      </c>
      <c r="P260" t="str">
        <f>IFERROR(__xludf.DUMMYFUNCTION("""COMPUTED_VALUE"""),"Frédéric Cuvillier")</f>
        <v>Frédéric Cuvillier</v>
      </c>
      <c r="Q260">
        <f>IFERROR(__xludf.DUMMYFUNCTION("""COMPUTED_VALUE"""),18094.0)</f>
        <v>18094</v>
      </c>
      <c r="R260" t="str">
        <f>IFERROR(__xludf.DUMMYFUNCTION("""COMPUTED_VALUE"""),"-")</f>
        <v>-</v>
      </c>
      <c r="S260" t="str">
        <f>IFERROR(__xludf.DUMMYFUNCTION("""COMPUTED_VALUE"""),"-")</f>
        <v>-</v>
      </c>
      <c r="T260" t="str">
        <f>IFERROR(__xludf.DUMMYFUNCTION("""COMPUTED_VALUE"""),"-")</f>
        <v>-</v>
      </c>
      <c r="U260" t="str">
        <f>IFERROR(__xludf.DUMMYFUNCTION("""COMPUTED_VALUE"""),"-")</f>
        <v>-</v>
      </c>
      <c r="V260" t="str">
        <f>IFERROR(__xludf.DUMMYFUNCTION("""COMPUTED_VALUE"""),"-")</f>
        <v>-</v>
      </c>
      <c r="W260" t="str">
        <f>IFERROR(__xludf.DUMMYFUNCTION("""COMPUTED_VALUE"""),"-")</f>
        <v>-</v>
      </c>
      <c r="X260" t="str">
        <f>IFERROR(__xludf.DUMMYFUNCTION("""COMPUTED_VALUE"""),"-")</f>
        <v>-</v>
      </c>
      <c r="Y260" t="str">
        <f>IFERROR(__xludf.DUMMYFUNCTION("""COMPUTED_VALUE"""),"-")</f>
        <v>-</v>
      </c>
      <c r="Z260" t="str">
        <f>IFERROR(__xludf.DUMMYFUNCTION("""COMPUTED_VALUE"""),"-")</f>
        <v>-</v>
      </c>
      <c r="AA260" t="str">
        <f>IFERROR(__xludf.DUMMYFUNCTION("""COMPUTED_VALUE"""),"-")</f>
        <v>-</v>
      </c>
    </row>
    <row r="261">
      <c r="A261" t="str">
        <f>IFERROR(__xludf.DUMMYFUNCTION("""COMPUTED_VALUE"""),"#260")</f>
        <v>#260</v>
      </c>
      <c r="B261" t="str">
        <f>IFERROR(__xludf.DUMMYFUNCTION("""COMPUTED_VALUE"""),"Julie Lechanteux")</f>
        <v>Julie Lechanteux</v>
      </c>
      <c r="C261">
        <f>IFERROR(__xludf.DUMMYFUNCTION("""COMPUTED_VALUE"""),17636.0)</f>
        <v>17636</v>
      </c>
      <c r="D261" t="str">
        <f>IFERROR(__xludf.DUMMYFUNCTION("""COMPUTED_VALUE"""),"-")</f>
        <v>-</v>
      </c>
      <c r="E261" t="str">
        <f>IFERROR(__xludf.DUMMYFUNCTION("""COMPUTED_VALUE"""),"-")</f>
        <v>-</v>
      </c>
      <c r="F261" t="str">
        <f>IFERROR(__xludf.DUMMYFUNCTION("""COMPUTED_VALUE"""),"-")</f>
        <v>-</v>
      </c>
      <c r="G261" t="str">
        <f>IFERROR(__xludf.DUMMYFUNCTION("""COMPUTED_VALUE"""),"-")</f>
        <v>-</v>
      </c>
      <c r="H261" t="str">
        <f>IFERROR(__xludf.DUMMYFUNCTION("""COMPUTED_VALUE"""),"-")</f>
        <v>-</v>
      </c>
      <c r="I261" t="str">
        <f>IFERROR(__xludf.DUMMYFUNCTION("""COMPUTED_VALUE"""),"-")</f>
        <v>-</v>
      </c>
      <c r="J261" t="str">
        <f>IFERROR(__xludf.DUMMYFUNCTION("""COMPUTED_VALUE"""),"-")</f>
        <v>-</v>
      </c>
      <c r="K261" t="str">
        <f>IFERROR(__xludf.DUMMYFUNCTION("""COMPUTED_VALUE"""),"-")</f>
        <v>-</v>
      </c>
      <c r="L261" t="str">
        <f>IFERROR(__xludf.DUMMYFUNCTION("""COMPUTED_VALUE"""),"-")</f>
        <v>-</v>
      </c>
      <c r="M261" t="str">
        <f>IFERROR(__xludf.DUMMYFUNCTION("""COMPUTED_VALUE"""),"-")</f>
        <v>-</v>
      </c>
      <c r="O261" t="str">
        <f>IFERROR(__xludf.DUMMYFUNCTION("""COMPUTED_VALUE"""),"#260")</f>
        <v>#260</v>
      </c>
      <c r="P261" t="str">
        <f>IFERROR(__xludf.DUMMYFUNCTION("""COMPUTED_VALUE"""),"Julie Lechanteux")</f>
        <v>Julie Lechanteux</v>
      </c>
      <c r="Q261">
        <f>IFERROR(__xludf.DUMMYFUNCTION("""COMPUTED_VALUE"""),17636.0)</f>
        <v>17636</v>
      </c>
      <c r="R261" t="str">
        <f>IFERROR(__xludf.DUMMYFUNCTION("""COMPUTED_VALUE"""),"-")</f>
        <v>-</v>
      </c>
      <c r="S261" t="str">
        <f>IFERROR(__xludf.DUMMYFUNCTION("""COMPUTED_VALUE"""),"-")</f>
        <v>-</v>
      </c>
      <c r="T261" t="str">
        <f>IFERROR(__xludf.DUMMYFUNCTION("""COMPUTED_VALUE"""),"-")</f>
        <v>-</v>
      </c>
      <c r="U261" t="str">
        <f>IFERROR(__xludf.DUMMYFUNCTION("""COMPUTED_VALUE"""),"-")</f>
        <v>-</v>
      </c>
      <c r="V261" t="str">
        <f>IFERROR(__xludf.DUMMYFUNCTION("""COMPUTED_VALUE"""),"-")</f>
        <v>-</v>
      </c>
      <c r="W261" t="str">
        <f>IFERROR(__xludf.DUMMYFUNCTION("""COMPUTED_VALUE"""),"-")</f>
        <v>-</v>
      </c>
      <c r="X261" t="str">
        <f>IFERROR(__xludf.DUMMYFUNCTION("""COMPUTED_VALUE"""),"-")</f>
        <v>-</v>
      </c>
      <c r="Y261" t="str">
        <f>IFERROR(__xludf.DUMMYFUNCTION("""COMPUTED_VALUE"""),"-")</f>
        <v>-</v>
      </c>
      <c r="Z261" t="str">
        <f>IFERROR(__xludf.DUMMYFUNCTION("""COMPUTED_VALUE"""),"-")</f>
        <v>-</v>
      </c>
      <c r="AA261" t="str">
        <f>IFERROR(__xludf.DUMMYFUNCTION("""COMPUTED_VALUE"""),"-")</f>
        <v>-</v>
      </c>
    </row>
    <row r="262">
      <c r="A262" t="str">
        <f>IFERROR(__xludf.DUMMYFUNCTION("""COMPUTED_VALUE"""),"#261")</f>
        <v>#261</v>
      </c>
      <c r="B262" t="str">
        <f>IFERROR(__xludf.DUMMYFUNCTION("""COMPUTED_VALUE"""),"Olivier Monteil")</f>
        <v>Olivier Monteil</v>
      </c>
      <c r="C262">
        <f>IFERROR(__xludf.DUMMYFUNCTION("""COMPUTED_VALUE"""),17633.0)</f>
        <v>17633</v>
      </c>
      <c r="D262" t="str">
        <f>IFERROR(__xludf.DUMMYFUNCTION("""COMPUTED_VALUE"""),"-")</f>
        <v>-</v>
      </c>
      <c r="E262" t="str">
        <f>IFERROR(__xludf.DUMMYFUNCTION("""COMPUTED_VALUE"""),"-")</f>
        <v>-</v>
      </c>
      <c r="F262" t="str">
        <f>IFERROR(__xludf.DUMMYFUNCTION("""COMPUTED_VALUE"""),"-")</f>
        <v>-</v>
      </c>
      <c r="G262" t="str">
        <f>IFERROR(__xludf.DUMMYFUNCTION("""COMPUTED_VALUE"""),"-")</f>
        <v>-</v>
      </c>
      <c r="H262" t="str">
        <f>IFERROR(__xludf.DUMMYFUNCTION("""COMPUTED_VALUE"""),"-")</f>
        <v>-</v>
      </c>
      <c r="I262" t="str">
        <f>IFERROR(__xludf.DUMMYFUNCTION("""COMPUTED_VALUE"""),"-")</f>
        <v>-</v>
      </c>
      <c r="J262" t="str">
        <f>IFERROR(__xludf.DUMMYFUNCTION("""COMPUTED_VALUE"""),"-")</f>
        <v>-</v>
      </c>
      <c r="K262" t="str">
        <f>IFERROR(__xludf.DUMMYFUNCTION("""COMPUTED_VALUE"""),"-")</f>
        <v>-</v>
      </c>
      <c r="L262" t="str">
        <f>IFERROR(__xludf.DUMMYFUNCTION("""COMPUTED_VALUE"""),"-")</f>
        <v>-</v>
      </c>
      <c r="M262" t="str">
        <f>IFERROR(__xludf.DUMMYFUNCTION("""COMPUTED_VALUE"""),"-")</f>
        <v>-</v>
      </c>
      <c r="O262" t="str">
        <f>IFERROR(__xludf.DUMMYFUNCTION("""COMPUTED_VALUE"""),"#261")</f>
        <v>#261</v>
      </c>
      <c r="P262" t="str">
        <f>IFERROR(__xludf.DUMMYFUNCTION("""COMPUTED_VALUE"""),"Olivier Monteil")</f>
        <v>Olivier Monteil</v>
      </c>
      <c r="Q262">
        <f>IFERROR(__xludf.DUMMYFUNCTION("""COMPUTED_VALUE"""),17633.0)</f>
        <v>17633</v>
      </c>
      <c r="R262" t="str">
        <f>IFERROR(__xludf.DUMMYFUNCTION("""COMPUTED_VALUE"""),"-")</f>
        <v>-</v>
      </c>
      <c r="S262" t="str">
        <f>IFERROR(__xludf.DUMMYFUNCTION("""COMPUTED_VALUE"""),"-")</f>
        <v>-</v>
      </c>
      <c r="T262" t="str">
        <f>IFERROR(__xludf.DUMMYFUNCTION("""COMPUTED_VALUE"""),"-")</f>
        <v>-</v>
      </c>
      <c r="U262" t="str">
        <f>IFERROR(__xludf.DUMMYFUNCTION("""COMPUTED_VALUE"""),"-")</f>
        <v>-</v>
      </c>
      <c r="V262" t="str">
        <f>IFERROR(__xludf.DUMMYFUNCTION("""COMPUTED_VALUE"""),"-")</f>
        <v>-</v>
      </c>
      <c r="W262" t="str">
        <f>IFERROR(__xludf.DUMMYFUNCTION("""COMPUTED_VALUE"""),"-")</f>
        <v>-</v>
      </c>
      <c r="X262" t="str">
        <f>IFERROR(__xludf.DUMMYFUNCTION("""COMPUTED_VALUE"""),"-")</f>
        <v>-</v>
      </c>
      <c r="Y262" t="str">
        <f>IFERROR(__xludf.DUMMYFUNCTION("""COMPUTED_VALUE"""),"-")</f>
        <v>-</v>
      </c>
      <c r="Z262" t="str">
        <f>IFERROR(__xludf.DUMMYFUNCTION("""COMPUTED_VALUE"""),"-")</f>
        <v>-</v>
      </c>
      <c r="AA262" t="str">
        <f>IFERROR(__xludf.DUMMYFUNCTION("""COMPUTED_VALUE"""),"-")</f>
        <v>-</v>
      </c>
    </row>
    <row r="263">
      <c r="A263" t="str">
        <f>IFERROR(__xludf.DUMMYFUNCTION("""COMPUTED_VALUE"""),"#262")</f>
        <v>#262</v>
      </c>
      <c r="B263" t="str">
        <f>IFERROR(__xludf.DUMMYFUNCTION("""COMPUTED_VALUE"""),"André Chassaigne")</f>
        <v>André Chassaigne</v>
      </c>
      <c r="C263">
        <f>IFERROR(__xludf.DUMMYFUNCTION("""COMPUTED_VALUE"""),17570.0)</f>
        <v>17570</v>
      </c>
      <c r="D263" t="str">
        <f>IFERROR(__xludf.DUMMYFUNCTION("""COMPUTED_VALUE"""),"-")</f>
        <v>-</v>
      </c>
      <c r="E263" t="str">
        <f>IFERROR(__xludf.DUMMYFUNCTION("""COMPUTED_VALUE"""),"-")</f>
        <v>-</v>
      </c>
      <c r="F263" t="str">
        <f>IFERROR(__xludf.DUMMYFUNCTION("""COMPUTED_VALUE"""),"-")</f>
        <v>-</v>
      </c>
      <c r="G263" t="str">
        <f>IFERROR(__xludf.DUMMYFUNCTION("""COMPUTED_VALUE"""),"-")</f>
        <v>-</v>
      </c>
      <c r="H263" t="str">
        <f>IFERROR(__xludf.DUMMYFUNCTION("""COMPUTED_VALUE"""),"-")</f>
        <v>-</v>
      </c>
      <c r="I263" t="str">
        <f>IFERROR(__xludf.DUMMYFUNCTION("""COMPUTED_VALUE"""),"-")</f>
        <v>-</v>
      </c>
      <c r="J263" t="str">
        <f>IFERROR(__xludf.DUMMYFUNCTION("""COMPUTED_VALUE"""),"-")</f>
        <v>-</v>
      </c>
      <c r="K263" t="str">
        <f>IFERROR(__xludf.DUMMYFUNCTION("""COMPUTED_VALUE"""),"-")</f>
        <v>-</v>
      </c>
      <c r="L263" t="str">
        <f>IFERROR(__xludf.DUMMYFUNCTION("""COMPUTED_VALUE"""),"-")</f>
        <v>-</v>
      </c>
      <c r="M263" t="str">
        <f>IFERROR(__xludf.DUMMYFUNCTION("""COMPUTED_VALUE"""),"-")</f>
        <v>-</v>
      </c>
      <c r="O263" t="str">
        <f>IFERROR(__xludf.DUMMYFUNCTION("""COMPUTED_VALUE"""),"#262")</f>
        <v>#262</v>
      </c>
      <c r="P263" t="str">
        <f>IFERROR(__xludf.DUMMYFUNCTION("""COMPUTED_VALUE"""),"André Chassaigne")</f>
        <v>André Chassaigne</v>
      </c>
      <c r="Q263">
        <f>IFERROR(__xludf.DUMMYFUNCTION("""COMPUTED_VALUE"""),17570.0)</f>
        <v>17570</v>
      </c>
      <c r="R263" t="str">
        <f>IFERROR(__xludf.DUMMYFUNCTION("""COMPUTED_VALUE"""),"-")</f>
        <v>-</v>
      </c>
      <c r="S263" t="str">
        <f>IFERROR(__xludf.DUMMYFUNCTION("""COMPUTED_VALUE"""),"-")</f>
        <v>-</v>
      </c>
      <c r="T263" t="str">
        <f>IFERROR(__xludf.DUMMYFUNCTION("""COMPUTED_VALUE"""),"-")</f>
        <v>-</v>
      </c>
      <c r="U263" t="str">
        <f>IFERROR(__xludf.DUMMYFUNCTION("""COMPUTED_VALUE"""),"-")</f>
        <v>-</v>
      </c>
      <c r="V263" t="str">
        <f>IFERROR(__xludf.DUMMYFUNCTION("""COMPUTED_VALUE"""),"-")</f>
        <v>-</v>
      </c>
      <c r="W263" t="str">
        <f>IFERROR(__xludf.DUMMYFUNCTION("""COMPUTED_VALUE"""),"-")</f>
        <v>-</v>
      </c>
      <c r="X263" t="str">
        <f>IFERROR(__xludf.DUMMYFUNCTION("""COMPUTED_VALUE"""),"-")</f>
        <v>-</v>
      </c>
      <c r="Y263" t="str">
        <f>IFERROR(__xludf.DUMMYFUNCTION("""COMPUTED_VALUE"""),"-")</f>
        <v>-</v>
      </c>
      <c r="Z263" t="str">
        <f>IFERROR(__xludf.DUMMYFUNCTION("""COMPUTED_VALUE"""),"-")</f>
        <v>-</v>
      </c>
      <c r="AA263" t="str">
        <f>IFERROR(__xludf.DUMMYFUNCTION("""COMPUTED_VALUE"""),"-")</f>
        <v>-</v>
      </c>
    </row>
    <row r="264">
      <c r="A264" t="str">
        <f>IFERROR(__xludf.DUMMYFUNCTION("""COMPUTED_VALUE"""),"#263")</f>
        <v>#263</v>
      </c>
      <c r="B264" t="str">
        <f>IFERROR(__xludf.DUMMYFUNCTION("""COMPUTED_VALUE"""),"Aurelien Veron")</f>
        <v>Aurelien Veron</v>
      </c>
      <c r="C264">
        <f>IFERROR(__xludf.DUMMYFUNCTION("""COMPUTED_VALUE"""),17232.0)</f>
        <v>17232</v>
      </c>
      <c r="D264" t="str">
        <f>IFERROR(__xludf.DUMMYFUNCTION("""COMPUTED_VALUE"""),"-")</f>
        <v>-</v>
      </c>
      <c r="E264" t="str">
        <f>IFERROR(__xludf.DUMMYFUNCTION("""COMPUTED_VALUE"""),"-")</f>
        <v>-</v>
      </c>
      <c r="F264" t="str">
        <f>IFERROR(__xludf.DUMMYFUNCTION("""COMPUTED_VALUE"""),"-")</f>
        <v>-</v>
      </c>
      <c r="G264" t="str">
        <f>IFERROR(__xludf.DUMMYFUNCTION("""COMPUTED_VALUE"""),"-")</f>
        <v>-</v>
      </c>
      <c r="H264" t="str">
        <f>IFERROR(__xludf.DUMMYFUNCTION("""COMPUTED_VALUE"""),"-")</f>
        <v>-</v>
      </c>
      <c r="I264" t="str">
        <f>IFERROR(__xludf.DUMMYFUNCTION("""COMPUTED_VALUE"""),"-")</f>
        <v>-</v>
      </c>
      <c r="J264" t="str">
        <f>IFERROR(__xludf.DUMMYFUNCTION("""COMPUTED_VALUE"""),"-")</f>
        <v>-</v>
      </c>
      <c r="K264" t="str">
        <f>IFERROR(__xludf.DUMMYFUNCTION("""COMPUTED_VALUE"""),"-")</f>
        <v>-</v>
      </c>
      <c r="L264" t="str">
        <f>IFERROR(__xludf.DUMMYFUNCTION("""COMPUTED_VALUE"""),"-")</f>
        <v>-</v>
      </c>
      <c r="M264" t="str">
        <f>IFERROR(__xludf.DUMMYFUNCTION("""COMPUTED_VALUE"""),"-")</f>
        <v>-</v>
      </c>
      <c r="O264" t="str">
        <f>IFERROR(__xludf.DUMMYFUNCTION("""COMPUTED_VALUE"""),"#263")</f>
        <v>#263</v>
      </c>
      <c r="P264" t="str">
        <f>IFERROR(__xludf.DUMMYFUNCTION("""COMPUTED_VALUE"""),"Aurelien Veron")</f>
        <v>Aurelien Veron</v>
      </c>
      <c r="Q264">
        <f>IFERROR(__xludf.DUMMYFUNCTION("""COMPUTED_VALUE"""),17232.0)</f>
        <v>17232</v>
      </c>
      <c r="R264" t="str">
        <f>IFERROR(__xludf.DUMMYFUNCTION("""COMPUTED_VALUE"""),"-")</f>
        <v>-</v>
      </c>
      <c r="S264" t="str">
        <f>IFERROR(__xludf.DUMMYFUNCTION("""COMPUTED_VALUE"""),"-")</f>
        <v>-</v>
      </c>
      <c r="T264" t="str">
        <f>IFERROR(__xludf.DUMMYFUNCTION("""COMPUTED_VALUE"""),"-")</f>
        <v>-</v>
      </c>
      <c r="U264" t="str">
        <f>IFERROR(__xludf.DUMMYFUNCTION("""COMPUTED_VALUE"""),"-")</f>
        <v>-</v>
      </c>
      <c r="V264" t="str">
        <f>IFERROR(__xludf.DUMMYFUNCTION("""COMPUTED_VALUE"""),"-")</f>
        <v>-</v>
      </c>
      <c r="W264" t="str">
        <f>IFERROR(__xludf.DUMMYFUNCTION("""COMPUTED_VALUE"""),"-")</f>
        <v>-</v>
      </c>
      <c r="X264" t="str">
        <f>IFERROR(__xludf.DUMMYFUNCTION("""COMPUTED_VALUE"""),"-")</f>
        <v>-</v>
      </c>
      <c r="Y264" t="str">
        <f>IFERROR(__xludf.DUMMYFUNCTION("""COMPUTED_VALUE"""),"-")</f>
        <v>-</v>
      </c>
      <c r="Z264" t="str">
        <f>IFERROR(__xludf.DUMMYFUNCTION("""COMPUTED_VALUE"""),"-")</f>
        <v>-</v>
      </c>
      <c r="AA264" t="str">
        <f>IFERROR(__xludf.DUMMYFUNCTION("""COMPUTED_VALUE"""),"-")</f>
        <v>-</v>
      </c>
    </row>
    <row r="265">
      <c r="A265" t="str">
        <f>IFERROR(__xludf.DUMMYFUNCTION("""COMPUTED_VALUE"""),"#264")</f>
        <v>#264</v>
      </c>
      <c r="B265" t="str">
        <f>IFERROR(__xludf.DUMMYFUNCTION("""COMPUTED_VALUE"""),"Philippe Gosselin")</f>
        <v>Philippe Gosselin</v>
      </c>
      <c r="C265">
        <f>IFERROR(__xludf.DUMMYFUNCTION("""COMPUTED_VALUE"""),17165.0)</f>
        <v>17165</v>
      </c>
      <c r="D265" t="str">
        <f>IFERROR(__xludf.DUMMYFUNCTION("""COMPUTED_VALUE"""),"-")</f>
        <v>-</v>
      </c>
      <c r="E265" t="str">
        <f>IFERROR(__xludf.DUMMYFUNCTION("""COMPUTED_VALUE"""),"-")</f>
        <v>-</v>
      </c>
      <c r="F265" t="str">
        <f>IFERROR(__xludf.DUMMYFUNCTION("""COMPUTED_VALUE"""),"-")</f>
        <v>-</v>
      </c>
      <c r="G265" t="str">
        <f>IFERROR(__xludf.DUMMYFUNCTION("""COMPUTED_VALUE"""),"-")</f>
        <v>-</v>
      </c>
      <c r="H265" t="str">
        <f>IFERROR(__xludf.DUMMYFUNCTION("""COMPUTED_VALUE"""),"-")</f>
        <v>-</v>
      </c>
      <c r="I265" t="str">
        <f>IFERROR(__xludf.DUMMYFUNCTION("""COMPUTED_VALUE"""),"-")</f>
        <v>-</v>
      </c>
      <c r="J265" t="str">
        <f>IFERROR(__xludf.DUMMYFUNCTION("""COMPUTED_VALUE"""),"-")</f>
        <v>-</v>
      </c>
      <c r="K265" t="str">
        <f>IFERROR(__xludf.DUMMYFUNCTION("""COMPUTED_VALUE"""),"-")</f>
        <v>-</v>
      </c>
      <c r="L265" t="str">
        <f>IFERROR(__xludf.DUMMYFUNCTION("""COMPUTED_VALUE"""),"-")</f>
        <v>-</v>
      </c>
      <c r="M265" t="str">
        <f>IFERROR(__xludf.DUMMYFUNCTION("""COMPUTED_VALUE"""),"-")</f>
        <v>-</v>
      </c>
      <c r="O265" t="str">
        <f>IFERROR(__xludf.DUMMYFUNCTION("""COMPUTED_VALUE"""),"#264")</f>
        <v>#264</v>
      </c>
      <c r="P265" t="str">
        <f>IFERROR(__xludf.DUMMYFUNCTION("""COMPUTED_VALUE"""),"Philippe Gosselin")</f>
        <v>Philippe Gosselin</v>
      </c>
      <c r="Q265">
        <f>IFERROR(__xludf.DUMMYFUNCTION("""COMPUTED_VALUE"""),17165.0)</f>
        <v>17165</v>
      </c>
      <c r="R265" t="str">
        <f>IFERROR(__xludf.DUMMYFUNCTION("""COMPUTED_VALUE"""),"-")</f>
        <v>-</v>
      </c>
      <c r="S265" t="str">
        <f>IFERROR(__xludf.DUMMYFUNCTION("""COMPUTED_VALUE"""),"-")</f>
        <v>-</v>
      </c>
      <c r="T265" t="str">
        <f>IFERROR(__xludf.DUMMYFUNCTION("""COMPUTED_VALUE"""),"-")</f>
        <v>-</v>
      </c>
      <c r="U265" t="str">
        <f>IFERROR(__xludf.DUMMYFUNCTION("""COMPUTED_VALUE"""),"-")</f>
        <v>-</v>
      </c>
      <c r="V265" t="str">
        <f>IFERROR(__xludf.DUMMYFUNCTION("""COMPUTED_VALUE"""),"-")</f>
        <v>-</v>
      </c>
      <c r="W265" t="str">
        <f>IFERROR(__xludf.DUMMYFUNCTION("""COMPUTED_VALUE"""),"-")</f>
        <v>-</v>
      </c>
      <c r="X265" t="str">
        <f>IFERROR(__xludf.DUMMYFUNCTION("""COMPUTED_VALUE"""),"-")</f>
        <v>-</v>
      </c>
      <c r="Y265" t="str">
        <f>IFERROR(__xludf.DUMMYFUNCTION("""COMPUTED_VALUE"""),"-")</f>
        <v>-</v>
      </c>
      <c r="Z265" t="str">
        <f>IFERROR(__xludf.DUMMYFUNCTION("""COMPUTED_VALUE"""),"-")</f>
        <v>-</v>
      </c>
      <c r="AA265" t="str">
        <f>IFERROR(__xludf.DUMMYFUNCTION("""COMPUTED_VALUE"""),"-")</f>
        <v>-</v>
      </c>
    </row>
    <row r="266">
      <c r="A266" t="str">
        <f>IFERROR(__xludf.DUMMYFUNCTION("""COMPUTED_VALUE"""),"#265")</f>
        <v>#265</v>
      </c>
      <c r="B266" t="str">
        <f>IFERROR(__xludf.DUMMYFUNCTION("""COMPUTED_VALUE"""),"Caroline Cayeux")</f>
        <v>Caroline Cayeux</v>
      </c>
      <c r="C266">
        <f>IFERROR(__xludf.DUMMYFUNCTION("""COMPUTED_VALUE"""),17077.0)</f>
        <v>17077</v>
      </c>
      <c r="D266" t="str">
        <f>IFERROR(__xludf.DUMMYFUNCTION("""COMPUTED_VALUE"""),"-")</f>
        <v>-</v>
      </c>
      <c r="E266" t="str">
        <f>IFERROR(__xludf.DUMMYFUNCTION("""COMPUTED_VALUE"""),"-")</f>
        <v>-</v>
      </c>
      <c r="F266" t="str">
        <f>IFERROR(__xludf.DUMMYFUNCTION("""COMPUTED_VALUE"""),"-")</f>
        <v>-</v>
      </c>
      <c r="G266" t="str">
        <f>IFERROR(__xludf.DUMMYFUNCTION("""COMPUTED_VALUE"""),"-")</f>
        <v>-</v>
      </c>
      <c r="H266" t="str">
        <f>IFERROR(__xludf.DUMMYFUNCTION("""COMPUTED_VALUE"""),"-")</f>
        <v>-</v>
      </c>
      <c r="I266" t="str">
        <f>IFERROR(__xludf.DUMMYFUNCTION("""COMPUTED_VALUE"""),"-")</f>
        <v>-</v>
      </c>
      <c r="J266" t="str">
        <f>IFERROR(__xludf.DUMMYFUNCTION("""COMPUTED_VALUE"""),"-")</f>
        <v>-</v>
      </c>
      <c r="K266" t="str">
        <f>IFERROR(__xludf.DUMMYFUNCTION("""COMPUTED_VALUE"""),"-")</f>
        <v>-</v>
      </c>
      <c r="L266" t="str">
        <f>IFERROR(__xludf.DUMMYFUNCTION("""COMPUTED_VALUE"""),"-")</f>
        <v>-</v>
      </c>
      <c r="M266" t="str">
        <f>IFERROR(__xludf.DUMMYFUNCTION("""COMPUTED_VALUE"""),"-")</f>
        <v>-</v>
      </c>
      <c r="O266" t="str">
        <f>IFERROR(__xludf.DUMMYFUNCTION("""COMPUTED_VALUE"""),"#265")</f>
        <v>#265</v>
      </c>
      <c r="P266" t="str">
        <f>IFERROR(__xludf.DUMMYFUNCTION("""COMPUTED_VALUE"""),"Caroline Cayeux")</f>
        <v>Caroline Cayeux</v>
      </c>
      <c r="Q266">
        <f>IFERROR(__xludf.DUMMYFUNCTION("""COMPUTED_VALUE"""),17077.0)</f>
        <v>17077</v>
      </c>
      <c r="R266" t="str">
        <f>IFERROR(__xludf.DUMMYFUNCTION("""COMPUTED_VALUE"""),"-")</f>
        <v>-</v>
      </c>
      <c r="S266" t="str">
        <f>IFERROR(__xludf.DUMMYFUNCTION("""COMPUTED_VALUE"""),"-")</f>
        <v>-</v>
      </c>
      <c r="T266" t="str">
        <f>IFERROR(__xludf.DUMMYFUNCTION("""COMPUTED_VALUE"""),"-")</f>
        <v>-</v>
      </c>
      <c r="U266" t="str">
        <f>IFERROR(__xludf.DUMMYFUNCTION("""COMPUTED_VALUE"""),"-")</f>
        <v>-</v>
      </c>
      <c r="V266" t="str">
        <f>IFERROR(__xludf.DUMMYFUNCTION("""COMPUTED_VALUE"""),"-")</f>
        <v>-</v>
      </c>
      <c r="W266" t="str">
        <f>IFERROR(__xludf.DUMMYFUNCTION("""COMPUTED_VALUE"""),"-")</f>
        <v>-</v>
      </c>
      <c r="X266" t="str">
        <f>IFERROR(__xludf.DUMMYFUNCTION("""COMPUTED_VALUE"""),"-")</f>
        <v>-</v>
      </c>
      <c r="Y266" t="str">
        <f>IFERROR(__xludf.DUMMYFUNCTION("""COMPUTED_VALUE"""),"-")</f>
        <v>-</v>
      </c>
      <c r="Z266" t="str">
        <f>IFERROR(__xludf.DUMMYFUNCTION("""COMPUTED_VALUE"""),"-")</f>
        <v>-</v>
      </c>
      <c r="AA266" t="str">
        <f>IFERROR(__xludf.DUMMYFUNCTION("""COMPUTED_VALUE"""),"-")</f>
        <v>-</v>
      </c>
    </row>
    <row r="267">
      <c r="A267" t="str">
        <f>IFERROR(__xludf.DUMMYFUNCTION("""COMPUTED_VALUE"""),"#266")</f>
        <v>#266</v>
      </c>
      <c r="B267" t="str">
        <f>IFERROR(__xludf.DUMMYFUNCTION("""COMPUTED_VALUE"""),"David Douillet")</f>
        <v>David Douillet</v>
      </c>
      <c r="C267">
        <f>IFERROR(__xludf.DUMMYFUNCTION("""COMPUTED_VALUE"""),16663.0)</f>
        <v>16663</v>
      </c>
      <c r="D267" t="str">
        <f>IFERROR(__xludf.DUMMYFUNCTION("""COMPUTED_VALUE"""),"-")</f>
        <v>-</v>
      </c>
      <c r="E267" t="str">
        <f>IFERROR(__xludf.DUMMYFUNCTION("""COMPUTED_VALUE"""),"-")</f>
        <v>-</v>
      </c>
      <c r="F267" t="str">
        <f>IFERROR(__xludf.DUMMYFUNCTION("""COMPUTED_VALUE"""),"-")</f>
        <v>-</v>
      </c>
      <c r="G267" t="str">
        <f>IFERROR(__xludf.DUMMYFUNCTION("""COMPUTED_VALUE"""),"-")</f>
        <v>-</v>
      </c>
      <c r="H267" t="str">
        <f>IFERROR(__xludf.DUMMYFUNCTION("""COMPUTED_VALUE"""),"-")</f>
        <v>-</v>
      </c>
      <c r="I267" t="str">
        <f>IFERROR(__xludf.DUMMYFUNCTION("""COMPUTED_VALUE"""),"-")</f>
        <v>-</v>
      </c>
      <c r="J267" t="str">
        <f>IFERROR(__xludf.DUMMYFUNCTION("""COMPUTED_VALUE"""),"-")</f>
        <v>-</v>
      </c>
      <c r="K267" t="str">
        <f>IFERROR(__xludf.DUMMYFUNCTION("""COMPUTED_VALUE"""),"-")</f>
        <v>-</v>
      </c>
      <c r="L267" t="str">
        <f>IFERROR(__xludf.DUMMYFUNCTION("""COMPUTED_VALUE"""),"-")</f>
        <v>-</v>
      </c>
      <c r="M267" t="str">
        <f>IFERROR(__xludf.DUMMYFUNCTION("""COMPUTED_VALUE"""),"-")</f>
        <v>-</v>
      </c>
      <c r="O267" t="str">
        <f>IFERROR(__xludf.DUMMYFUNCTION("""COMPUTED_VALUE"""),"#266")</f>
        <v>#266</v>
      </c>
      <c r="P267" t="str">
        <f>IFERROR(__xludf.DUMMYFUNCTION("""COMPUTED_VALUE"""),"David Douillet")</f>
        <v>David Douillet</v>
      </c>
      <c r="Q267">
        <f>IFERROR(__xludf.DUMMYFUNCTION("""COMPUTED_VALUE"""),16663.0)</f>
        <v>16663</v>
      </c>
      <c r="R267" t="str">
        <f>IFERROR(__xludf.DUMMYFUNCTION("""COMPUTED_VALUE"""),"-")</f>
        <v>-</v>
      </c>
      <c r="S267" t="str">
        <f>IFERROR(__xludf.DUMMYFUNCTION("""COMPUTED_VALUE"""),"-")</f>
        <v>-</v>
      </c>
      <c r="T267" t="str">
        <f>IFERROR(__xludf.DUMMYFUNCTION("""COMPUTED_VALUE"""),"-")</f>
        <v>-</v>
      </c>
      <c r="U267" t="str">
        <f>IFERROR(__xludf.DUMMYFUNCTION("""COMPUTED_VALUE"""),"-")</f>
        <v>-</v>
      </c>
      <c r="V267" t="str">
        <f>IFERROR(__xludf.DUMMYFUNCTION("""COMPUTED_VALUE"""),"-")</f>
        <v>-</v>
      </c>
      <c r="W267" t="str">
        <f>IFERROR(__xludf.DUMMYFUNCTION("""COMPUTED_VALUE"""),"-")</f>
        <v>-</v>
      </c>
      <c r="X267" t="str">
        <f>IFERROR(__xludf.DUMMYFUNCTION("""COMPUTED_VALUE"""),"-")</f>
        <v>-</v>
      </c>
      <c r="Y267" t="str">
        <f>IFERROR(__xludf.DUMMYFUNCTION("""COMPUTED_VALUE"""),"-")</f>
        <v>-</v>
      </c>
      <c r="Z267" t="str">
        <f>IFERROR(__xludf.DUMMYFUNCTION("""COMPUTED_VALUE"""),"-")</f>
        <v>-</v>
      </c>
      <c r="AA267" t="str">
        <f>IFERROR(__xludf.DUMMYFUNCTION("""COMPUTED_VALUE"""),"-")</f>
        <v>-</v>
      </c>
    </row>
    <row r="268">
      <c r="A268" t="str">
        <f>IFERROR(__xludf.DUMMYFUNCTION("""COMPUTED_VALUE"""),"#267")</f>
        <v>#267</v>
      </c>
      <c r="B268" t="str">
        <f>IFERROR(__xludf.DUMMYFUNCTION("""COMPUTED_VALUE"""),"Julien Leonardelli")</f>
        <v>Julien Leonardelli</v>
      </c>
      <c r="C268">
        <f>IFERROR(__xludf.DUMMYFUNCTION("""COMPUTED_VALUE"""),16617.0)</f>
        <v>16617</v>
      </c>
      <c r="D268" t="str">
        <f>IFERROR(__xludf.DUMMYFUNCTION("""COMPUTED_VALUE"""),"-")</f>
        <v>-</v>
      </c>
      <c r="E268" t="str">
        <f>IFERROR(__xludf.DUMMYFUNCTION("""COMPUTED_VALUE"""),"-")</f>
        <v>-</v>
      </c>
      <c r="F268" t="str">
        <f>IFERROR(__xludf.DUMMYFUNCTION("""COMPUTED_VALUE"""),"-")</f>
        <v>-</v>
      </c>
      <c r="G268" t="str">
        <f>IFERROR(__xludf.DUMMYFUNCTION("""COMPUTED_VALUE"""),"-")</f>
        <v>-</v>
      </c>
      <c r="H268" t="str">
        <f>IFERROR(__xludf.DUMMYFUNCTION("""COMPUTED_VALUE"""),"-")</f>
        <v>-</v>
      </c>
      <c r="I268" t="str">
        <f>IFERROR(__xludf.DUMMYFUNCTION("""COMPUTED_VALUE"""),"-")</f>
        <v>-</v>
      </c>
      <c r="J268" t="str">
        <f>IFERROR(__xludf.DUMMYFUNCTION("""COMPUTED_VALUE"""),"-")</f>
        <v>-</v>
      </c>
      <c r="K268" t="str">
        <f>IFERROR(__xludf.DUMMYFUNCTION("""COMPUTED_VALUE"""),"-")</f>
        <v>-</v>
      </c>
      <c r="L268" t="str">
        <f>IFERROR(__xludf.DUMMYFUNCTION("""COMPUTED_VALUE"""),"-")</f>
        <v>-</v>
      </c>
      <c r="M268" t="str">
        <f>IFERROR(__xludf.DUMMYFUNCTION("""COMPUTED_VALUE"""),"-")</f>
        <v>-</v>
      </c>
      <c r="O268" t="str">
        <f>IFERROR(__xludf.DUMMYFUNCTION("""COMPUTED_VALUE"""),"#267")</f>
        <v>#267</v>
      </c>
      <c r="P268" t="str">
        <f>IFERROR(__xludf.DUMMYFUNCTION("""COMPUTED_VALUE"""),"Julien Leonardelli")</f>
        <v>Julien Leonardelli</v>
      </c>
      <c r="Q268">
        <f>IFERROR(__xludf.DUMMYFUNCTION("""COMPUTED_VALUE"""),16617.0)</f>
        <v>16617</v>
      </c>
      <c r="R268" t="str">
        <f>IFERROR(__xludf.DUMMYFUNCTION("""COMPUTED_VALUE"""),"-")</f>
        <v>-</v>
      </c>
      <c r="S268" t="str">
        <f>IFERROR(__xludf.DUMMYFUNCTION("""COMPUTED_VALUE"""),"-")</f>
        <v>-</v>
      </c>
      <c r="T268" t="str">
        <f>IFERROR(__xludf.DUMMYFUNCTION("""COMPUTED_VALUE"""),"-")</f>
        <v>-</v>
      </c>
      <c r="U268" t="str">
        <f>IFERROR(__xludf.DUMMYFUNCTION("""COMPUTED_VALUE"""),"-")</f>
        <v>-</v>
      </c>
      <c r="V268" t="str">
        <f>IFERROR(__xludf.DUMMYFUNCTION("""COMPUTED_VALUE"""),"-")</f>
        <v>-</v>
      </c>
      <c r="W268" t="str">
        <f>IFERROR(__xludf.DUMMYFUNCTION("""COMPUTED_VALUE"""),"-")</f>
        <v>-</v>
      </c>
      <c r="X268" t="str">
        <f>IFERROR(__xludf.DUMMYFUNCTION("""COMPUTED_VALUE"""),"-")</f>
        <v>-</v>
      </c>
      <c r="Y268" t="str">
        <f>IFERROR(__xludf.DUMMYFUNCTION("""COMPUTED_VALUE"""),"-")</f>
        <v>-</v>
      </c>
      <c r="Z268" t="str">
        <f>IFERROR(__xludf.DUMMYFUNCTION("""COMPUTED_VALUE"""),"-")</f>
        <v>-</v>
      </c>
      <c r="AA268" t="str">
        <f>IFERROR(__xludf.DUMMYFUNCTION("""COMPUTED_VALUE"""),"-")</f>
        <v>-</v>
      </c>
    </row>
    <row r="269">
      <c r="A269" t="str">
        <f>IFERROR(__xludf.DUMMYFUNCTION("""COMPUTED_VALUE"""),"#268")</f>
        <v>#268</v>
      </c>
      <c r="B269" t="str">
        <f>IFERROR(__xludf.DUMMYFUNCTION("""COMPUTED_VALUE"""),"Denis Baupin")</f>
        <v>Denis Baupin</v>
      </c>
      <c r="C269">
        <f>IFERROR(__xludf.DUMMYFUNCTION("""COMPUTED_VALUE"""),16605.0)</f>
        <v>16605</v>
      </c>
      <c r="D269" t="str">
        <f>IFERROR(__xludf.DUMMYFUNCTION("""COMPUTED_VALUE"""),"-")</f>
        <v>-</v>
      </c>
      <c r="E269" t="str">
        <f>IFERROR(__xludf.DUMMYFUNCTION("""COMPUTED_VALUE"""),"-")</f>
        <v>-</v>
      </c>
      <c r="F269" t="str">
        <f>IFERROR(__xludf.DUMMYFUNCTION("""COMPUTED_VALUE"""),"-")</f>
        <v>-</v>
      </c>
      <c r="G269" t="str">
        <f>IFERROR(__xludf.DUMMYFUNCTION("""COMPUTED_VALUE"""),"-")</f>
        <v>-</v>
      </c>
      <c r="H269" t="str">
        <f>IFERROR(__xludf.DUMMYFUNCTION("""COMPUTED_VALUE"""),"-")</f>
        <v>-</v>
      </c>
      <c r="I269" t="str">
        <f>IFERROR(__xludf.DUMMYFUNCTION("""COMPUTED_VALUE"""),"-")</f>
        <v>-</v>
      </c>
      <c r="J269" t="str">
        <f>IFERROR(__xludf.DUMMYFUNCTION("""COMPUTED_VALUE"""),"-")</f>
        <v>-</v>
      </c>
      <c r="K269" t="str">
        <f>IFERROR(__xludf.DUMMYFUNCTION("""COMPUTED_VALUE"""),"-")</f>
        <v>-</v>
      </c>
      <c r="L269" t="str">
        <f>IFERROR(__xludf.DUMMYFUNCTION("""COMPUTED_VALUE"""),"-")</f>
        <v>-</v>
      </c>
      <c r="M269" t="str">
        <f>IFERROR(__xludf.DUMMYFUNCTION("""COMPUTED_VALUE"""),"-")</f>
        <v>-</v>
      </c>
      <c r="O269" t="str">
        <f>IFERROR(__xludf.DUMMYFUNCTION("""COMPUTED_VALUE"""),"#268")</f>
        <v>#268</v>
      </c>
      <c r="P269" t="str">
        <f>IFERROR(__xludf.DUMMYFUNCTION("""COMPUTED_VALUE"""),"Denis Baupin")</f>
        <v>Denis Baupin</v>
      </c>
      <c r="Q269">
        <f>IFERROR(__xludf.DUMMYFUNCTION("""COMPUTED_VALUE"""),16605.0)</f>
        <v>16605</v>
      </c>
      <c r="R269" t="str">
        <f>IFERROR(__xludf.DUMMYFUNCTION("""COMPUTED_VALUE"""),"-")</f>
        <v>-</v>
      </c>
      <c r="S269" t="str">
        <f>IFERROR(__xludf.DUMMYFUNCTION("""COMPUTED_VALUE"""),"-")</f>
        <v>-</v>
      </c>
      <c r="T269" t="str">
        <f>IFERROR(__xludf.DUMMYFUNCTION("""COMPUTED_VALUE"""),"-")</f>
        <v>-</v>
      </c>
      <c r="U269" t="str">
        <f>IFERROR(__xludf.DUMMYFUNCTION("""COMPUTED_VALUE"""),"-")</f>
        <v>-</v>
      </c>
      <c r="V269" t="str">
        <f>IFERROR(__xludf.DUMMYFUNCTION("""COMPUTED_VALUE"""),"-")</f>
        <v>-</v>
      </c>
      <c r="W269" t="str">
        <f>IFERROR(__xludf.DUMMYFUNCTION("""COMPUTED_VALUE"""),"-")</f>
        <v>-</v>
      </c>
      <c r="X269" t="str">
        <f>IFERROR(__xludf.DUMMYFUNCTION("""COMPUTED_VALUE"""),"-")</f>
        <v>-</v>
      </c>
      <c r="Y269" t="str">
        <f>IFERROR(__xludf.DUMMYFUNCTION("""COMPUTED_VALUE"""),"-")</f>
        <v>-</v>
      </c>
      <c r="Z269" t="str">
        <f>IFERROR(__xludf.DUMMYFUNCTION("""COMPUTED_VALUE"""),"-")</f>
        <v>-</v>
      </c>
      <c r="AA269" t="str">
        <f>IFERROR(__xludf.DUMMYFUNCTION("""COMPUTED_VALUE"""),"-")</f>
        <v>-</v>
      </c>
    </row>
    <row r="270">
      <c r="A270" t="str">
        <f>IFERROR(__xludf.DUMMYFUNCTION("""COMPUTED_VALUE"""),"#269")</f>
        <v>#269</v>
      </c>
      <c r="B270" t="str">
        <f>IFERROR(__xludf.DUMMYFUNCTION("""COMPUTED_VALUE"""),"Régis Juanico")</f>
        <v>Régis Juanico</v>
      </c>
      <c r="C270">
        <f>IFERROR(__xludf.DUMMYFUNCTION("""COMPUTED_VALUE"""),16534.0)</f>
        <v>16534</v>
      </c>
      <c r="D270" t="str">
        <f>IFERROR(__xludf.DUMMYFUNCTION("""COMPUTED_VALUE"""),"-")</f>
        <v>-</v>
      </c>
      <c r="E270" t="str">
        <f>IFERROR(__xludf.DUMMYFUNCTION("""COMPUTED_VALUE"""),"-")</f>
        <v>-</v>
      </c>
      <c r="F270" t="str">
        <f>IFERROR(__xludf.DUMMYFUNCTION("""COMPUTED_VALUE"""),"-")</f>
        <v>-</v>
      </c>
      <c r="G270" t="str">
        <f>IFERROR(__xludf.DUMMYFUNCTION("""COMPUTED_VALUE"""),"-")</f>
        <v>-</v>
      </c>
      <c r="H270" t="str">
        <f>IFERROR(__xludf.DUMMYFUNCTION("""COMPUTED_VALUE"""),"-")</f>
        <v>-</v>
      </c>
      <c r="I270" t="str">
        <f>IFERROR(__xludf.DUMMYFUNCTION("""COMPUTED_VALUE"""),"-")</f>
        <v>-</v>
      </c>
      <c r="J270" t="str">
        <f>IFERROR(__xludf.DUMMYFUNCTION("""COMPUTED_VALUE"""),"-")</f>
        <v>-</v>
      </c>
      <c r="K270" t="str">
        <f>IFERROR(__xludf.DUMMYFUNCTION("""COMPUTED_VALUE"""),"-")</f>
        <v>-</v>
      </c>
      <c r="L270" t="str">
        <f>IFERROR(__xludf.DUMMYFUNCTION("""COMPUTED_VALUE"""),"-")</f>
        <v>-</v>
      </c>
      <c r="M270" t="str">
        <f>IFERROR(__xludf.DUMMYFUNCTION("""COMPUTED_VALUE"""),"-")</f>
        <v>-</v>
      </c>
      <c r="O270" t="str">
        <f>IFERROR(__xludf.DUMMYFUNCTION("""COMPUTED_VALUE"""),"#269")</f>
        <v>#269</v>
      </c>
      <c r="P270" t="str">
        <f>IFERROR(__xludf.DUMMYFUNCTION("""COMPUTED_VALUE"""),"Régis Juanico")</f>
        <v>Régis Juanico</v>
      </c>
      <c r="Q270">
        <f>IFERROR(__xludf.DUMMYFUNCTION("""COMPUTED_VALUE"""),16534.0)</f>
        <v>16534</v>
      </c>
      <c r="R270" t="str">
        <f>IFERROR(__xludf.DUMMYFUNCTION("""COMPUTED_VALUE"""),"-")</f>
        <v>-</v>
      </c>
      <c r="S270" t="str">
        <f>IFERROR(__xludf.DUMMYFUNCTION("""COMPUTED_VALUE"""),"-")</f>
        <v>-</v>
      </c>
      <c r="T270" t="str">
        <f>IFERROR(__xludf.DUMMYFUNCTION("""COMPUTED_VALUE"""),"-")</f>
        <v>-</v>
      </c>
      <c r="U270" t="str">
        <f>IFERROR(__xludf.DUMMYFUNCTION("""COMPUTED_VALUE"""),"-")</f>
        <v>-</v>
      </c>
      <c r="V270" t="str">
        <f>IFERROR(__xludf.DUMMYFUNCTION("""COMPUTED_VALUE"""),"-")</f>
        <v>-</v>
      </c>
      <c r="W270" t="str">
        <f>IFERROR(__xludf.DUMMYFUNCTION("""COMPUTED_VALUE"""),"-")</f>
        <v>-</v>
      </c>
      <c r="X270" t="str">
        <f>IFERROR(__xludf.DUMMYFUNCTION("""COMPUTED_VALUE"""),"-")</f>
        <v>-</v>
      </c>
      <c r="Y270" t="str">
        <f>IFERROR(__xludf.DUMMYFUNCTION("""COMPUTED_VALUE"""),"-")</f>
        <v>-</v>
      </c>
      <c r="Z270" t="str">
        <f>IFERROR(__xludf.DUMMYFUNCTION("""COMPUTED_VALUE"""),"-")</f>
        <v>-</v>
      </c>
      <c r="AA270" t="str">
        <f>IFERROR(__xludf.DUMMYFUNCTION("""COMPUTED_VALUE"""),"-")</f>
        <v>-</v>
      </c>
    </row>
    <row r="271">
      <c r="A271" t="str">
        <f>IFERROR(__xludf.DUMMYFUNCTION("""COMPUTED_VALUE"""),"#270")</f>
        <v>#270</v>
      </c>
      <c r="B271" t="str">
        <f>IFERROR(__xludf.DUMMYFUNCTION("""COMPUTED_VALUE"""),"Juliette Méadel")</f>
        <v>Juliette Méadel</v>
      </c>
      <c r="C271">
        <f>IFERROR(__xludf.DUMMYFUNCTION("""COMPUTED_VALUE"""),16513.0)</f>
        <v>16513</v>
      </c>
      <c r="D271" t="str">
        <f>IFERROR(__xludf.DUMMYFUNCTION("""COMPUTED_VALUE"""),"-")</f>
        <v>-</v>
      </c>
      <c r="E271" t="str">
        <f>IFERROR(__xludf.DUMMYFUNCTION("""COMPUTED_VALUE"""),"-")</f>
        <v>-</v>
      </c>
      <c r="F271" t="str">
        <f>IFERROR(__xludf.DUMMYFUNCTION("""COMPUTED_VALUE"""),"-")</f>
        <v>-</v>
      </c>
      <c r="G271" t="str">
        <f>IFERROR(__xludf.DUMMYFUNCTION("""COMPUTED_VALUE"""),"-")</f>
        <v>-</v>
      </c>
      <c r="H271" t="str">
        <f>IFERROR(__xludf.DUMMYFUNCTION("""COMPUTED_VALUE"""),"-")</f>
        <v>-</v>
      </c>
      <c r="I271" t="str">
        <f>IFERROR(__xludf.DUMMYFUNCTION("""COMPUTED_VALUE"""),"-")</f>
        <v>-</v>
      </c>
      <c r="J271" t="str">
        <f>IFERROR(__xludf.DUMMYFUNCTION("""COMPUTED_VALUE"""),"-")</f>
        <v>-</v>
      </c>
      <c r="K271" t="str">
        <f>IFERROR(__xludf.DUMMYFUNCTION("""COMPUTED_VALUE"""),"-")</f>
        <v>-</v>
      </c>
      <c r="L271" t="str">
        <f>IFERROR(__xludf.DUMMYFUNCTION("""COMPUTED_VALUE"""),"-")</f>
        <v>-</v>
      </c>
      <c r="M271" t="str">
        <f>IFERROR(__xludf.DUMMYFUNCTION("""COMPUTED_VALUE"""),"-")</f>
        <v>-</v>
      </c>
      <c r="O271" t="str">
        <f>IFERROR(__xludf.DUMMYFUNCTION("""COMPUTED_VALUE"""),"#270")</f>
        <v>#270</v>
      </c>
      <c r="P271" t="str">
        <f>IFERROR(__xludf.DUMMYFUNCTION("""COMPUTED_VALUE"""),"Juliette Méadel")</f>
        <v>Juliette Méadel</v>
      </c>
      <c r="Q271">
        <f>IFERROR(__xludf.DUMMYFUNCTION("""COMPUTED_VALUE"""),16513.0)</f>
        <v>16513</v>
      </c>
      <c r="R271" t="str">
        <f>IFERROR(__xludf.DUMMYFUNCTION("""COMPUTED_VALUE"""),"-")</f>
        <v>-</v>
      </c>
      <c r="S271" t="str">
        <f>IFERROR(__xludf.DUMMYFUNCTION("""COMPUTED_VALUE"""),"-")</f>
        <v>-</v>
      </c>
      <c r="T271" t="str">
        <f>IFERROR(__xludf.DUMMYFUNCTION("""COMPUTED_VALUE"""),"-")</f>
        <v>-</v>
      </c>
      <c r="U271" t="str">
        <f>IFERROR(__xludf.DUMMYFUNCTION("""COMPUTED_VALUE"""),"-")</f>
        <v>-</v>
      </c>
      <c r="V271" t="str">
        <f>IFERROR(__xludf.DUMMYFUNCTION("""COMPUTED_VALUE"""),"-")</f>
        <v>-</v>
      </c>
      <c r="W271" t="str">
        <f>IFERROR(__xludf.DUMMYFUNCTION("""COMPUTED_VALUE"""),"-")</f>
        <v>-</v>
      </c>
      <c r="X271" t="str">
        <f>IFERROR(__xludf.DUMMYFUNCTION("""COMPUTED_VALUE"""),"-")</f>
        <v>-</v>
      </c>
      <c r="Y271" t="str">
        <f>IFERROR(__xludf.DUMMYFUNCTION("""COMPUTED_VALUE"""),"-")</f>
        <v>-</v>
      </c>
      <c r="Z271" t="str">
        <f>IFERROR(__xludf.DUMMYFUNCTION("""COMPUTED_VALUE"""),"-")</f>
        <v>-</v>
      </c>
      <c r="AA271" t="str">
        <f>IFERROR(__xludf.DUMMYFUNCTION("""COMPUTED_VALUE"""),"-")</f>
        <v>-</v>
      </c>
    </row>
    <row r="272">
      <c r="A272" t="str">
        <f>IFERROR(__xludf.DUMMYFUNCTION("""COMPUTED_VALUE"""),"#271")</f>
        <v>#271</v>
      </c>
      <c r="B272" t="str">
        <f>IFERROR(__xludf.DUMMYFUNCTION("""COMPUTED_VALUE"""),"Jean Michel Billaut")</f>
        <v>Jean Michel Billaut</v>
      </c>
      <c r="C272">
        <f>IFERROR(__xludf.DUMMYFUNCTION("""COMPUTED_VALUE"""),16139.0)</f>
        <v>16139</v>
      </c>
      <c r="D272" t="str">
        <f>IFERROR(__xludf.DUMMYFUNCTION("""COMPUTED_VALUE"""),"-")</f>
        <v>-</v>
      </c>
      <c r="E272" t="str">
        <f>IFERROR(__xludf.DUMMYFUNCTION("""COMPUTED_VALUE"""),"-")</f>
        <v>-</v>
      </c>
      <c r="F272" t="str">
        <f>IFERROR(__xludf.DUMMYFUNCTION("""COMPUTED_VALUE"""),"-")</f>
        <v>-</v>
      </c>
      <c r="G272" t="str">
        <f>IFERROR(__xludf.DUMMYFUNCTION("""COMPUTED_VALUE"""),"-")</f>
        <v>-</v>
      </c>
      <c r="H272" t="str">
        <f>IFERROR(__xludf.DUMMYFUNCTION("""COMPUTED_VALUE"""),"-")</f>
        <v>-</v>
      </c>
      <c r="I272" t="str">
        <f>IFERROR(__xludf.DUMMYFUNCTION("""COMPUTED_VALUE"""),"-")</f>
        <v>-</v>
      </c>
      <c r="J272" t="str">
        <f>IFERROR(__xludf.DUMMYFUNCTION("""COMPUTED_VALUE"""),"-")</f>
        <v>-</v>
      </c>
      <c r="K272" t="str">
        <f>IFERROR(__xludf.DUMMYFUNCTION("""COMPUTED_VALUE"""),"-")</f>
        <v>-</v>
      </c>
      <c r="L272" t="str">
        <f>IFERROR(__xludf.DUMMYFUNCTION("""COMPUTED_VALUE"""),"-")</f>
        <v>-</v>
      </c>
      <c r="M272" t="str">
        <f>IFERROR(__xludf.DUMMYFUNCTION("""COMPUTED_VALUE"""),"-")</f>
        <v>-</v>
      </c>
      <c r="O272" t="str">
        <f>IFERROR(__xludf.DUMMYFUNCTION("""COMPUTED_VALUE"""),"#271")</f>
        <v>#271</v>
      </c>
      <c r="P272" t="str">
        <f>IFERROR(__xludf.DUMMYFUNCTION("""COMPUTED_VALUE"""),"Jean Michel Billaut")</f>
        <v>Jean Michel Billaut</v>
      </c>
      <c r="Q272">
        <f>IFERROR(__xludf.DUMMYFUNCTION("""COMPUTED_VALUE"""),16139.0)</f>
        <v>16139</v>
      </c>
      <c r="R272" t="str">
        <f>IFERROR(__xludf.DUMMYFUNCTION("""COMPUTED_VALUE"""),"-")</f>
        <v>-</v>
      </c>
      <c r="S272" t="str">
        <f>IFERROR(__xludf.DUMMYFUNCTION("""COMPUTED_VALUE"""),"-")</f>
        <v>-</v>
      </c>
      <c r="T272" t="str">
        <f>IFERROR(__xludf.DUMMYFUNCTION("""COMPUTED_VALUE"""),"-")</f>
        <v>-</v>
      </c>
      <c r="U272" t="str">
        <f>IFERROR(__xludf.DUMMYFUNCTION("""COMPUTED_VALUE"""),"-")</f>
        <v>-</v>
      </c>
      <c r="V272" t="str">
        <f>IFERROR(__xludf.DUMMYFUNCTION("""COMPUTED_VALUE"""),"-")</f>
        <v>-</v>
      </c>
      <c r="W272" t="str">
        <f>IFERROR(__xludf.DUMMYFUNCTION("""COMPUTED_VALUE"""),"-")</f>
        <v>-</v>
      </c>
      <c r="X272" t="str">
        <f>IFERROR(__xludf.DUMMYFUNCTION("""COMPUTED_VALUE"""),"-")</f>
        <v>-</v>
      </c>
      <c r="Y272" t="str">
        <f>IFERROR(__xludf.DUMMYFUNCTION("""COMPUTED_VALUE"""),"-")</f>
        <v>-</v>
      </c>
      <c r="Z272" t="str">
        <f>IFERROR(__xludf.DUMMYFUNCTION("""COMPUTED_VALUE"""),"-")</f>
        <v>-</v>
      </c>
      <c r="AA272" t="str">
        <f>IFERROR(__xludf.DUMMYFUNCTION("""COMPUTED_VALUE"""),"-")</f>
        <v>-</v>
      </c>
    </row>
    <row r="273">
      <c r="A273" t="str">
        <f>IFERROR(__xludf.DUMMYFUNCTION("""COMPUTED_VALUE"""),"#272")</f>
        <v>#272</v>
      </c>
      <c r="B273" t="str">
        <f>IFERROR(__xludf.DUMMYFUNCTION("""COMPUTED_VALUE"""),"Bruno Bilde")</f>
        <v>Bruno Bilde</v>
      </c>
      <c r="C273">
        <f>IFERROR(__xludf.DUMMYFUNCTION("""COMPUTED_VALUE"""),15656.0)</f>
        <v>15656</v>
      </c>
      <c r="D273" t="str">
        <f>IFERROR(__xludf.DUMMYFUNCTION("""COMPUTED_VALUE"""),"-")</f>
        <v>-</v>
      </c>
      <c r="E273" t="str">
        <f>IFERROR(__xludf.DUMMYFUNCTION("""COMPUTED_VALUE"""),"-")</f>
        <v>-</v>
      </c>
      <c r="F273" t="str">
        <f>IFERROR(__xludf.DUMMYFUNCTION("""COMPUTED_VALUE"""),"-")</f>
        <v>-</v>
      </c>
      <c r="G273" t="str">
        <f>IFERROR(__xludf.DUMMYFUNCTION("""COMPUTED_VALUE"""),"-")</f>
        <v>-</v>
      </c>
      <c r="H273" t="str">
        <f>IFERROR(__xludf.DUMMYFUNCTION("""COMPUTED_VALUE"""),"-")</f>
        <v>-</v>
      </c>
      <c r="I273" t="str">
        <f>IFERROR(__xludf.DUMMYFUNCTION("""COMPUTED_VALUE"""),"-")</f>
        <v>-</v>
      </c>
      <c r="J273" t="str">
        <f>IFERROR(__xludf.DUMMYFUNCTION("""COMPUTED_VALUE"""),"-")</f>
        <v>-</v>
      </c>
      <c r="K273" t="str">
        <f>IFERROR(__xludf.DUMMYFUNCTION("""COMPUTED_VALUE"""),"-")</f>
        <v>-</v>
      </c>
      <c r="L273" t="str">
        <f>IFERROR(__xludf.DUMMYFUNCTION("""COMPUTED_VALUE"""),"-")</f>
        <v>-</v>
      </c>
      <c r="M273" t="str">
        <f>IFERROR(__xludf.DUMMYFUNCTION("""COMPUTED_VALUE"""),"-")</f>
        <v>-</v>
      </c>
      <c r="O273" t="str">
        <f>IFERROR(__xludf.DUMMYFUNCTION("""COMPUTED_VALUE"""),"#272")</f>
        <v>#272</v>
      </c>
      <c r="P273" t="str">
        <f>IFERROR(__xludf.DUMMYFUNCTION("""COMPUTED_VALUE"""),"Bruno Bilde")</f>
        <v>Bruno Bilde</v>
      </c>
      <c r="Q273">
        <f>IFERROR(__xludf.DUMMYFUNCTION("""COMPUTED_VALUE"""),15656.0)</f>
        <v>15656</v>
      </c>
      <c r="R273" t="str">
        <f>IFERROR(__xludf.DUMMYFUNCTION("""COMPUTED_VALUE"""),"-")</f>
        <v>-</v>
      </c>
      <c r="S273" t="str">
        <f>IFERROR(__xludf.DUMMYFUNCTION("""COMPUTED_VALUE"""),"-")</f>
        <v>-</v>
      </c>
      <c r="T273" t="str">
        <f>IFERROR(__xludf.DUMMYFUNCTION("""COMPUTED_VALUE"""),"-")</f>
        <v>-</v>
      </c>
      <c r="U273" t="str">
        <f>IFERROR(__xludf.DUMMYFUNCTION("""COMPUTED_VALUE"""),"-")</f>
        <v>-</v>
      </c>
      <c r="V273" t="str">
        <f>IFERROR(__xludf.DUMMYFUNCTION("""COMPUTED_VALUE"""),"-")</f>
        <v>-</v>
      </c>
      <c r="W273" t="str">
        <f>IFERROR(__xludf.DUMMYFUNCTION("""COMPUTED_VALUE"""),"-")</f>
        <v>-</v>
      </c>
      <c r="X273" t="str">
        <f>IFERROR(__xludf.DUMMYFUNCTION("""COMPUTED_VALUE"""),"-")</f>
        <v>-</v>
      </c>
      <c r="Y273" t="str">
        <f>IFERROR(__xludf.DUMMYFUNCTION("""COMPUTED_VALUE"""),"-")</f>
        <v>-</v>
      </c>
      <c r="Z273" t="str">
        <f>IFERROR(__xludf.DUMMYFUNCTION("""COMPUTED_VALUE"""),"-")</f>
        <v>-</v>
      </c>
      <c r="AA273" t="str">
        <f>IFERROR(__xludf.DUMMYFUNCTION("""COMPUTED_VALUE"""),"-")</f>
        <v>-</v>
      </c>
    </row>
    <row r="274">
      <c r="A274" t="str">
        <f>IFERROR(__xludf.DUMMYFUNCTION("""COMPUTED_VALUE"""),"#273")</f>
        <v>#273</v>
      </c>
      <c r="B274" t="str">
        <f>IFERROR(__xludf.DUMMYFUNCTION("""COMPUTED_VALUE"""),"Bruno Questel")</f>
        <v>Bruno Questel</v>
      </c>
      <c r="C274">
        <f>IFERROR(__xludf.DUMMYFUNCTION("""COMPUTED_VALUE"""),15414.0)</f>
        <v>15414</v>
      </c>
      <c r="D274" t="str">
        <f>IFERROR(__xludf.DUMMYFUNCTION("""COMPUTED_VALUE"""),"-")</f>
        <v>-</v>
      </c>
      <c r="E274" t="str">
        <f>IFERROR(__xludf.DUMMYFUNCTION("""COMPUTED_VALUE"""),"-")</f>
        <v>-</v>
      </c>
      <c r="F274" t="str">
        <f>IFERROR(__xludf.DUMMYFUNCTION("""COMPUTED_VALUE"""),"-")</f>
        <v>-</v>
      </c>
      <c r="G274" t="str">
        <f>IFERROR(__xludf.DUMMYFUNCTION("""COMPUTED_VALUE"""),"-")</f>
        <v>-</v>
      </c>
      <c r="H274" t="str">
        <f>IFERROR(__xludf.DUMMYFUNCTION("""COMPUTED_VALUE"""),"-")</f>
        <v>-</v>
      </c>
      <c r="I274" t="str">
        <f>IFERROR(__xludf.DUMMYFUNCTION("""COMPUTED_VALUE"""),"-")</f>
        <v>-</v>
      </c>
      <c r="J274" t="str">
        <f>IFERROR(__xludf.DUMMYFUNCTION("""COMPUTED_VALUE"""),"-")</f>
        <v>-</v>
      </c>
      <c r="K274" t="str">
        <f>IFERROR(__xludf.DUMMYFUNCTION("""COMPUTED_VALUE"""),"-")</f>
        <v>-</v>
      </c>
      <c r="L274" t="str">
        <f>IFERROR(__xludf.DUMMYFUNCTION("""COMPUTED_VALUE"""),"-")</f>
        <v>-</v>
      </c>
      <c r="M274" t="str">
        <f>IFERROR(__xludf.DUMMYFUNCTION("""COMPUTED_VALUE"""),"-")</f>
        <v>-</v>
      </c>
      <c r="O274" t="str">
        <f>IFERROR(__xludf.DUMMYFUNCTION("""COMPUTED_VALUE"""),"#273")</f>
        <v>#273</v>
      </c>
      <c r="P274" t="str">
        <f>IFERROR(__xludf.DUMMYFUNCTION("""COMPUTED_VALUE"""),"Bruno Questel")</f>
        <v>Bruno Questel</v>
      </c>
      <c r="Q274">
        <f>IFERROR(__xludf.DUMMYFUNCTION("""COMPUTED_VALUE"""),15414.0)</f>
        <v>15414</v>
      </c>
      <c r="R274" t="str">
        <f>IFERROR(__xludf.DUMMYFUNCTION("""COMPUTED_VALUE"""),"-")</f>
        <v>-</v>
      </c>
      <c r="S274" t="str">
        <f>IFERROR(__xludf.DUMMYFUNCTION("""COMPUTED_VALUE"""),"-")</f>
        <v>-</v>
      </c>
      <c r="T274" t="str">
        <f>IFERROR(__xludf.DUMMYFUNCTION("""COMPUTED_VALUE"""),"-")</f>
        <v>-</v>
      </c>
      <c r="U274" t="str">
        <f>IFERROR(__xludf.DUMMYFUNCTION("""COMPUTED_VALUE"""),"-")</f>
        <v>-</v>
      </c>
      <c r="V274" t="str">
        <f>IFERROR(__xludf.DUMMYFUNCTION("""COMPUTED_VALUE"""),"-")</f>
        <v>-</v>
      </c>
      <c r="W274" t="str">
        <f>IFERROR(__xludf.DUMMYFUNCTION("""COMPUTED_VALUE"""),"-")</f>
        <v>-</v>
      </c>
      <c r="X274" t="str">
        <f>IFERROR(__xludf.DUMMYFUNCTION("""COMPUTED_VALUE"""),"-")</f>
        <v>-</v>
      </c>
      <c r="Y274" t="str">
        <f>IFERROR(__xludf.DUMMYFUNCTION("""COMPUTED_VALUE"""),"-")</f>
        <v>-</v>
      </c>
      <c r="Z274" t="str">
        <f>IFERROR(__xludf.DUMMYFUNCTION("""COMPUTED_VALUE"""),"-")</f>
        <v>-</v>
      </c>
      <c r="AA274" t="str">
        <f>IFERROR(__xludf.DUMMYFUNCTION("""COMPUTED_VALUE"""),"-")</f>
        <v>-</v>
      </c>
    </row>
    <row r="275">
      <c r="A275" t="str">
        <f>IFERROR(__xludf.DUMMYFUNCTION("""COMPUTED_VALUE"""),"#274")</f>
        <v>#274</v>
      </c>
      <c r="B275" t="str">
        <f>IFERROR(__xludf.DUMMYFUNCTION("""COMPUTED_VALUE"""),"Fiona Lazaar")</f>
        <v>Fiona Lazaar</v>
      </c>
      <c r="C275">
        <f>IFERROR(__xludf.DUMMYFUNCTION("""COMPUTED_VALUE"""),15314.0)</f>
        <v>15314</v>
      </c>
      <c r="D275" t="str">
        <f>IFERROR(__xludf.DUMMYFUNCTION("""COMPUTED_VALUE"""),"-")</f>
        <v>-</v>
      </c>
      <c r="E275" t="str">
        <f>IFERROR(__xludf.DUMMYFUNCTION("""COMPUTED_VALUE"""),"-")</f>
        <v>-</v>
      </c>
      <c r="F275" t="str">
        <f>IFERROR(__xludf.DUMMYFUNCTION("""COMPUTED_VALUE"""),"-")</f>
        <v>-</v>
      </c>
      <c r="G275" t="str">
        <f>IFERROR(__xludf.DUMMYFUNCTION("""COMPUTED_VALUE"""),"-")</f>
        <v>-</v>
      </c>
      <c r="H275" t="str">
        <f>IFERROR(__xludf.DUMMYFUNCTION("""COMPUTED_VALUE"""),"-")</f>
        <v>-</v>
      </c>
      <c r="I275" t="str">
        <f>IFERROR(__xludf.DUMMYFUNCTION("""COMPUTED_VALUE"""),"-")</f>
        <v>-</v>
      </c>
      <c r="J275" t="str">
        <f>IFERROR(__xludf.DUMMYFUNCTION("""COMPUTED_VALUE"""),"-")</f>
        <v>-</v>
      </c>
      <c r="K275" t="str">
        <f>IFERROR(__xludf.DUMMYFUNCTION("""COMPUTED_VALUE"""),"-")</f>
        <v>-</v>
      </c>
      <c r="L275" t="str">
        <f>IFERROR(__xludf.DUMMYFUNCTION("""COMPUTED_VALUE"""),"-")</f>
        <v>-</v>
      </c>
      <c r="M275" t="str">
        <f>IFERROR(__xludf.DUMMYFUNCTION("""COMPUTED_VALUE"""),"-")</f>
        <v>-</v>
      </c>
      <c r="O275" t="str">
        <f>IFERROR(__xludf.DUMMYFUNCTION("""COMPUTED_VALUE"""),"#274")</f>
        <v>#274</v>
      </c>
      <c r="P275" t="str">
        <f>IFERROR(__xludf.DUMMYFUNCTION("""COMPUTED_VALUE"""),"Fiona Lazaar")</f>
        <v>Fiona Lazaar</v>
      </c>
      <c r="Q275">
        <f>IFERROR(__xludf.DUMMYFUNCTION("""COMPUTED_VALUE"""),15314.0)</f>
        <v>15314</v>
      </c>
      <c r="R275" t="str">
        <f>IFERROR(__xludf.DUMMYFUNCTION("""COMPUTED_VALUE"""),"-")</f>
        <v>-</v>
      </c>
      <c r="S275" t="str">
        <f>IFERROR(__xludf.DUMMYFUNCTION("""COMPUTED_VALUE"""),"-")</f>
        <v>-</v>
      </c>
      <c r="T275" t="str">
        <f>IFERROR(__xludf.DUMMYFUNCTION("""COMPUTED_VALUE"""),"-")</f>
        <v>-</v>
      </c>
      <c r="U275" t="str">
        <f>IFERROR(__xludf.DUMMYFUNCTION("""COMPUTED_VALUE"""),"-")</f>
        <v>-</v>
      </c>
      <c r="V275" t="str">
        <f>IFERROR(__xludf.DUMMYFUNCTION("""COMPUTED_VALUE"""),"-")</f>
        <v>-</v>
      </c>
      <c r="W275" t="str">
        <f>IFERROR(__xludf.DUMMYFUNCTION("""COMPUTED_VALUE"""),"-")</f>
        <v>-</v>
      </c>
      <c r="X275" t="str">
        <f>IFERROR(__xludf.DUMMYFUNCTION("""COMPUTED_VALUE"""),"-")</f>
        <v>-</v>
      </c>
      <c r="Y275" t="str">
        <f>IFERROR(__xludf.DUMMYFUNCTION("""COMPUTED_VALUE"""),"-")</f>
        <v>-</v>
      </c>
      <c r="Z275" t="str">
        <f>IFERROR(__xludf.DUMMYFUNCTION("""COMPUTED_VALUE"""),"-")</f>
        <v>-</v>
      </c>
      <c r="AA275" t="str">
        <f>IFERROR(__xludf.DUMMYFUNCTION("""COMPUTED_VALUE"""),"-")</f>
        <v>-</v>
      </c>
    </row>
    <row r="276">
      <c r="A276" t="str">
        <f>IFERROR(__xludf.DUMMYFUNCTION("""COMPUTED_VALUE"""),"#275")</f>
        <v>#275</v>
      </c>
      <c r="B276" t="str">
        <f>IFERROR(__xludf.DUMMYFUNCTION("""COMPUTED_VALUE"""),"Gérald Dahan")</f>
        <v>Gérald Dahan</v>
      </c>
      <c r="C276">
        <f>IFERROR(__xludf.DUMMYFUNCTION("""COMPUTED_VALUE"""),15255.0)</f>
        <v>15255</v>
      </c>
      <c r="D276" t="str">
        <f>IFERROR(__xludf.DUMMYFUNCTION("""COMPUTED_VALUE"""),"-")</f>
        <v>-</v>
      </c>
      <c r="E276" t="str">
        <f>IFERROR(__xludf.DUMMYFUNCTION("""COMPUTED_VALUE"""),"-")</f>
        <v>-</v>
      </c>
      <c r="F276" t="str">
        <f>IFERROR(__xludf.DUMMYFUNCTION("""COMPUTED_VALUE"""),"-")</f>
        <v>-</v>
      </c>
      <c r="G276" t="str">
        <f>IFERROR(__xludf.DUMMYFUNCTION("""COMPUTED_VALUE"""),"-")</f>
        <v>-</v>
      </c>
      <c r="H276" t="str">
        <f>IFERROR(__xludf.DUMMYFUNCTION("""COMPUTED_VALUE"""),"-")</f>
        <v>-</v>
      </c>
      <c r="I276" t="str">
        <f>IFERROR(__xludf.DUMMYFUNCTION("""COMPUTED_VALUE"""),"-")</f>
        <v>-</v>
      </c>
      <c r="J276" t="str">
        <f>IFERROR(__xludf.DUMMYFUNCTION("""COMPUTED_VALUE"""),"-")</f>
        <v>-</v>
      </c>
      <c r="K276" t="str">
        <f>IFERROR(__xludf.DUMMYFUNCTION("""COMPUTED_VALUE"""),"-")</f>
        <v>-</v>
      </c>
      <c r="L276" t="str">
        <f>IFERROR(__xludf.DUMMYFUNCTION("""COMPUTED_VALUE"""),"-")</f>
        <v>-</v>
      </c>
      <c r="M276" t="str">
        <f>IFERROR(__xludf.DUMMYFUNCTION("""COMPUTED_VALUE"""),"-")</f>
        <v>-</v>
      </c>
      <c r="O276" t="str">
        <f>IFERROR(__xludf.DUMMYFUNCTION("""COMPUTED_VALUE"""),"#275")</f>
        <v>#275</v>
      </c>
      <c r="P276" t="str">
        <f>IFERROR(__xludf.DUMMYFUNCTION("""COMPUTED_VALUE"""),"Gérald Dahan")</f>
        <v>Gérald Dahan</v>
      </c>
      <c r="Q276">
        <f>IFERROR(__xludf.DUMMYFUNCTION("""COMPUTED_VALUE"""),15255.0)</f>
        <v>15255</v>
      </c>
      <c r="R276" t="str">
        <f>IFERROR(__xludf.DUMMYFUNCTION("""COMPUTED_VALUE"""),"-")</f>
        <v>-</v>
      </c>
      <c r="S276" t="str">
        <f>IFERROR(__xludf.DUMMYFUNCTION("""COMPUTED_VALUE"""),"-")</f>
        <v>-</v>
      </c>
      <c r="T276" t="str">
        <f>IFERROR(__xludf.DUMMYFUNCTION("""COMPUTED_VALUE"""),"-")</f>
        <v>-</v>
      </c>
      <c r="U276" t="str">
        <f>IFERROR(__xludf.DUMMYFUNCTION("""COMPUTED_VALUE"""),"-")</f>
        <v>-</v>
      </c>
      <c r="V276" t="str">
        <f>IFERROR(__xludf.DUMMYFUNCTION("""COMPUTED_VALUE"""),"-")</f>
        <v>-</v>
      </c>
      <c r="W276" t="str">
        <f>IFERROR(__xludf.DUMMYFUNCTION("""COMPUTED_VALUE"""),"-")</f>
        <v>-</v>
      </c>
      <c r="X276" t="str">
        <f>IFERROR(__xludf.DUMMYFUNCTION("""COMPUTED_VALUE"""),"-")</f>
        <v>-</v>
      </c>
      <c r="Y276" t="str">
        <f>IFERROR(__xludf.DUMMYFUNCTION("""COMPUTED_VALUE"""),"-")</f>
        <v>-</v>
      </c>
      <c r="Z276" t="str">
        <f>IFERROR(__xludf.DUMMYFUNCTION("""COMPUTED_VALUE"""),"-")</f>
        <v>-</v>
      </c>
      <c r="AA276" t="str">
        <f>IFERROR(__xludf.DUMMYFUNCTION("""COMPUTED_VALUE"""),"-")</f>
        <v>-</v>
      </c>
    </row>
    <row r="277">
      <c r="A277" t="str">
        <f>IFERROR(__xludf.DUMMYFUNCTION("""COMPUTED_VALUE"""),"#276")</f>
        <v>#276</v>
      </c>
      <c r="B277" t="str">
        <f>IFERROR(__xludf.DUMMYFUNCTION("""COMPUTED_VALUE"""),"Guillaume Balas")</f>
        <v>Guillaume Balas</v>
      </c>
      <c r="C277">
        <f>IFERROR(__xludf.DUMMYFUNCTION("""COMPUTED_VALUE"""),15171.0)</f>
        <v>15171</v>
      </c>
      <c r="D277" t="str">
        <f>IFERROR(__xludf.DUMMYFUNCTION("""COMPUTED_VALUE"""),"-")</f>
        <v>-</v>
      </c>
      <c r="E277" t="str">
        <f>IFERROR(__xludf.DUMMYFUNCTION("""COMPUTED_VALUE"""),"-")</f>
        <v>-</v>
      </c>
      <c r="F277" t="str">
        <f>IFERROR(__xludf.DUMMYFUNCTION("""COMPUTED_VALUE"""),"-")</f>
        <v>-</v>
      </c>
      <c r="G277" t="str">
        <f>IFERROR(__xludf.DUMMYFUNCTION("""COMPUTED_VALUE"""),"-")</f>
        <v>-</v>
      </c>
      <c r="H277" t="str">
        <f>IFERROR(__xludf.DUMMYFUNCTION("""COMPUTED_VALUE"""),"-")</f>
        <v>-</v>
      </c>
      <c r="I277" t="str">
        <f>IFERROR(__xludf.DUMMYFUNCTION("""COMPUTED_VALUE"""),"-")</f>
        <v>-</v>
      </c>
      <c r="J277" t="str">
        <f>IFERROR(__xludf.DUMMYFUNCTION("""COMPUTED_VALUE"""),"-")</f>
        <v>-</v>
      </c>
      <c r="K277" t="str">
        <f>IFERROR(__xludf.DUMMYFUNCTION("""COMPUTED_VALUE"""),"-")</f>
        <v>-</v>
      </c>
      <c r="L277" t="str">
        <f>IFERROR(__xludf.DUMMYFUNCTION("""COMPUTED_VALUE"""),"-")</f>
        <v>-</v>
      </c>
      <c r="M277" t="str">
        <f>IFERROR(__xludf.DUMMYFUNCTION("""COMPUTED_VALUE"""),"-")</f>
        <v>-</v>
      </c>
      <c r="O277" t="str">
        <f>IFERROR(__xludf.DUMMYFUNCTION("""COMPUTED_VALUE"""),"#276")</f>
        <v>#276</v>
      </c>
      <c r="P277" t="str">
        <f>IFERROR(__xludf.DUMMYFUNCTION("""COMPUTED_VALUE"""),"Guillaume Balas")</f>
        <v>Guillaume Balas</v>
      </c>
      <c r="Q277">
        <f>IFERROR(__xludf.DUMMYFUNCTION("""COMPUTED_VALUE"""),15171.0)</f>
        <v>15171</v>
      </c>
      <c r="R277" t="str">
        <f>IFERROR(__xludf.DUMMYFUNCTION("""COMPUTED_VALUE"""),"-")</f>
        <v>-</v>
      </c>
      <c r="S277" t="str">
        <f>IFERROR(__xludf.DUMMYFUNCTION("""COMPUTED_VALUE"""),"-")</f>
        <v>-</v>
      </c>
      <c r="T277" t="str">
        <f>IFERROR(__xludf.DUMMYFUNCTION("""COMPUTED_VALUE"""),"-")</f>
        <v>-</v>
      </c>
      <c r="U277" t="str">
        <f>IFERROR(__xludf.DUMMYFUNCTION("""COMPUTED_VALUE"""),"-")</f>
        <v>-</v>
      </c>
      <c r="V277" t="str">
        <f>IFERROR(__xludf.DUMMYFUNCTION("""COMPUTED_VALUE"""),"-")</f>
        <v>-</v>
      </c>
      <c r="W277" t="str">
        <f>IFERROR(__xludf.DUMMYFUNCTION("""COMPUTED_VALUE"""),"-")</f>
        <v>-</v>
      </c>
      <c r="X277" t="str">
        <f>IFERROR(__xludf.DUMMYFUNCTION("""COMPUTED_VALUE"""),"-")</f>
        <v>-</v>
      </c>
      <c r="Y277" t="str">
        <f>IFERROR(__xludf.DUMMYFUNCTION("""COMPUTED_VALUE"""),"-")</f>
        <v>-</v>
      </c>
      <c r="Z277" t="str">
        <f>IFERROR(__xludf.DUMMYFUNCTION("""COMPUTED_VALUE"""),"-")</f>
        <v>-</v>
      </c>
      <c r="AA277" t="str">
        <f>IFERROR(__xludf.DUMMYFUNCTION("""COMPUTED_VALUE"""),"-")</f>
        <v>-</v>
      </c>
    </row>
    <row r="278">
      <c r="A278" t="str">
        <f>IFERROR(__xludf.DUMMYFUNCTION("""COMPUTED_VALUE"""),"#277")</f>
        <v>#277</v>
      </c>
      <c r="B278" t="str">
        <f>IFERROR(__xludf.DUMMYFUNCTION("""COMPUTED_VALUE"""),"Julie Graziani")</f>
        <v>Julie Graziani</v>
      </c>
      <c r="C278">
        <f>IFERROR(__xludf.DUMMYFUNCTION("""COMPUTED_VALUE"""),15143.0)</f>
        <v>15143</v>
      </c>
      <c r="D278" t="str">
        <f>IFERROR(__xludf.DUMMYFUNCTION("""COMPUTED_VALUE"""),"-")</f>
        <v>-</v>
      </c>
      <c r="E278" t="str">
        <f>IFERROR(__xludf.DUMMYFUNCTION("""COMPUTED_VALUE"""),"-")</f>
        <v>-</v>
      </c>
      <c r="F278" t="str">
        <f>IFERROR(__xludf.DUMMYFUNCTION("""COMPUTED_VALUE"""),"-")</f>
        <v>-</v>
      </c>
      <c r="G278" t="str">
        <f>IFERROR(__xludf.DUMMYFUNCTION("""COMPUTED_VALUE"""),"-")</f>
        <v>-</v>
      </c>
      <c r="H278" t="str">
        <f>IFERROR(__xludf.DUMMYFUNCTION("""COMPUTED_VALUE"""),"-")</f>
        <v>-</v>
      </c>
      <c r="I278" t="str">
        <f>IFERROR(__xludf.DUMMYFUNCTION("""COMPUTED_VALUE"""),"-")</f>
        <v>-</v>
      </c>
      <c r="J278" t="str">
        <f>IFERROR(__xludf.DUMMYFUNCTION("""COMPUTED_VALUE"""),"-")</f>
        <v>-</v>
      </c>
      <c r="K278" t="str">
        <f>IFERROR(__xludf.DUMMYFUNCTION("""COMPUTED_VALUE"""),"-")</f>
        <v>-</v>
      </c>
      <c r="L278" t="str">
        <f>IFERROR(__xludf.DUMMYFUNCTION("""COMPUTED_VALUE"""),"-")</f>
        <v>-</v>
      </c>
      <c r="M278" t="str">
        <f>IFERROR(__xludf.DUMMYFUNCTION("""COMPUTED_VALUE"""),"-")</f>
        <v>-</v>
      </c>
      <c r="O278" t="str">
        <f>IFERROR(__xludf.DUMMYFUNCTION("""COMPUTED_VALUE"""),"#277")</f>
        <v>#277</v>
      </c>
      <c r="P278" t="str">
        <f>IFERROR(__xludf.DUMMYFUNCTION("""COMPUTED_VALUE"""),"Julie Graziani")</f>
        <v>Julie Graziani</v>
      </c>
      <c r="Q278">
        <f>IFERROR(__xludf.DUMMYFUNCTION("""COMPUTED_VALUE"""),15143.0)</f>
        <v>15143</v>
      </c>
      <c r="R278" t="str">
        <f>IFERROR(__xludf.DUMMYFUNCTION("""COMPUTED_VALUE"""),"-")</f>
        <v>-</v>
      </c>
      <c r="S278" t="str">
        <f>IFERROR(__xludf.DUMMYFUNCTION("""COMPUTED_VALUE"""),"-")</f>
        <v>-</v>
      </c>
      <c r="T278" t="str">
        <f>IFERROR(__xludf.DUMMYFUNCTION("""COMPUTED_VALUE"""),"-")</f>
        <v>-</v>
      </c>
      <c r="U278" t="str">
        <f>IFERROR(__xludf.DUMMYFUNCTION("""COMPUTED_VALUE"""),"-")</f>
        <v>-</v>
      </c>
      <c r="V278" t="str">
        <f>IFERROR(__xludf.DUMMYFUNCTION("""COMPUTED_VALUE"""),"-")</f>
        <v>-</v>
      </c>
      <c r="W278" t="str">
        <f>IFERROR(__xludf.DUMMYFUNCTION("""COMPUTED_VALUE"""),"-")</f>
        <v>-</v>
      </c>
      <c r="X278" t="str">
        <f>IFERROR(__xludf.DUMMYFUNCTION("""COMPUTED_VALUE"""),"-")</f>
        <v>-</v>
      </c>
      <c r="Y278" t="str">
        <f>IFERROR(__xludf.DUMMYFUNCTION("""COMPUTED_VALUE"""),"-")</f>
        <v>-</v>
      </c>
      <c r="Z278" t="str">
        <f>IFERROR(__xludf.DUMMYFUNCTION("""COMPUTED_VALUE"""),"-")</f>
        <v>-</v>
      </c>
      <c r="AA278" t="str">
        <f>IFERROR(__xludf.DUMMYFUNCTION("""COMPUTED_VALUE"""),"-")</f>
        <v>-</v>
      </c>
    </row>
    <row r="279">
      <c r="A279" t="str">
        <f>IFERROR(__xludf.DUMMYFUNCTION("""COMPUTED_VALUE"""),"#278")</f>
        <v>#278</v>
      </c>
      <c r="B279" t="str">
        <f>IFERROR(__xludf.DUMMYFUNCTION("""COMPUTED_VALUE"""),"François-Michel Lambert")</f>
        <v>François-Michel Lambert</v>
      </c>
      <c r="C279">
        <f>IFERROR(__xludf.DUMMYFUNCTION("""COMPUTED_VALUE"""),15015.0)</f>
        <v>15015</v>
      </c>
      <c r="D279" t="str">
        <f>IFERROR(__xludf.DUMMYFUNCTION("""COMPUTED_VALUE"""),"-")</f>
        <v>-</v>
      </c>
      <c r="E279" t="str">
        <f>IFERROR(__xludf.DUMMYFUNCTION("""COMPUTED_VALUE"""),"-")</f>
        <v>-</v>
      </c>
      <c r="F279" t="str">
        <f>IFERROR(__xludf.DUMMYFUNCTION("""COMPUTED_VALUE"""),"-")</f>
        <v>-</v>
      </c>
      <c r="G279" t="str">
        <f>IFERROR(__xludf.DUMMYFUNCTION("""COMPUTED_VALUE"""),"-")</f>
        <v>-</v>
      </c>
      <c r="H279" t="str">
        <f>IFERROR(__xludf.DUMMYFUNCTION("""COMPUTED_VALUE"""),"-")</f>
        <v>-</v>
      </c>
      <c r="I279" t="str">
        <f>IFERROR(__xludf.DUMMYFUNCTION("""COMPUTED_VALUE"""),"-")</f>
        <v>-</v>
      </c>
      <c r="J279" t="str">
        <f>IFERROR(__xludf.DUMMYFUNCTION("""COMPUTED_VALUE"""),"-")</f>
        <v>-</v>
      </c>
      <c r="K279" t="str">
        <f>IFERROR(__xludf.DUMMYFUNCTION("""COMPUTED_VALUE"""),"-")</f>
        <v>-</v>
      </c>
      <c r="L279" t="str">
        <f>IFERROR(__xludf.DUMMYFUNCTION("""COMPUTED_VALUE"""),"-")</f>
        <v>-</v>
      </c>
      <c r="M279" t="str">
        <f>IFERROR(__xludf.DUMMYFUNCTION("""COMPUTED_VALUE"""),"-")</f>
        <v>-</v>
      </c>
      <c r="O279" t="str">
        <f>IFERROR(__xludf.DUMMYFUNCTION("""COMPUTED_VALUE"""),"#278")</f>
        <v>#278</v>
      </c>
      <c r="P279" t="str">
        <f>IFERROR(__xludf.DUMMYFUNCTION("""COMPUTED_VALUE"""),"François-Michel Lambert")</f>
        <v>François-Michel Lambert</v>
      </c>
      <c r="Q279">
        <f>IFERROR(__xludf.DUMMYFUNCTION("""COMPUTED_VALUE"""),15015.0)</f>
        <v>15015</v>
      </c>
      <c r="R279" t="str">
        <f>IFERROR(__xludf.DUMMYFUNCTION("""COMPUTED_VALUE"""),"-")</f>
        <v>-</v>
      </c>
      <c r="S279" t="str">
        <f>IFERROR(__xludf.DUMMYFUNCTION("""COMPUTED_VALUE"""),"-")</f>
        <v>-</v>
      </c>
      <c r="T279" t="str">
        <f>IFERROR(__xludf.DUMMYFUNCTION("""COMPUTED_VALUE"""),"-")</f>
        <v>-</v>
      </c>
      <c r="U279" t="str">
        <f>IFERROR(__xludf.DUMMYFUNCTION("""COMPUTED_VALUE"""),"-")</f>
        <v>-</v>
      </c>
      <c r="V279" t="str">
        <f>IFERROR(__xludf.DUMMYFUNCTION("""COMPUTED_VALUE"""),"-")</f>
        <v>-</v>
      </c>
      <c r="W279" t="str">
        <f>IFERROR(__xludf.DUMMYFUNCTION("""COMPUTED_VALUE"""),"-")</f>
        <v>-</v>
      </c>
      <c r="X279" t="str">
        <f>IFERROR(__xludf.DUMMYFUNCTION("""COMPUTED_VALUE"""),"-")</f>
        <v>-</v>
      </c>
      <c r="Y279" t="str">
        <f>IFERROR(__xludf.DUMMYFUNCTION("""COMPUTED_VALUE"""),"-")</f>
        <v>-</v>
      </c>
      <c r="Z279" t="str">
        <f>IFERROR(__xludf.DUMMYFUNCTION("""COMPUTED_VALUE"""),"-")</f>
        <v>-</v>
      </c>
      <c r="AA279" t="str">
        <f>IFERROR(__xludf.DUMMYFUNCTION("""COMPUTED_VALUE"""),"-")</f>
        <v>-</v>
      </c>
    </row>
    <row r="280">
      <c r="A280" t="str">
        <f>IFERROR(__xludf.DUMMYFUNCTION("""COMPUTED_VALUE"""),"#279")</f>
        <v>#279</v>
      </c>
      <c r="B280" t="str">
        <f>IFERROR(__xludf.DUMMYFUNCTION("""COMPUTED_VALUE"""),"Jean-Marc Germain")</f>
        <v>Jean-Marc Germain</v>
      </c>
      <c r="C280">
        <f>IFERROR(__xludf.DUMMYFUNCTION("""COMPUTED_VALUE"""),14781.0)</f>
        <v>14781</v>
      </c>
      <c r="D280" t="str">
        <f>IFERROR(__xludf.DUMMYFUNCTION("""COMPUTED_VALUE"""),"-")</f>
        <v>-</v>
      </c>
      <c r="E280" t="str">
        <f>IFERROR(__xludf.DUMMYFUNCTION("""COMPUTED_VALUE"""),"-")</f>
        <v>-</v>
      </c>
      <c r="F280" t="str">
        <f>IFERROR(__xludf.DUMMYFUNCTION("""COMPUTED_VALUE"""),"-")</f>
        <v>-</v>
      </c>
      <c r="G280" t="str">
        <f>IFERROR(__xludf.DUMMYFUNCTION("""COMPUTED_VALUE"""),"-")</f>
        <v>-</v>
      </c>
      <c r="H280" t="str">
        <f>IFERROR(__xludf.DUMMYFUNCTION("""COMPUTED_VALUE"""),"-")</f>
        <v>-</v>
      </c>
      <c r="I280" t="str">
        <f>IFERROR(__xludf.DUMMYFUNCTION("""COMPUTED_VALUE"""),"-")</f>
        <v>-</v>
      </c>
      <c r="J280" t="str">
        <f>IFERROR(__xludf.DUMMYFUNCTION("""COMPUTED_VALUE"""),"-")</f>
        <v>-</v>
      </c>
      <c r="K280" t="str">
        <f>IFERROR(__xludf.DUMMYFUNCTION("""COMPUTED_VALUE"""),"-")</f>
        <v>-</v>
      </c>
      <c r="L280" t="str">
        <f>IFERROR(__xludf.DUMMYFUNCTION("""COMPUTED_VALUE"""),"-")</f>
        <v>-</v>
      </c>
      <c r="M280" t="str">
        <f>IFERROR(__xludf.DUMMYFUNCTION("""COMPUTED_VALUE"""),"-")</f>
        <v>-</v>
      </c>
      <c r="O280" t="str">
        <f>IFERROR(__xludf.DUMMYFUNCTION("""COMPUTED_VALUE"""),"#279")</f>
        <v>#279</v>
      </c>
      <c r="P280" t="str">
        <f>IFERROR(__xludf.DUMMYFUNCTION("""COMPUTED_VALUE"""),"Jean-Marc Germain")</f>
        <v>Jean-Marc Germain</v>
      </c>
      <c r="Q280">
        <f>IFERROR(__xludf.DUMMYFUNCTION("""COMPUTED_VALUE"""),14781.0)</f>
        <v>14781</v>
      </c>
      <c r="R280" t="str">
        <f>IFERROR(__xludf.DUMMYFUNCTION("""COMPUTED_VALUE"""),"-")</f>
        <v>-</v>
      </c>
      <c r="S280" t="str">
        <f>IFERROR(__xludf.DUMMYFUNCTION("""COMPUTED_VALUE"""),"-")</f>
        <v>-</v>
      </c>
      <c r="T280" t="str">
        <f>IFERROR(__xludf.DUMMYFUNCTION("""COMPUTED_VALUE"""),"-")</f>
        <v>-</v>
      </c>
      <c r="U280" t="str">
        <f>IFERROR(__xludf.DUMMYFUNCTION("""COMPUTED_VALUE"""),"-")</f>
        <v>-</v>
      </c>
      <c r="V280" t="str">
        <f>IFERROR(__xludf.DUMMYFUNCTION("""COMPUTED_VALUE"""),"-")</f>
        <v>-</v>
      </c>
      <c r="W280" t="str">
        <f>IFERROR(__xludf.DUMMYFUNCTION("""COMPUTED_VALUE"""),"-")</f>
        <v>-</v>
      </c>
      <c r="X280" t="str">
        <f>IFERROR(__xludf.DUMMYFUNCTION("""COMPUTED_VALUE"""),"-")</f>
        <v>-</v>
      </c>
      <c r="Y280" t="str">
        <f>IFERROR(__xludf.DUMMYFUNCTION("""COMPUTED_VALUE"""),"-")</f>
        <v>-</v>
      </c>
      <c r="Z280" t="str">
        <f>IFERROR(__xludf.DUMMYFUNCTION("""COMPUTED_VALUE"""),"-")</f>
        <v>-</v>
      </c>
      <c r="AA280" t="str">
        <f>IFERROR(__xludf.DUMMYFUNCTION("""COMPUTED_VALUE"""),"-")</f>
        <v>-</v>
      </c>
    </row>
    <row r="281">
      <c r="A281" t="str">
        <f>IFERROR(__xludf.DUMMYFUNCTION("""COMPUTED_VALUE"""),"#280")</f>
        <v>#280</v>
      </c>
      <c r="B281" t="str">
        <f>IFERROR(__xludf.DUMMYFUNCTION("""COMPUTED_VALUE"""),"Yves d'Amécourt")</f>
        <v>Yves d'Amécourt</v>
      </c>
      <c r="C281">
        <f>IFERROR(__xludf.DUMMYFUNCTION("""COMPUTED_VALUE"""),14775.0)</f>
        <v>14775</v>
      </c>
      <c r="D281" t="str">
        <f>IFERROR(__xludf.DUMMYFUNCTION("""COMPUTED_VALUE"""),"-")</f>
        <v>-</v>
      </c>
      <c r="E281" t="str">
        <f>IFERROR(__xludf.DUMMYFUNCTION("""COMPUTED_VALUE"""),"-")</f>
        <v>-</v>
      </c>
      <c r="F281" t="str">
        <f>IFERROR(__xludf.DUMMYFUNCTION("""COMPUTED_VALUE"""),"-")</f>
        <v>-</v>
      </c>
      <c r="G281" t="str">
        <f>IFERROR(__xludf.DUMMYFUNCTION("""COMPUTED_VALUE"""),"-")</f>
        <v>-</v>
      </c>
      <c r="H281" t="str">
        <f>IFERROR(__xludf.DUMMYFUNCTION("""COMPUTED_VALUE"""),"-")</f>
        <v>-</v>
      </c>
      <c r="I281" t="str">
        <f>IFERROR(__xludf.DUMMYFUNCTION("""COMPUTED_VALUE"""),"-")</f>
        <v>-</v>
      </c>
      <c r="J281" t="str">
        <f>IFERROR(__xludf.DUMMYFUNCTION("""COMPUTED_VALUE"""),"-")</f>
        <v>-</v>
      </c>
      <c r="K281" t="str">
        <f>IFERROR(__xludf.DUMMYFUNCTION("""COMPUTED_VALUE"""),"-")</f>
        <v>-</v>
      </c>
      <c r="L281" t="str">
        <f>IFERROR(__xludf.DUMMYFUNCTION("""COMPUTED_VALUE"""),"-")</f>
        <v>-</v>
      </c>
      <c r="M281" t="str">
        <f>IFERROR(__xludf.DUMMYFUNCTION("""COMPUTED_VALUE"""),"-")</f>
        <v>-</v>
      </c>
      <c r="O281" t="str">
        <f>IFERROR(__xludf.DUMMYFUNCTION("""COMPUTED_VALUE"""),"#280")</f>
        <v>#280</v>
      </c>
      <c r="P281" t="str">
        <f>IFERROR(__xludf.DUMMYFUNCTION("""COMPUTED_VALUE"""),"Yves d'Amécourt")</f>
        <v>Yves d'Amécourt</v>
      </c>
      <c r="Q281">
        <f>IFERROR(__xludf.DUMMYFUNCTION("""COMPUTED_VALUE"""),14775.0)</f>
        <v>14775</v>
      </c>
      <c r="R281" t="str">
        <f>IFERROR(__xludf.DUMMYFUNCTION("""COMPUTED_VALUE"""),"-")</f>
        <v>-</v>
      </c>
      <c r="S281" t="str">
        <f>IFERROR(__xludf.DUMMYFUNCTION("""COMPUTED_VALUE"""),"-")</f>
        <v>-</v>
      </c>
      <c r="T281" t="str">
        <f>IFERROR(__xludf.DUMMYFUNCTION("""COMPUTED_VALUE"""),"-")</f>
        <v>-</v>
      </c>
      <c r="U281" t="str">
        <f>IFERROR(__xludf.DUMMYFUNCTION("""COMPUTED_VALUE"""),"-")</f>
        <v>-</v>
      </c>
      <c r="V281" t="str">
        <f>IFERROR(__xludf.DUMMYFUNCTION("""COMPUTED_VALUE"""),"-")</f>
        <v>-</v>
      </c>
      <c r="W281" t="str">
        <f>IFERROR(__xludf.DUMMYFUNCTION("""COMPUTED_VALUE"""),"-")</f>
        <v>-</v>
      </c>
      <c r="X281" t="str">
        <f>IFERROR(__xludf.DUMMYFUNCTION("""COMPUTED_VALUE"""),"-")</f>
        <v>-</v>
      </c>
      <c r="Y281" t="str">
        <f>IFERROR(__xludf.DUMMYFUNCTION("""COMPUTED_VALUE"""),"-")</f>
        <v>-</v>
      </c>
      <c r="Z281" t="str">
        <f>IFERROR(__xludf.DUMMYFUNCTION("""COMPUTED_VALUE"""),"-")</f>
        <v>-</v>
      </c>
      <c r="AA281" t="str">
        <f>IFERROR(__xludf.DUMMYFUNCTION("""COMPUTED_VALUE"""),"-")</f>
        <v>-</v>
      </c>
    </row>
    <row r="282">
      <c r="A282" t="str">
        <f>IFERROR(__xludf.DUMMYFUNCTION("""COMPUTED_VALUE"""),"#281")</f>
        <v>#281</v>
      </c>
      <c r="B282" t="str">
        <f>IFERROR(__xludf.DUMMYFUNCTION("""COMPUTED_VALUE"""),"Benjamin Lucas")</f>
        <v>Benjamin Lucas</v>
      </c>
      <c r="C282">
        <f>IFERROR(__xludf.DUMMYFUNCTION("""COMPUTED_VALUE"""),14495.0)</f>
        <v>14495</v>
      </c>
      <c r="D282" t="str">
        <f>IFERROR(__xludf.DUMMYFUNCTION("""COMPUTED_VALUE"""),"-")</f>
        <v>-</v>
      </c>
      <c r="E282" t="str">
        <f>IFERROR(__xludf.DUMMYFUNCTION("""COMPUTED_VALUE"""),"-")</f>
        <v>-</v>
      </c>
      <c r="F282" t="str">
        <f>IFERROR(__xludf.DUMMYFUNCTION("""COMPUTED_VALUE"""),"-")</f>
        <v>-</v>
      </c>
      <c r="G282" t="str">
        <f>IFERROR(__xludf.DUMMYFUNCTION("""COMPUTED_VALUE"""),"-")</f>
        <v>-</v>
      </c>
      <c r="H282" t="str">
        <f>IFERROR(__xludf.DUMMYFUNCTION("""COMPUTED_VALUE"""),"-")</f>
        <v>-</v>
      </c>
      <c r="I282" t="str">
        <f>IFERROR(__xludf.DUMMYFUNCTION("""COMPUTED_VALUE"""),"-")</f>
        <v>-</v>
      </c>
      <c r="J282" t="str">
        <f>IFERROR(__xludf.DUMMYFUNCTION("""COMPUTED_VALUE"""),"-")</f>
        <v>-</v>
      </c>
      <c r="K282" t="str">
        <f>IFERROR(__xludf.DUMMYFUNCTION("""COMPUTED_VALUE"""),"-")</f>
        <v>-</v>
      </c>
      <c r="L282" t="str">
        <f>IFERROR(__xludf.DUMMYFUNCTION("""COMPUTED_VALUE"""),"-")</f>
        <v>-</v>
      </c>
      <c r="M282" t="str">
        <f>IFERROR(__xludf.DUMMYFUNCTION("""COMPUTED_VALUE"""),"-")</f>
        <v>-</v>
      </c>
      <c r="O282" t="str">
        <f>IFERROR(__xludf.DUMMYFUNCTION("""COMPUTED_VALUE"""),"#281")</f>
        <v>#281</v>
      </c>
      <c r="P282" t="str">
        <f>IFERROR(__xludf.DUMMYFUNCTION("""COMPUTED_VALUE"""),"Benjamin Lucas")</f>
        <v>Benjamin Lucas</v>
      </c>
      <c r="Q282">
        <f>IFERROR(__xludf.DUMMYFUNCTION("""COMPUTED_VALUE"""),14495.0)</f>
        <v>14495</v>
      </c>
      <c r="R282" t="str">
        <f>IFERROR(__xludf.DUMMYFUNCTION("""COMPUTED_VALUE"""),"-")</f>
        <v>-</v>
      </c>
      <c r="S282" t="str">
        <f>IFERROR(__xludf.DUMMYFUNCTION("""COMPUTED_VALUE"""),"-")</f>
        <v>-</v>
      </c>
      <c r="T282" t="str">
        <f>IFERROR(__xludf.DUMMYFUNCTION("""COMPUTED_VALUE"""),"-")</f>
        <v>-</v>
      </c>
      <c r="U282" t="str">
        <f>IFERROR(__xludf.DUMMYFUNCTION("""COMPUTED_VALUE"""),"-")</f>
        <v>-</v>
      </c>
      <c r="V282" t="str">
        <f>IFERROR(__xludf.DUMMYFUNCTION("""COMPUTED_VALUE"""),"-")</f>
        <v>-</v>
      </c>
      <c r="W282" t="str">
        <f>IFERROR(__xludf.DUMMYFUNCTION("""COMPUTED_VALUE"""),"-")</f>
        <v>-</v>
      </c>
      <c r="X282" t="str">
        <f>IFERROR(__xludf.DUMMYFUNCTION("""COMPUTED_VALUE"""),"-")</f>
        <v>-</v>
      </c>
      <c r="Y282" t="str">
        <f>IFERROR(__xludf.DUMMYFUNCTION("""COMPUTED_VALUE"""),"-")</f>
        <v>-</v>
      </c>
      <c r="Z282" t="str">
        <f>IFERROR(__xludf.DUMMYFUNCTION("""COMPUTED_VALUE"""),"-")</f>
        <v>-</v>
      </c>
      <c r="AA282" t="str">
        <f>IFERROR(__xludf.DUMMYFUNCTION("""COMPUTED_VALUE"""),"-")</f>
        <v>-</v>
      </c>
    </row>
    <row r="283">
      <c r="A283" t="str">
        <f>IFERROR(__xludf.DUMMYFUNCTION("""COMPUTED_VALUE"""),"#282")</f>
        <v>#282</v>
      </c>
      <c r="B283" t="str">
        <f>IFERROR(__xludf.DUMMYFUNCTION("""COMPUTED_VALUE"""),"Nathalie Germain")</f>
        <v>Nathalie Germain</v>
      </c>
      <c r="C283">
        <f>IFERROR(__xludf.DUMMYFUNCTION("""COMPUTED_VALUE"""),14434.0)</f>
        <v>14434</v>
      </c>
      <c r="D283" t="str">
        <f>IFERROR(__xludf.DUMMYFUNCTION("""COMPUTED_VALUE"""),"-")</f>
        <v>-</v>
      </c>
      <c r="E283" t="str">
        <f>IFERROR(__xludf.DUMMYFUNCTION("""COMPUTED_VALUE"""),"-")</f>
        <v>-</v>
      </c>
      <c r="F283" t="str">
        <f>IFERROR(__xludf.DUMMYFUNCTION("""COMPUTED_VALUE"""),"-")</f>
        <v>-</v>
      </c>
      <c r="G283" t="str">
        <f>IFERROR(__xludf.DUMMYFUNCTION("""COMPUTED_VALUE"""),"-")</f>
        <v>-</v>
      </c>
      <c r="H283" t="str">
        <f>IFERROR(__xludf.DUMMYFUNCTION("""COMPUTED_VALUE"""),"-")</f>
        <v>-</v>
      </c>
      <c r="I283" t="str">
        <f>IFERROR(__xludf.DUMMYFUNCTION("""COMPUTED_VALUE"""),"-")</f>
        <v>-</v>
      </c>
      <c r="J283" t="str">
        <f>IFERROR(__xludf.DUMMYFUNCTION("""COMPUTED_VALUE"""),"-")</f>
        <v>-</v>
      </c>
      <c r="K283" t="str">
        <f>IFERROR(__xludf.DUMMYFUNCTION("""COMPUTED_VALUE"""),"-")</f>
        <v>-</v>
      </c>
      <c r="L283" t="str">
        <f>IFERROR(__xludf.DUMMYFUNCTION("""COMPUTED_VALUE"""),"-")</f>
        <v>-</v>
      </c>
      <c r="M283" t="str">
        <f>IFERROR(__xludf.DUMMYFUNCTION("""COMPUTED_VALUE"""),"-")</f>
        <v>-</v>
      </c>
      <c r="O283" t="str">
        <f>IFERROR(__xludf.DUMMYFUNCTION("""COMPUTED_VALUE"""),"#282")</f>
        <v>#282</v>
      </c>
      <c r="P283" t="str">
        <f>IFERROR(__xludf.DUMMYFUNCTION("""COMPUTED_VALUE"""),"Nathalie Germain")</f>
        <v>Nathalie Germain</v>
      </c>
      <c r="Q283">
        <f>IFERROR(__xludf.DUMMYFUNCTION("""COMPUTED_VALUE"""),14434.0)</f>
        <v>14434</v>
      </c>
      <c r="R283" t="str">
        <f>IFERROR(__xludf.DUMMYFUNCTION("""COMPUTED_VALUE"""),"-")</f>
        <v>-</v>
      </c>
      <c r="S283" t="str">
        <f>IFERROR(__xludf.DUMMYFUNCTION("""COMPUTED_VALUE"""),"-")</f>
        <v>-</v>
      </c>
      <c r="T283" t="str">
        <f>IFERROR(__xludf.DUMMYFUNCTION("""COMPUTED_VALUE"""),"-")</f>
        <v>-</v>
      </c>
      <c r="U283" t="str">
        <f>IFERROR(__xludf.DUMMYFUNCTION("""COMPUTED_VALUE"""),"-")</f>
        <v>-</v>
      </c>
      <c r="V283" t="str">
        <f>IFERROR(__xludf.DUMMYFUNCTION("""COMPUTED_VALUE"""),"-")</f>
        <v>-</v>
      </c>
      <c r="W283" t="str">
        <f>IFERROR(__xludf.DUMMYFUNCTION("""COMPUTED_VALUE"""),"-")</f>
        <v>-</v>
      </c>
      <c r="X283" t="str">
        <f>IFERROR(__xludf.DUMMYFUNCTION("""COMPUTED_VALUE"""),"-")</f>
        <v>-</v>
      </c>
      <c r="Y283" t="str">
        <f>IFERROR(__xludf.DUMMYFUNCTION("""COMPUTED_VALUE"""),"-")</f>
        <v>-</v>
      </c>
      <c r="Z283" t="str">
        <f>IFERROR(__xludf.DUMMYFUNCTION("""COMPUTED_VALUE"""),"-")</f>
        <v>-</v>
      </c>
      <c r="AA283" t="str">
        <f>IFERROR(__xludf.DUMMYFUNCTION("""COMPUTED_VALUE"""),"-")</f>
        <v>-</v>
      </c>
    </row>
    <row r="284">
      <c r="A284" t="str">
        <f>IFERROR(__xludf.DUMMYFUNCTION("""COMPUTED_VALUE"""),"#283")</f>
        <v>#283</v>
      </c>
      <c r="B284" t="str">
        <f>IFERROR(__xludf.DUMMYFUNCTION("""COMPUTED_VALUE"""),"Laurianne Deniaud")</f>
        <v>Laurianne Deniaud</v>
      </c>
      <c r="C284">
        <f>IFERROR(__xludf.DUMMYFUNCTION("""COMPUTED_VALUE"""),14205.0)</f>
        <v>14205</v>
      </c>
      <c r="D284" t="str">
        <f>IFERROR(__xludf.DUMMYFUNCTION("""COMPUTED_VALUE"""),"-")</f>
        <v>-</v>
      </c>
      <c r="E284" t="str">
        <f>IFERROR(__xludf.DUMMYFUNCTION("""COMPUTED_VALUE"""),"-")</f>
        <v>-</v>
      </c>
      <c r="F284" t="str">
        <f>IFERROR(__xludf.DUMMYFUNCTION("""COMPUTED_VALUE"""),"-")</f>
        <v>-</v>
      </c>
      <c r="G284" t="str">
        <f>IFERROR(__xludf.DUMMYFUNCTION("""COMPUTED_VALUE"""),"-")</f>
        <v>-</v>
      </c>
      <c r="H284" t="str">
        <f>IFERROR(__xludf.DUMMYFUNCTION("""COMPUTED_VALUE"""),"-")</f>
        <v>-</v>
      </c>
      <c r="I284" t="str">
        <f>IFERROR(__xludf.DUMMYFUNCTION("""COMPUTED_VALUE"""),"-")</f>
        <v>-</v>
      </c>
      <c r="J284" t="str">
        <f>IFERROR(__xludf.DUMMYFUNCTION("""COMPUTED_VALUE"""),"-")</f>
        <v>-</v>
      </c>
      <c r="K284" t="str">
        <f>IFERROR(__xludf.DUMMYFUNCTION("""COMPUTED_VALUE"""),"-")</f>
        <v>-</v>
      </c>
      <c r="L284" t="str">
        <f>IFERROR(__xludf.DUMMYFUNCTION("""COMPUTED_VALUE"""),"-")</f>
        <v>-</v>
      </c>
      <c r="M284" t="str">
        <f>IFERROR(__xludf.DUMMYFUNCTION("""COMPUTED_VALUE"""),"-")</f>
        <v>-</v>
      </c>
      <c r="O284" t="str">
        <f>IFERROR(__xludf.DUMMYFUNCTION("""COMPUTED_VALUE"""),"#283")</f>
        <v>#283</v>
      </c>
      <c r="P284" t="str">
        <f>IFERROR(__xludf.DUMMYFUNCTION("""COMPUTED_VALUE"""),"Laurianne Deniaud")</f>
        <v>Laurianne Deniaud</v>
      </c>
      <c r="Q284">
        <f>IFERROR(__xludf.DUMMYFUNCTION("""COMPUTED_VALUE"""),14205.0)</f>
        <v>14205</v>
      </c>
      <c r="R284" t="str">
        <f>IFERROR(__xludf.DUMMYFUNCTION("""COMPUTED_VALUE"""),"-")</f>
        <v>-</v>
      </c>
      <c r="S284" t="str">
        <f>IFERROR(__xludf.DUMMYFUNCTION("""COMPUTED_VALUE"""),"-")</f>
        <v>-</v>
      </c>
      <c r="T284" t="str">
        <f>IFERROR(__xludf.DUMMYFUNCTION("""COMPUTED_VALUE"""),"-")</f>
        <v>-</v>
      </c>
      <c r="U284" t="str">
        <f>IFERROR(__xludf.DUMMYFUNCTION("""COMPUTED_VALUE"""),"-")</f>
        <v>-</v>
      </c>
      <c r="V284" t="str">
        <f>IFERROR(__xludf.DUMMYFUNCTION("""COMPUTED_VALUE"""),"-")</f>
        <v>-</v>
      </c>
      <c r="W284" t="str">
        <f>IFERROR(__xludf.DUMMYFUNCTION("""COMPUTED_VALUE"""),"-")</f>
        <v>-</v>
      </c>
      <c r="X284" t="str">
        <f>IFERROR(__xludf.DUMMYFUNCTION("""COMPUTED_VALUE"""),"-")</f>
        <v>-</v>
      </c>
      <c r="Y284" t="str">
        <f>IFERROR(__xludf.DUMMYFUNCTION("""COMPUTED_VALUE"""),"-")</f>
        <v>-</v>
      </c>
      <c r="Z284" t="str">
        <f>IFERROR(__xludf.DUMMYFUNCTION("""COMPUTED_VALUE"""),"-")</f>
        <v>-</v>
      </c>
      <c r="AA284" t="str">
        <f>IFERROR(__xludf.DUMMYFUNCTION("""COMPUTED_VALUE"""),"-")</f>
        <v>-</v>
      </c>
    </row>
    <row r="285">
      <c r="A285" t="str">
        <f>IFERROR(__xludf.DUMMYFUNCTION("""COMPUTED_VALUE"""),"#284")</f>
        <v>#284</v>
      </c>
      <c r="B285" t="str">
        <f>IFERROR(__xludf.DUMMYFUNCTION("""COMPUTED_VALUE"""),"Pascal Terrasse")</f>
        <v>Pascal Terrasse</v>
      </c>
      <c r="C285">
        <f>IFERROR(__xludf.DUMMYFUNCTION("""COMPUTED_VALUE"""),14139.0)</f>
        <v>14139</v>
      </c>
      <c r="D285" t="str">
        <f>IFERROR(__xludf.DUMMYFUNCTION("""COMPUTED_VALUE"""),"-")</f>
        <v>-</v>
      </c>
      <c r="E285" t="str">
        <f>IFERROR(__xludf.DUMMYFUNCTION("""COMPUTED_VALUE"""),"-")</f>
        <v>-</v>
      </c>
      <c r="F285" t="str">
        <f>IFERROR(__xludf.DUMMYFUNCTION("""COMPUTED_VALUE"""),"-")</f>
        <v>-</v>
      </c>
      <c r="G285" t="str">
        <f>IFERROR(__xludf.DUMMYFUNCTION("""COMPUTED_VALUE"""),"-")</f>
        <v>-</v>
      </c>
      <c r="H285" t="str">
        <f>IFERROR(__xludf.DUMMYFUNCTION("""COMPUTED_VALUE"""),"-")</f>
        <v>-</v>
      </c>
      <c r="I285" t="str">
        <f>IFERROR(__xludf.DUMMYFUNCTION("""COMPUTED_VALUE"""),"-")</f>
        <v>-</v>
      </c>
      <c r="J285" t="str">
        <f>IFERROR(__xludf.DUMMYFUNCTION("""COMPUTED_VALUE"""),"-")</f>
        <v>-</v>
      </c>
      <c r="K285" t="str">
        <f>IFERROR(__xludf.DUMMYFUNCTION("""COMPUTED_VALUE"""),"-")</f>
        <v>-</v>
      </c>
      <c r="L285" t="str">
        <f>IFERROR(__xludf.DUMMYFUNCTION("""COMPUTED_VALUE"""),"-")</f>
        <v>-</v>
      </c>
      <c r="M285" t="str">
        <f>IFERROR(__xludf.DUMMYFUNCTION("""COMPUTED_VALUE"""),"-")</f>
        <v>-</v>
      </c>
      <c r="O285" t="str">
        <f>IFERROR(__xludf.DUMMYFUNCTION("""COMPUTED_VALUE"""),"#284")</f>
        <v>#284</v>
      </c>
      <c r="P285" t="str">
        <f>IFERROR(__xludf.DUMMYFUNCTION("""COMPUTED_VALUE"""),"Pascal Terrasse")</f>
        <v>Pascal Terrasse</v>
      </c>
      <c r="Q285">
        <f>IFERROR(__xludf.DUMMYFUNCTION("""COMPUTED_VALUE"""),14139.0)</f>
        <v>14139</v>
      </c>
      <c r="R285" t="str">
        <f>IFERROR(__xludf.DUMMYFUNCTION("""COMPUTED_VALUE"""),"-")</f>
        <v>-</v>
      </c>
      <c r="S285" t="str">
        <f>IFERROR(__xludf.DUMMYFUNCTION("""COMPUTED_VALUE"""),"-")</f>
        <v>-</v>
      </c>
      <c r="T285" t="str">
        <f>IFERROR(__xludf.DUMMYFUNCTION("""COMPUTED_VALUE"""),"-")</f>
        <v>-</v>
      </c>
      <c r="U285" t="str">
        <f>IFERROR(__xludf.DUMMYFUNCTION("""COMPUTED_VALUE"""),"-")</f>
        <v>-</v>
      </c>
      <c r="V285" t="str">
        <f>IFERROR(__xludf.DUMMYFUNCTION("""COMPUTED_VALUE"""),"-")</f>
        <v>-</v>
      </c>
      <c r="W285" t="str">
        <f>IFERROR(__xludf.DUMMYFUNCTION("""COMPUTED_VALUE"""),"-")</f>
        <v>-</v>
      </c>
      <c r="X285" t="str">
        <f>IFERROR(__xludf.DUMMYFUNCTION("""COMPUTED_VALUE"""),"-")</f>
        <v>-</v>
      </c>
      <c r="Y285" t="str">
        <f>IFERROR(__xludf.DUMMYFUNCTION("""COMPUTED_VALUE"""),"-")</f>
        <v>-</v>
      </c>
      <c r="Z285" t="str">
        <f>IFERROR(__xludf.DUMMYFUNCTION("""COMPUTED_VALUE"""),"-")</f>
        <v>-</v>
      </c>
      <c r="AA285" t="str">
        <f>IFERROR(__xludf.DUMMYFUNCTION("""COMPUTED_VALUE"""),"-")</f>
        <v>-</v>
      </c>
    </row>
    <row r="286">
      <c r="A286" t="str">
        <f>IFERROR(__xludf.DUMMYFUNCTION("""COMPUTED_VALUE"""),"#285")</f>
        <v>#285</v>
      </c>
      <c r="B286" t="str">
        <f>IFERROR(__xludf.DUMMYFUNCTION("""COMPUTED_VALUE"""),"Bernard Monot")</f>
        <v>Bernard Monot</v>
      </c>
      <c r="C286">
        <f>IFERROR(__xludf.DUMMYFUNCTION("""COMPUTED_VALUE"""),14115.0)</f>
        <v>14115</v>
      </c>
      <c r="D286" t="str">
        <f>IFERROR(__xludf.DUMMYFUNCTION("""COMPUTED_VALUE"""),"-")</f>
        <v>-</v>
      </c>
      <c r="E286" t="str">
        <f>IFERROR(__xludf.DUMMYFUNCTION("""COMPUTED_VALUE"""),"-")</f>
        <v>-</v>
      </c>
      <c r="F286" t="str">
        <f>IFERROR(__xludf.DUMMYFUNCTION("""COMPUTED_VALUE"""),"-")</f>
        <v>-</v>
      </c>
      <c r="G286" t="str">
        <f>IFERROR(__xludf.DUMMYFUNCTION("""COMPUTED_VALUE"""),"-")</f>
        <v>-</v>
      </c>
      <c r="H286" t="str">
        <f>IFERROR(__xludf.DUMMYFUNCTION("""COMPUTED_VALUE"""),"-")</f>
        <v>-</v>
      </c>
      <c r="I286" t="str">
        <f>IFERROR(__xludf.DUMMYFUNCTION("""COMPUTED_VALUE"""),"-")</f>
        <v>-</v>
      </c>
      <c r="J286" t="str">
        <f>IFERROR(__xludf.DUMMYFUNCTION("""COMPUTED_VALUE"""),"-")</f>
        <v>-</v>
      </c>
      <c r="K286" t="str">
        <f>IFERROR(__xludf.DUMMYFUNCTION("""COMPUTED_VALUE"""),"-")</f>
        <v>-</v>
      </c>
      <c r="L286" t="str">
        <f>IFERROR(__xludf.DUMMYFUNCTION("""COMPUTED_VALUE"""),"-")</f>
        <v>-</v>
      </c>
      <c r="M286" t="str">
        <f>IFERROR(__xludf.DUMMYFUNCTION("""COMPUTED_VALUE"""),"-")</f>
        <v>-</v>
      </c>
      <c r="O286" t="str">
        <f>IFERROR(__xludf.DUMMYFUNCTION("""COMPUTED_VALUE"""),"#285")</f>
        <v>#285</v>
      </c>
      <c r="P286" t="str">
        <f>IFERROR(__xludf.DUMMYFUNCTION("""COMPUTED_VALUE"""),"Bernard Monot")</f>
        <v>Bernard Monot</v>
      </c>
      <c r="Q286">
        <f>IFERROR(__xludf.DUMMYFUNCTION("""COMPUTED_VALUE"""),14115.0)</f>
        <v>14115</v>
      </c>
      <c r="R286" t="str">
        <f>IFERROR(__xludf.DUMMYFUNCTION("""COMPUTED_VALUE"""),"-")</f>
        <v>-</v>
      </c>
      <c r="S286" t="str">
        <f>IFERROR(__xludf.DUMMYFUNCTION("""COMPUTED_VALUE"""),"-")</f>
        <v>-</v>
      </c>
      <c r="T286" t="str">
        <f>IFERROR(__xludf.DUMMYFUNCTION("""COMPUTED_VALUE"""),"-")</f>
        <v>-</v>
      </c>
      <c r="U286" t="str">
        <f>IFERROR(__xludf.DUMMYFUNCTION("""COMPUTED_VALUE"""),"-")</f>
        <v>-</v>
      </c>
      <c r="V286" t="str">
        <f>IFERROR(__xludf.DUMMYFUNCTION("""COMPUTED_VALUE"""),"-")</f>
        <v>-</v>
      </c>
      <c r="W286" t="str">
        <f>IFERROR(__xludf.DUMMYFUNCTION("""COMPUTED_VALUE"""),"-")</f>
        <v>-</v>
      </c>
      <c r="X286" t="str">
        <f>IFERROR(__xludf.DUMMYFUNCTION("""COMPUTED_VALUE"""),"-")</f>
        <v>-</v>
      </c>
      <c r="Y286" t="str">
        <f>IFERROR(__xludf.DUMMYFUNCTION("""COMPUTED_VALUE"""),"-")</f>
        <v>-</v>
      </c>
      <c r="Z286" t="str">
        <f>IFERROR(__xludf.DUMMYFUNCTION("""COMPUTED_VALUE"""),"-")</f>
        <v>-</v>
      </c>
      <c r="AA286" t="str">
        <f>IFERROR(__xludf.DUMMYFUNCTION("""COMPUTED_VALUE"""),"-")</f>
        <v>-</v>
      </c>
    </row>
    <row r="287">
      <c r="A287" t="str">
        <f>IFERROR(__xludf.DUMMYFUNCTION("""COMPUTED_VALUE"""),"#286")</f>
        <v>#286</v>
      </c>
      <c r="B287" t="str">
        <f>IFERROR(__xludf.DUMMYFUNCTION("""COMPUTED_VALUE"""),"Nathalie Avy-Elimas")</f>
        <v>Nathalie Avy-Elimas</v>
      </c>
      <c r="C287">
        <f>IFERROR(__xludf.DUMMYFUNCTION("""COMPUTED_VALUE"""),14070.0)</f>
        <v>14070</v>
      </c>
      <c r="D287" t="str">
        <f>IFERROR(__xludf.DUMMYFUNCTION("""COMPUTED_VALUE"""),"-")</f>
        <v>-</v>
      </c>
      <c r="E287" t="str">
        <f>IFERROR(__xludf.DUMMYFUNCTION("""COMPUTED_VALUE"""),"-")</f>
        <v>-</v>
      </c>
      <c r="F287" t="str">
        <f>IFERROR(__xludf.DUMMYFUNCTION("""COMPUTED_VALUE"""),"-")</f>
        <v>-</v>
      </c>
      <c r="G287" t="str">
        <f>IFERROR(__xludf.DUMMYFUNCTION("""COMPUTED_VALUE"""),"-")</f>
        <v>-</v>
      </c>
      <c r="H287" t="str">
        <f>IFERROR(__xludf.DUMMYFUNCTION("""COMPUTED_VALUE"""),"-")</f>
        <v>-</v>
      </c>
      <c r="I287" t="str">
        <f>IFERROR(__xludf.DUMMYFUNCTION("""COMPUTED_VALUE"""),"-")</f>
        <v>-</v>
      </c>
      <c r="J287" t="str">
        <f>IFERROR(__xludf.DUMMYFUNCTION("""COMPUTED_VALUE"""),"-")</f>
        <v>-</v>
      </c>
      <c r="K287" t="str">
        <f>IFERROR(__xludf.DUMMYFUNCTION("""COMPUTED_VALUE"""),"-")</f>
        <v>-</v>
      </c>
      <c r="L287" t="str">
        <f>IFERROR(__xludf.DUMMYFUNCTION("""COMPUTED_VALUE"""),"-")</f>
        <v>-</v>
      </c>
      <c r="M287" t="str">
        <f>IFERROR(__xludf.DUMMYFUNCTION("""COMPUTED_VALUE"""),"-")</f>
        <v>-</v>
      </c>
      <c r="O287" t="str">
        <f>IFERROR(__xludf.DUMMYFUNCTION("""COMPUTED_VALUE"""),"#286")</f>
        <v>#286</v>
      </c>
      <c r="P287" t="str">
        <f>IFERROR(__xludf.DUMMYFUNCTION("""COMPUTED_VALUE"""),"Nathalie Avy-Elimas")</f>
        <v>Nathalie Avy-Elimas</v>
      </c>
      <c r="Q287">
        <f>IFERROR(__xludf.DUMMYFUNCTION("""COMPUTED_VALUE"""),14070.0)</f>
        <v>14070</v>
      </c>
      <c r="R287" t="str">
        <f>IFERROR(__xludf.DUMMYFUNCTION("""COMPUTED_VALUE"""),"-")</f>
        <v>-</v>
      </c>
      <c r="S287" t="str">
        <f>IFERROR(__xludf.DUMMYFUNCTION("""COMPUTED_VALUE"""),"-")</f>
        <v>-</v>
      </c>
      <c r="T287" t="str">
        <f>IFERROR(__xludf.DUMMYFUNCTION("""COMPUTED_VALUE"""),"-")</f>
        <v>-</v>
      </c>
      <c r="U287" t="str">
        <f>IFERROR(__xludf.DUMMYFUNCTION("""COMPUTED_VALUE"""),"-")</f>
        <v>-</v>
      </c>
      <c r="V287" t="str">
        <f>IFERROR(__xludf.DUMMYFUNCTION("""COMPUTED_VALUE"""),"-")</f>
        <v>-</v>
      </c>
      <c r="W287" t="str">
        <f>IFERROR(__xludf.DUMMYFUNCTION("""COMPUTED_VALUE"""),"-")</f>
        <v>-</v>
      </c>
      <c r="X287" t="str">
        <f>IFERROR(__xludf.DUMMYFUNCTION("""COMPUTED_VALUE"""),"-")</f>
        <v>-</v>
      </c>
      <c r="Y287" t="str">
        <f>IFERROR(__xludf.DUMMYFUNCTION("""COMPUTED_VALUE"""),"-")</f>
        <v>-</v>
      </c>
      <c r="Z287" t="str">
        <f>IFERROR(__xludf.DUMMYFUNCTION("""COMPUTED_VALUE"""),"-")</f>
        <v>-</v>
      </c>
      <c r="AA287" t="str">
        <f>IFERROR(__xludf.DUMMYFUNCTION("""COMPUTED_VALUE"""),"-")</f>
        <v>-</v>
      </c>
    </row>
    <row r="288">
      <c r="A288" t="str">
        <f>IFERROR(__xludf.DUMMYFUNCTION("""COMPUTED_VALUE"""),"#287")</f>
        <v>#287</v>
      </c>
      <c r="B288" t="str">
        <f>IFERROR(__xludf.DUMMYFUNCTION("""COMPUTED_VALUE"""),"Patrick Le Hyaric")</f>
        <v>Patrick Le Hyaric</v>
      </c>
      <c r="C288">
        <f>IFERROR(__xludf.DUMMYFUNCTION("""COMPUTED_VALUE"""),14068.0)</f>
        <v>14068</v>
      </c>
      <c r="D288" t="str">
        <f>IFERROR(__xludf.DUMMYFUNCTION("""COMPUTED_VALUE"""),"-")</f>
        <v>-</v>
      </c>
      <c r="E288" t="str">
        <f>IFERROR(__xludf.DUMMYFUNCTION("""COMPUTED_VALUE"""),"-")</f>
        <v>-</v>
      </c>
      <c r="F288" t="str">
        <f>IFERROR(__xludf.DUMMYFUNCTION("""COMPUTED_VALUE"""),"-")</f>
        <v>-</v>
      </c>
      <c r="G288" t="str">
        <f>IFERROR(__xludf.DUMMYFUNCTION("""COMPUTED_VALUE"""),"-")</f>
        <v>-</v>
      </c>
      <c r="H288" t="str">
        <f>IFERROR(__xludf.DUMMYFUNCTION("""COMPUTED_VALUE"""),"-")</f>
        <v>-</v>
      </c>
      <c r="I288" t="str">
        <f>IFERROR(__xludf.DUMMYFUNCTION("""COMPUTED_VALUE"""),"-")</f>
        <v>-</v>
      </c>
      <c r="J288" t="str">
        <f>IFERROR(__xludf.DUMMYFUNCTION("""COMPUTED_VALUE"""),"-")</f>
        <v>-</v>
      </c>
      <c r="K288" t="str">
        <f>IFERROR(__xludf.DUMMYFUNCTION("""COMPUTED_VALUE"""),"-")</f>
        <v>-</v>
      </c>
      <c r="L288" t="str">
        <f>IFERROR(__xludf.DUMMYFUNCTION("""COMPUTED_VALUE"""),"-")</f>
        <v>-</v>
      </c>
      <c r="M288" t="str">
        <f>IFERROR(__xludf.DUMMYFUNCTION("""COMPUTED_VALUE"""),"-")</f>
        <v>-</v>
      </c>
      <c r="O288" t="str">
        <f>IFERROR(__xludf.DUMMYFUNCTION("""COMPUTED_VALUE"""),"#287")</f>
        <v>#287</v>
      </c>
      <c r="P288" t="str">
        <f>IFERROR(__xludf.DUMMYFUNCTION("""COMPUTED_VALUE"""),"Patrick Le Hyaric")</f>
        <v>Patrick Le Hyaric</v>
      </c>
      <c r="Q288">
        <f>IFERROR(__xludf.DUMMYFUNCTION("""COMPUTED_VALUE"""),14068.0)</f>
        <v>14068</v>
      </c>
      <c r="R288" t="str">
        <f>IFERROR(__xludf.DUMMYFUNCTION("""COMPUTED_VALUE"""),"-")</f>
        <v>-</v>
      </c>
      <c r="S288" t="str">
        <f>IFERROR(__xludf.DUMMYFUNCTION("""COMPUTED_VALUE"""),"-")</f>
        <v>-</v>
      </c>
      <c r="T288" t="str">
        <f>IFERROR(__xludf.DUMMYFUNCTION("""COMPUTED_VALUE"""),"-")</f>
        <v>-</v>
      </c>
      <c r="U288" t="str">
        <f>IFERROR(__xludf.DUMMYFUNCTION("""COMPUTED_VALUE"""),"-")</f>
        <v>-</v>
      </c>
      <c r="V288" t="str">
        <f>IFERROR(__xludf.DUMMYFUNCTION("""COMPUTED_VALUE"""),"-")</f>
        <v>-</v>
      </c>
      <c r="W288" t="str">
        <f>IFERROR(__xludf.DUMMYFUNCTION("""COMPUTED_VALUE"""),"-")</f>
        <v>-</v>
      </c>
      <c r="X288" t="str">
        <f>IFERROR(__xludf.DUMMYFUNCTION("""COMPUTED_VALUE"""),"-")</f>
        <v>-</v>
      </c>
      <c r="Y288" t="str">
        <f>IFERROR(__xludf.DUMMYFUNCTION("""COMPUTED_VALUE"""),"-")</f>
        <v>-</v>
      </c>
      <c r="Z288" t="str">
        <f>IFERROR(__xludf.DUMMYFUNCTION("""COMPUTED_VALUE"""),"-")</f>
        <v>-</v>
      </c>
      <c r="AA288" t="str">
        <f>IFERROR(__xludf.DUMMYFUNCTION("""COMPUTED_VALUE"""),"-")</f>
        <v>-</v>
      </c>
    </row>
    <row r="289">
      <c r="A289" t="str">
        <f>IFERROR(__xludf.DUMMYFUNCTION("""COMPUTED_VALUE"""),"#288")</f>
        <v>#288</v>
      </c>
      <c r="B289" t="str">
        <f>IFERROR(__xludf.DUMMYFUNCTION("""COMPUTED_VALUE"""),"Georges Fenech")</f>
        <v>Georges Fenech</v>
      </c>
      <c r="C289">
        <f>IFERROR(__xludf.DUMMYFUNCTION("""COMPUTED_VALUE"""),14007.0)</f>
        <v>14007</v>
      </c>
      <c r="D289" t="str">
        <f>IFERROR(__xludf.DUMMYFUNCTION("""COMPUTED_VALUE"""),"-")</f>
        <v>-</v>
      </c>
      <c r="E289" t="str">
        <f>IFERROR(__xludf.DUMMYFUNCTION("""COMPUTED_VALUE"""),"-")</f>
        <v>-</v>
      </c>
      <c r="F289" t="str">
        <f>IFERROR(__xludf.DUMMYFUNCTION("""COMPUTED_VALUE"""),"-")</f>
        <v>-</v>
      </c>
      <c r="G289" t="str">
        <f>IFERROR(__xludf.DUMMYFUNCTION("""COMPUTED_VALUE"""),"-")</f>
        <v>-</v>
      </c>
      <c r="H289" t="str">
        <f>IFERROR(__xludf.DUMMYFUNCTION("""COMPUTED_VALUE"""),"-")</f>
        <v>-</v>
      </c>
      <c r="I289" t="str">
        <f>IFERROR(__xludf.DUMMYFUNCTION("""COMPUTED_VALUE"""),"-")</f>
        <v>-</v>
      </c>
      <c r="J289" t="str">
        <f>IFERROR(__xludf.DUMMYFUNCTION("""COMPUTED_VALUE"""),"-")</f>
        <v>-</v>
      </c>
      <c r="K289" t="str">
        <f>IFERROR(__xludf.DUMMYFUNCTION("""COMPUTED_VALUE"""),"-")</f>
        <v>-</v>
      </c>
      <c r="L289" t="str">
        <f>IFERROR(__xludf.DUMMYFUNCTION("""COMPUTED_VALUE"""),"-")</f>
        <v>-</v>
      </c>
      <c r="M289" t="str">
        <f>IFERROR(__xludf.DUMMYFUNCTION("""COMPUTED_VALUE"""),"-")</f>
        <v>-</v>
      </c>
      <c r="O289" t="str">
        <f>IFERROR(__xludf.DUMMYFUNCTION("""COMPUTED_VALUE"""),"#288")</f>
        <v>#288</v>
      </c>
      <c r="P289" t="str">
        <f>IFERROR(__xludf.DUMMYFUNCTION("""COMPUTED_VALUE"""),"Georges Fenech")</f>
        <v>Georges Fenech</v>
      </c>
      <c r="Q289">
        <f>IFERROR(__xludf.DUMMYFUNCTION("""COMPUTED_VALUE"""),14007.0)</f>
        <v>14007</v>
      </c>
      <c r="R289" t="str">
        <f>IFERROR(__xludf.DUMMYFUNCTION("""COMPUTED_VALUE"""),"-")</f>
        <v>-</v>
      </c>
      <c r="S289" t="str">
        <f>IFERROR(__xludf.DUMMYFUNCTION("""COMPUTED_VALUE"""),"-")</f>
        <v>-</v>
      </c>
      <c r="T289" t="str">
        <f>IFERROR(__xludf.DUMMYFUNCTION("""COMPUTED_VALUE"""),"-")</f>
        <v>-</v>
      </c>
      <c r="U289" t="str">
        <f>IFERROR(__xludf.DUMMYFUNCTION("""COMPUTED_VALUE"""),"-")</f>
        <v>-</v>
      </c>
      <c r="V289" t="str">
        <f>IFERROR(__xludf.DUMMYFUNCTION("""COMPUTED_VALUE"""),"-")</f>
        <v>-</v>
      </c>
      <c r="W289" t="str">
        <f>IFERROR(__xludf.DUMMYFUNCTION("""COMPUTED_VALUE"""),"-")</f>
        <v>-</v>
      </c>
      <c r="X289" t="str">
        <f>IFERROR(__xludf.DUMMYFUNCTION("""COMPUTED_VALUE"""),"-")</f>
        <v>-</v>
      </c>
      <c r="Y289" t="str">
        <f>IFERROR(__xludf.DUMMYFUNCTION("""COMPUTED_VALUE"""),"-")</f>
        <v>-</v>
      </c>
      <c r="Z289" t="str">
        <f>IFERROR(__xludf.DUMMYFUNCTION("""COMPUTED_VALUE"""),"-")</f>
        <v>-</v>
      </c>
      <c r="AA289" t="str">
        <f>IFERROR(__xludf.DUMMYFUNCTION("""COMPUTED_VALUE"""),"-")</f>
        <v>-</v>
      </c>
    </row>
    <row r="290">
      <c r="A290" t="str">
        <f>IFERROR(__xludf.DUMMYFUNCTION("""COMPUTED_VALUE"""),"#289")</f>
        <v>#289</v>
      </c>
      <c r="B290" t="str">
        <f>IFERROR(__xludf.DUMMYFUNCTION("""COMPUTED_VALUE"""),"Marine Brenier")</f>
        <v>Marine Brenier</v>
      </c>
      <c r="C290">
        <f>IFERROR(__xludf.DUMMYFUNCTION("""COMPUTED_VALUE"""),13986.0)</f>
        <v>13986</v>
      </c>
      <c r="D290" t="str">
        <f>IFERROR(__xludf.DUMMYFUNCTION("""COMPUTED_VALUE"""),"-")</f>
        <v>-</v>
      </c>
      <c r="E290" t="str">
        <f>IFERROR(__xludf.DUMMYFUNCTION("""COMPUTED_VALUE"""),"-")</f>
        <v>-</v>
      </c>
      <c r="F290" t="str">
        <f>IFERROR(__xludf.DUMMYFUNCTION("""COMPUTED_VALUE"""),"-")</f>
        <v>-</v>
      </c>
      <c r="G290" t="str">
        <f>IFERROR(__xludf.DUMMYFUNCTION("""COMPUTED_VALUE"""),"-")</f>
        <v>-</v>
      </c>
      <c r="H290" t="str">
        <f>IFERROR(__xludf.DUMMYFUNCTION("""COMPUTED_VALUE"""),"-")</f>
        <v>-</v>
      </c>
      <c r="I290" t="str">
        <f>IFERROR(__xludf.DUMMYFUNCTION("""COMPUTED_VALUE"""),"-")</f>
        <v>-</v>
      </c>
      <c r="J290" t="str">
        <f>IFERROR(__xludf.DUMMYFUNCTION("""COMPUTED_VALUE"""),"-")</f>
        <v>-</v>
      </c>
      <c r="K290" t="str">
        <f>IFERROR(__xludf.DUMMYFUNCTION("""COMPUTED_VALUE"""),"-")</f>
        <v>-</v>
      </c>
      <c r="L290" t="str">
        <f>IFERROR(__xludf.DUMMYFUNCTION("""COMPUTED_VALUE"""),"-")</f>
        <v>-</v>
      </c>
      <c r="M290" t="str">
        <f>IFERROR(__xludf.DUMMYFUNCTION("""COMPUTED_VALUE"""),"-")</f>
        <v>-</v>
      </c>
      <c r="O290" t="str">
        <f>IFERROR(__xludf.DUMMYFUNCTION("""COMPUTED_VALUE"""),"#289")</f>
        <v>#289</v>
      </c>
      <c r="P290" t="str">
        <f>IFERROR(__xludf.DUMMYFUNCTION("""COMPUTED_VALUE"""),"Marine Brenier")</f>
        <v>Marine Brenier</v>
      </c>
      <c r="Q290">
        <f>IFERROR(__xludf.DUMMYFUNCTION("""COMPUTED_VALUE"""),13986.0)</f>
        <v>13986</v>
      </c>
      <c r="R290" t="str">
        <f>IFERROR(__xludf.DUMMYFUNCTION("""COMPUTED_VALUE"""),"-")</f>
        <v>-</v>
      </c>
      <c r="S290" t="str">
        <f>IFERROR(__xludf.DUMMYFUNCTION("""COMPUTED_VALUE"""),"-")</f>
        <v>-</v>
      </c>
      <c r="T290" t="str">
        <f>IFERROR(__xludf.DUMMYFUNCTION("""COMPUTED_VALUE"""),"-")</f>
        <v>-</v>
      </c>
      <c r="U290" t="str">
        <f>IFERROR(__xludf.DUMMYFUNCTION("""COMPUTED_VALUE"""),"-")</f>
        <v>-</v>
      </c>
      <c r="V290" t="str">
        <f>IFERROR(__xludf.DUMMYFUNCTION("""COMPUTED_VALUE"""),"-")</f>
        <v>-</v>
      </c>
      <c r="W290" t="str">
        <f>IFERROR(__xludf.DUMMYFUNCTION("""COMPUTED_VALUE"""),"-")</f>
        <v>-</v>
      </c>
      <c r="X290" t="str">
        <f>IFERROR(__xludf.DUMMYFUNCTION("""COMPUTED_VALUE"""),"-")</f>
        <v>-</v>
      </c>
      <c r="Y290" t="str">
        <f>IFERROR(__xludf.DUMMYFUNCTION("""COMPUTED_VALUE"""),"-")</f>
        <v>-</v>
      </c>
      <c r="Z290" t="str">
        <f>IFERROR(__xludf.DUMMYFUNCTION("""COMPUTED_VALUE"""),"-")</f>
        <v>-</v>
      </c>
      <c r="AA290" t="str">
        <f>IFERROR(__xludf.DUMMYFUNCTION("""COMPUTED_VALUE"""),"-")</f>
        <v>-</v>
      </c>
    </row>
    <row r="291">
      <c r="A291" t="str">
        <f>IFERROR(__xludf.DUMMYFUNCTION("""COMPUTED_VALUE"""),"#290")</f>
        <v>#290</v>
      </c>
      <c r="B291" t="str">
        <f>IFERROR(__xludf.DUMMYFUNCTION("""COMPUTED_VALUE"""),"Gaëtan Dussausaye")</f>
        <v>Gaëtan Dussausaye</v>
      </c>
      <c r="C291">
        <f>IFERROR(__xludf.DUMMYFUNCTION("""COMPUTED_VALUE"""),13894.0)</f>
        <v>13894</v>
      </c>
      <c r="D291" t="str">
        <f>IFERROR(__xludf.DUMMYFUNCTION("""COMPUTED_VALUE"""),"-")</f>
        <v>-</v>
      </c>
      <c r="E291" t="str">
        <f>IFERROR(__xludf.DUMMYFUNCTION("""COMPUTED_VALUE"""),"-")</f>
        <v>-</v>
      </c>
      <c r="F291" t="str">
        <f>IFERROR(__xludf.DUMMYFUNCTION("""COMPUTED_VALUE"""),"-")</f>
        <v>-</v>
      </c>
      <c r="G291" t="str">
        <f>IFERROR(__xludf.DUMMYFUNCTION("""COMPUTED_VALUE"""),"-")</f>
        <v>-</v>
      </c>
      <c r="H291" t="str">
        <f>IFERROR(__xludf.DUMMYFUNCTION("""COMPUTED_VALUE"""),"-")</f>
        <v>-</v>
      </c>
      <c r="I291" t="str">
        <f>IFERROR(__xludf.DUMMYFUNCTION("""COMPUTED_VALUE"""),"-")</f>
        <v>-</v>
      </c>
      <c r="J291" t="str">
        <f>IFERROR(__xludf.DUMMYFUNCTION("""COMPUTED_VALUE"""),"-")</f>
        <v>-</v>
      </c>
      <c r="K291" t="str">
        <f>IFERROR(__xludf.DUMMYFUNCTION("""COMPUTED_VALUE"""),"-")</f>
        <v>-</v>
      </c>
      <c r="L291" t="str">
        <f>IFERROR(__xludf.DUMMYFUNCTION("""COMPUTED_VALUE"""),"-")</f>
        <v>-</v>
      </c>
      <c r="M291" t="str">
        <f>IFERROR(__xludf.DUMMYFUNCTION("""COMPUTED_VALUE"""),"-")</f>
        <v>-</v>
      </c>
      <c r="O291" t="str">
        <f>IFERROR(__xludf.DUMMYFUNCTION("""COMPUTED_VALUE"""),"#290")</f>
        <v>#290</v>
      </c>
      <c r="P291" t="str">
        <f>IFERROR(__xludf.DUMMYFUNCTION("""COMPUTED_VALUE"""),"Gaëtan Dussausaye")</f>
        <v>Gaëtan Dussausaye</v>
      </c>
      <c r="Q291">
        <f>IFERROR(__xludf.DUMMYFUNCTION("""COMPUTED_VALUE"""),13894.0)</f>
        <v>13894</v>
      </c>
      <c r="R291" t="str">
        <f>IFERROR(__xludf.DUMMYFUNCTION("""COMPUTED_VALUE"""),"-")</f>
        <v>-</v>
      </c>
      <c r="S291" t="str">
        <f>IFERROR(__xludf.DUMMYFUNCTION("""COMPUTED_VALUE"""),"-")</f>
        <v>-</v>
      </c>
      <c r="T291" t="str">
        <f>IFERROR(__xludf.DUMMYFUNCTION("""COMPUTED_VALUE"""),"-")</f>
        <v>-</v>
      </c>
      <c r="U291" t="str">
        <f>IFERROR(__xludf.DUMMYFUNCTION("""COMPUTED_VALUE"""),"-")</f>
        <v>-</v>
      </c>
      <c r="V291" t="str">
        <f>IFERROR(__xludf.DUMMYFUNCTION("""COMPUTED_VALUE"""),"-")</f>
        <v>-</v>
      </c>
      <c r="W291" t="str">
        <f>IFERROR(__xludf.DUMMYFUNCTION("""COMPUTED_VALUE"""),"-")</f>
        <v>-</v>
      </c>
      <c r="X291" t="str">
        <f>IFERROR(__xludf.DUMMYFUNCTION("""COMPUTED_VALUE"""),"-")</f>
        <v>-</v>
      </c>
      <c r="Y291" t="str">
        <f>IFERROR(__xludf.DUMMYFUNCTION("""COMPUTED_VALUE"""),"-")</f>
        <v>-</v>
      </c>
      <c r="Z291" t="str">
        <f>IFERROR(__xludf.DUMMYFUNCTION("""COMPUTED_VALUE"""),"-")</f>
        <v>-</v>
      </c>
      <c r="AA291" t="str">
        <f>IFERROR(__xludf.DUMMYFUNCTION("""COMPUTED_VALUE"""),"-")</f>
        <v>-</v>
      </c>
    </row>
    <row r="292">
      <c r="A292" t="str">
        <f>IFERROR(__xludf.DUMMYFUNCTION("""COMPUTED_VALUE"""),"#291")</f>
        <v>#291</v>
      </c>
      <c r="B292" t="str">
        <f>IFERROR(__xludf.DUMMYFUNCTION("""COMPUTED_VALUE"""),"Frederic Valletoux")</f>
        <v>Frederic Valletoux</v>
      </c>
      <c r="C292">
        <f>IFERROR(__xludf.DUMMYFUNCTION("""COMPUTED_VALUE"""),13791.0)</f>
        <v>13791</v>
      </c>
      <c r="D292" t="str">
        <f>IFERROR(__xludf.DUMMYFUNCTION("""COMPUTED_VALUE"""),"-")</f>
        <v>-</v>
      </c>
      <c r="E292" t="str">
        <f>IFERROR(__xludf.DUMMYFUNCTION("""COMPUTED_VALUE"""),"-")</f>
        <v>-</v>
      </c>
      <c r="F292" t="str">
        <f>IFERROR(__xludf.DUMMYFUNCTION("""COMPUTED_VALUE"""),"-")</f>
        <v>-</v>
      </c>
      <c r="G292" t="str">
        <f>IFERROR(__xludf.DUMMYFUNCTION("""COMPUTED_VALUE"""),"-")</f>
        <v>-</v>
      </c>
      <c r="H292" t="str">
        <f>IFERROR(__xludf.DUMMYFUNCTION("""COMPUTED_VALUE"""),"-")</f>
        <v>-</v>
      </c>
      <c r="I292" t="str">
        <f>IFERROR(__xludf.DUMMYFUNCTION("""COMPUTED_VALUE"""),"-")</f>
        <v>-</v>
      </c>
      <c r="J292" t="str">
        <f>IFERROR(__xludf.DUMMYFUNCTION("""COMPUTED_VALUE"""),"-")</f>
        <v>-</v>
      </c>
      <c r="K292" t="str">
        <f>IFERROR(__xludf.DUMMYFUNCTION("""COMPUTED_VALUE"""),"-")</f>
        <v>-</v>
      </c>
      <c r="L292" t="str">
        <f>IFERROR(__xludf.DUMMYFUNCTION("""COMPUTED_VALUE"""),"-")</f>
        <v>-</v>
      </c>
      <c r="M292" t="str">
        <f>IFERROR(__xludf.DUMMYFUNCTION("""COMPUTED_VALUE"""),"-")</f>
        <v>-</v>
      </c>
      <c r="O292" t="str">
        <f>IFERROR(__xludf.DUMMYFUNCTION("""COMPUTED_VALUE"""),"#291")</f>
        <v>#291</v>
      </c>
      <c r="P292" t="str">
        <f>IFERROR(__xludf.DUMMYFUNCTION("""COMPUTED_VALUE"""),"Frederic Valletoux")</f>
        <v>Frederic Valletoux</v>
      </c>
      <c r="Q292">
        <f>IFERROR(__xludf.DUMMYFUNCTION("""COMPUTED_VALUE"""),13791.0)</f>
        <v>13791</v>
      </c>
      <c r="R292" t="str">
        <f>IFERROR(__xludf.DUMMYFUNCTION("""COMPUTED_VALUE"""),"-")</f>
        <v>-</v>
      </c>
      <c r="S292" t="str">
        <f>IFERROR(__xludf.DUMMYFUNCTION("""COMPUTED_VALUE"""),"-")</f>
        <v>-</v>
      </c>
      <c r="T292" t="str">
        <f>IFERROR(__xludf.DUMMYFUNCTION("""COMPUTED_VALUE"""),"-")</f>
        <v>-</v>
      </c>
      <c r="U292" t="str">
        <f>IFERROR(__xludf.DUMMYFUNCTION("""COMPUTED_VALUE"""),"-")</f>
        <v>-</v>
      </c>
      <c r="V292" t="str">
        <f>IFERROR(__xludf.DUMMYFUNCTION("""COMPUTED_VALUE"""),"-")</f>
        <v>-</v>
      </c>
      <c r="W292" t="str">
        <f>IFERROR(__xludf.DUMMYFUNCTION("""COMPUTED_VALUE"""),"-")</f>
        <v>-</v>
      </c>
      <c r="X292" t="str">
        <f>IFERROR(__xludf.DUMMYFUNCTION("""COMPUTED_VALUE"""),"-")</f>
        <v>-</v>
      </c>
      <c r="Y292" t="str">
        <f>IFERROR(__xludf.DUMMYFUNCTION("""COMPUTED_VALUE"""),"-")</f>
        <v>-</v>
      </c>
      <c r="Z292" t="str">
        <f>IFERROR(__xludf.DUMMYFUNCTION("""COMPUTED_VALUE"""),"-")</f>
        <v>-</v>
      </c>
      <c r="AA292" t="str">
        <f>IFERROR(__xludf.DUMMYFUNCTION("""COMPUTED_VALUE"""),"-")</f>
        <v>-</v>
      </c>
    </row>
    <row r="293">
      <c r="A293" t="str">
        <f>IFERROR(__xludf.DUMMYFUNCTION("""COMPUTED_VALUE"""),"#292")</f>
        <v>#292</v>
      </c>
      <c r="B293" t="str">
        <f>IFERROR(__xludf.DUMMYFUNCTION("""COMPUTED_VALUE"""),"Gabriel Amard")</f>
        <v>Gabriel Amard</v>
      </c>
      <c r="C293">
        <f>IFERROR(__xludf.DUMMYFUNCTION("""COMPUTED_VALUE"""),13756.0)</f>
        <v>13756</v>
      </c>
      <c r="D293" t="str">
        <f>IFERROR(__xludf.DUMMYFUNCTION("""COMPUTED_VALUE"""),"-")</f>
        <v>-</v>
      </c>
      <c r="E293" t="str">
        <f>IFERROR(__xludf.DUMMYFUNCTION("""COMPUTED_VALUE"""),"-")</f>
        <v>-</v>
      </c>
      <c r="F293" t="str">
        <f>IFERROR(__xludf.DUMMYFUNCTION("""COMPUTED_VALUE"""),"-")</f>
        <v>-</v>
      </c>
      <c r="G293" t="str">
        <f>IFERROR(__xludf.DUMMYFUNCTION("""COMPUTED_VALUE"""),"-")</f>
        <v>-</v>
      </c>
      <c r="H293" t="str">
        <f>IFERROR(__xludf.DUMMYFUNCTION("""COMPUTED_VALUE"""),"-")</f>
        <v>-</v>
      </c>
      <c r="I293" t="str">
        <f>IFERROR(__xludf.DUMMYFUNCTION("""COMPUTED_VALUE"""),"-")</f>
        <v>-</v>
      </c>
      <c r="J293" t="str">
        <f>IFERROR(__xludf.DUMMYFUNCTION("""COMPUTED_VALUE"""),"-")</f>
        <v>-</v>
      </c>
      <c r="K293" t="str">
        <f>IFERROR(__xludf.DUMMYFUNCTION("""COMPUTED_VALUE"""),"-")</f>
        <v>-</v>
      </c>
      <c r="L293" t="str">
        <f>IFERROR(__xludf.DUMMYFUNCTION("""COMPUTED_VALUE"""),"-")</f>
        <v>-</v>
      </c>
      <c r="M293" t="str">
        <f>IFERROR(__xludf.DUMMYFUNCTION("""COMPUTED_VALUE"""),"-")</f>
        <v>-</v>
      </c>
      <c r="O293" t="str">
        <f>IFERROR(__xludf.DUMMYFUNCTION("""COMPUTED_VALUE"""),"#292")</f>
        <v>#292</v>
      </c>
      <c r="P293" t="str">
        <f>IFERROR(__xludf.DUMMYFUNCTION("""COMPUTED_VALUE"""),"Gabriel Amard")</f>
        <v>Gabriel Amard</v>
      </c>
      <c r="Q293">
        <f>IFERROR(__xludf.DUMMYFUNCTION("""COMPUTED_VALUE"""),13756.0)</f>
        <v>13756</v>
      </c>
      <c r="R293" t="str">
        <f>IFERROR(__xludf.DUMMYFUNCTION("""COMPUTED_VALUE"""),"-")</f>
        <v>-</v>
      </c>
      <c r="S293" t="str">
        <f>IFERROR(__xludf.DUMMYFUNCTION("""COMPUTED_VALUE"""),"-")</f>
        <v>-</v>
      </c>
      <c r="T293" t="str">
        <f>IFERROR(__xludf.DUMMYFUNCTION("""COMPUTED_VALUE"""),"-")</f>
        <v>-</v>
      </c>
      <c r="U293" t="str">
        <f>IFERROR(__xludf.DUMMYFUNCTION("""COMPUTED_VALUE"""),"-")</f>
        <v>-</v>
      </c>
      <c r="V293" t="str">
        <f>IFERROR(__xludf.DUMMYFUNCTION("""COMPUTED_VALUE"""),"-")</f>
        <v>-</v>
      </c>
      <c r="W293" t="str">
        <f>IFERROR(__xludf.DUMMYFUNCTION("""COMPUTED_VALUE"""),"-")</f>
        <v>-</v>
      </c>
      <c r="X293" t="str">
        <f>IFERROR(__xludf.DUMMYFUNCTION("""COMPUTED_VALUE"""),"-")</f>
        <v>-</v>
      </c>
      <c r="Y293" t="str">
        <f>IFERROR(__xludf.DUMMYFUNCTION("""COMPUTED_VALUE"""),"-")</f>
        <v>-</v>
      </c>
      <c r="Z293" t="str">
        <f>IFERROR(__xludf.DUMMYFUNCTION("""COMPUTED_VALUE"""),"-")</f>
        <v>-</v>
      </c>
      <c r="AA293" t="str">
        <f>IFERROR(__xludf.DUMMYFUNCTION("""COMPUTED_VALUE"""),"-")</f>
        <v>-</v>
      </c>
    </row>
    <row r="294">
      <c r="A294" t="str">
        <f>IFERROR(__xludf.DUMMYFUNCTION("""COMPUTED_VALUE"""),"#293")</f>
        <v>#293</v>
      </c>
      <c r="B294" t="str">
        <f>IFERROR(__xludf.DUMMYFUNCTION("""COMPUTED_VALUE"""),"Pascale Boistard")</f>
        <v>Pascale Boistard</v>
      </c>
      <c r="C294">
        <f>IFERROR(__xludf.DUMMYFUNCTION("""COMPUTED_VALUE"""),13715.0)</f>
        <v>13715</v>
      </c>
      <c r="D294" t="str">
        <f>IFERROR(__xludf.DUMMYFUNCTION("""COMPUTED_VALUE"""),"-")</f>
        <v>-</v>
      </c>
      <c r="E294" t="str">
        <f>IFERROR(__xludf.DUMMYFUNCTION("""COMPUTED_VALUE"""),"-")</f>
        <v>-</v>
      </c>
      <c r="F294" t="str">
        <f>IFERROR(__xludf.DUMMYFUNCTION("""COMPUTED_VALUE"""),"-")</f>
        <v>-</v>
      </c>
      <c r="G294" t="str">
        <f>IFERROR(__xludf.DUMMYFUNCTION("""COMPUTED_VALUE"""),"-")</f>
        <v>-</v>
      </c>
      <c r="H294" t="str">
        <f>IFERROR(__xludf.DUMMYFUNCTION("""COMPUTED_VALUE"""),"-")</f>
        <v>-</v>
      </c>
      <c r="I294" t="str">
        <f>IFERROR(__xludf.DUMMYFUNCTION("""COMPUTED_VALUE"""),"-")</f>
        <v>-</v>
      </c>
      <c r="J294" t="str">
        <f>IFERROR(__xludf.DUMMYFUNCTION("""COMPUTED_VALUE"""),"-")</f>
        <v>-</v>
      </c>
      <c r="K294" t="str">
        <f>IFERROR(__xludf.DUMMYFUNCTION("""COMPUTED_VALUE"""),"-")</f>
        <v>-</v>
      </c>
      <c r="L294" t="str">
        <f>IFERROR(__xludf.DUMMYFUNCTION("""COMPUTED_VALUE"""),"-")</f>
        <v>-</v>
      </c>
      <c r="M294" t="str">
        <f>IFERROR(__xludf.DUMMYFUNCTION("""COMPUTED_VALUE"""),"-")</f>
        <v>-</v>
      </c>
      <c r="O294" t="str">
        <f>IFERROR(__xludf.DUMMYFUNCTION("""COMPUTED_VALUE"""),"#293")</f>
        <v>#293</v>
      </c>
      <c r="P294" t="str">
        <f>IFERROR(__xludf.DUMMYFUNCTION("""COMPUTED_VALUE"""),"Pascale Boistard")</f>
        <v>Pascale Boistard</v>
      </c>
      <c r="Q294">
        <f>IFERROR(__xludf.DUMMYFUNCTION("""COMPUTED_VALUE"""),13715.0)</f>
        <v>13715</v>
      </c>
      <c r="R294" t="str">
        <f>IFERROR(__xludf.DUMMYFUNCTION("""COMPUTED_VALUE"""),"-")</f>
        <v>-</v>
      </c>
      <c r="S294" t="str">
        <f>IFERROR(__xludf.DUMMYFUNCTION("""COMPUTED_VALUE"""),"-")</f>
        <v>-</v>
      </c>
      <c r="T294" t="str">
        <f>IFERROR(__xludf.DUMMYFUNCTION("""COMPUTED_VALUE"""),"-")</f>
        <v>-</v>
      </c>
      <c r="U294" t="str">
        <f>IFERROR(__xludf.DUMMYFUNCTION("""COMPUTED_VALUE"""),"-")</f>
        <v>-</v>
      </c>
      <c r="V294" t="str">
        <f>IFERROR(__xludf.DUMMYFUNCTION("""COMPUTED_VALUE"""),"-")</f>
        <v>-</v>
      </c>
      <c r="W294" t="str">
        <f>IFERROR(__xludf.DUMMYFUNCTION("""COMPUTED_VALUE"""),"-")</f>
        <v>-</v>
      </c>
      <c r="X294" t="str">
        <f>IFERROR(__xludf.DUMMYFUNCTION("""COMPUTED_VALUE"""),"-")</f>
        <v>-</v>
      </c>
      <c r="Y294" t="str">
        <f>IFERROR(__xludf.DUMMYFUNCTION("""COMPUTED_VALUE"""),"-")</f>
        <v>-</v>
      </c>
      <c r="Z294" t="str">
        <f>IFERROR(__xludf.DUMMYFUNCTION("""COMPUTED_VALUE"""),"-")</f>
        <v>-</v>
      </c>
      <c r="AA294" t="str">
        <f>IFERROR(__xludf.DUMMYFUNCTION("""COMPUTED_VALUE"""),"-")</f>
        <v>-</v>
      </c>
    </row>
    <row r="295">
      <c r="A295" t="str">
        <f>IFERROR(__xludf.DUMMYFUNCTION("""COMPUTED_VALUE"""),"#294")</f>
        <v>#294</v>
      </c>
      <c r="B295" t="str">
        <f>IFERROR(__xludf.DUMMYFUNCTION("""COMPUTED_VALUE"""),"Jean-Marie Cavada")</f>
        <v>Jean-Marie Cavada</v>
      </c>
      <c r="C295">
        <f>IFERROR(__xludf.DUMMYFUNCTION("""COMPUTED_VALUE"""),13714.0)</f>
        <v>13714</v>
      </c>
      <c r="D295" t="str">
        <f>IFERROR(__xludf.DUMMYFUNCTION("""COMPUTED_VALUE"""),"-")</f>
        <v>-</v>
      </c>
      <c r="E295" t="str">
        <f>IFERROR(__xludf.DUMMYFUNCTION("""COMPUTED_VALUE"""),"-")</f>
        <v>-</v>
      </c>
      <c r="F295" t="str">
        <f>IFERROR(__xludf.DUMMYFUNCTION("""COMPUTED_VALUE"""),"-")</f>
        <v>-</v>
      </c>
      <c r="G295" t="str">
        <f>IFERROR(__xludf.DUMMYFUNCTION("""COMPUTED_VALUE"""),"-")</f>
        <v>-</v>
      </c>
      <c r="H295" t="str">
        <f>IFERROR(__xludf.DUMMYFUNCTION("""COMPUTED_VALUE"""),"-")</f>
        <v>-</v>
      </c>
      <c r="I295" t="str">
        <f>IFERROR(__xludf.DUMMYFUNCTION("""COMPUTED_VALUE"""),"-")</f>
        <v>-</v>
      </c>
      <c r="J295" t="str">
        <f>IFERROR(__xludf.DUMMYFUNCTION("""COMPUTED_VALUE"""),"-")</f>
        <v>-</v>
      </c>
      <c r="K295" t="str">
        <f>IFERROR(__xludf.DUMMYFUNCTION("""COMPUTED_VALUE"""),"-")</f>
        <v>-</v>
      </c>
      <c r="L295" t="str">
        <f>IFERROR(__xludf.DUMMYFUNCTION("""COMPUTED_VALUE"""),"-")</f>
        <v>-</v>
      </c>
      <c r="M295" t="str">
        <f>IFERROR(__xludf.DUMMYFUNCTION("""COMPUTED_VALUE"""),"-")</f>
        <v>-</v>
      </c>
      <c r="O295" t="str">
        <f>IFERROR(__xludf.DUMMYFUNCTION("""COMPUTED_VALUE"""),"#294")</f>
        <v>#294</v>
      </c>
      <c r="P295" t="str">
        <f>IFERROR(__xludf.DUMMYFUNCTION("""COMPUTED_VALUE"""),"Jean-Marie Cavada")</f>
        <v>Jean-Marie Cavada</v>
      </c>
      <c r="Q295">
        <f>IFERROR(__xludf.DUMMYFUNCTION("""COMPUTED_VALUE"""),13714.0)</f>
        <v>13714</v>
      </c>
      <c r="R295" t="str">
        <f>IFERROR(__xludf.DUMMYFUNCTION("""COMPUTED_VALUE"""),"-")</f>
        <v>-</v>
      </c>
      <c r="S295" t="str">
        <f>IFERROR(__xludf.DUMMYFUNCTION("""COMPUTED_VALUE"""),"-")</f>
        <v>-</v>
      </c>
      <c r="T295" t="str">
        <f>IFERROR(__xludf.DUMMYFUNCTION("""COMPUTED_VALUE"""),"-")</f>
        <v>-</v>
      </c>
      <c r="U295" t="str">
        <f>IFERROR(__xludf.DUMMYFUNCTION("""COMPUTED_VALUE"""),"-")</f>
        <v>-</v>
      </c>
      <c r="V295" t="str">
        <f>IFERROR(__xludf.DUMMYFUNCTION("""COMPUTED_VALUE"""),"-")</f>
        <v>-</v>
      </c>
      <c r="W295" t="str">
        <f>IFERROR(__xludf.DUMMYFUNCTION("""COMPUTED_VALUE"""),"-")</f>
        <v>-</v>
      </c>
      <c r="X295" t="str">
        <f>IFERROR(__xludf.DUMMYFUNCTION("""COMPUTED_VALUE"""),"-")</f>
        <v>-</v>
      </c>
      <c r="Y295" t="str">
        <f>IFERROR(__xludf.DUMMYFUNCTION("""COMPUTED_VALUE"""),"-")</f>
        <v>-</v>
      </c>
      <c r="Z295" t="str">
        <f>IFERROR(__xludf.DUMMYFUNCTION("""COMPUTED_VALUE"""),"-")</f>
        <v>-</v>
      </c>
      <c r="AA295" t="str">
        <f>IFERROR(__xludf.DUMMYFUNCTION("""COMPUTED_VALUE"""),"-")</f>
        <v>-</v>
      </c>
    </row>
    <row r="296">
      <c r="A296" t="str">
        <f>IFERROR(__xludf.DUMMYFUNCTION("""COMPUTED_VALUE"""),"#295")</f>
        <v>#295</v>
      </c>
      <c r="B296" t="str">
        <f>IFERROR(__xludf.DUMMYFUNCTION("""COMPUTED_VALUE"""),"Eléonore Bez")</f>
        <v>Eléonore Bez</v>
      </c>
      <c r="C296">
        <f>IFERROR(__xludf.DUMMYFUNCTION("""COMPUTED_VALUE"""),13699.0)</f>
        <v>13699</v>
      </c>
      <c r="D296" t="str">
        <f>IFERROR(__xludf.DUMMYFUNCTION("""COMPUTED_VALUE"""),"-")</f>
        <v>-</v>
      </c>
      <c r="E296" t="str">
        <f>IFERROR(__xludf.DUMMYFUNCTION("""COMPUTED_VALUE"""),"-")</f>
        <v>-</v>
      </c>
      <c r="F296" t="str">
        <f>IFERROR(__xludf.DUMMYFUNCTION("""COMPUTED_VALUE"""),"-")</f>
        <v>-</v>
      </c>
      <c r="G296" t="str">
        <f>IFERROR(__xludf.DUMMYFUNCTION("""COMPUTED_VALUE"""),"-")</f>
        <v>-</v>
      </c>
      <c r="H296" t="str">
        <f>IFERROR(__xludf.DUMMYFUNCTION("""COMPUTED_VALUE"""),"-")</f>
        <v>-</v>
      </c>
      <c r="I296" t="str">
        <f>IFERROR(__xludf.DUMMYFUNCTION("""COMPUTED_VALUE"""),"-")</f>
        <v>-</v>
      </c>
      <c r="J296" t="str">
        <f>IFERROR(__xludf.DUMMYFUNCTION("""COMPUTED_VALUE"""),"-")</f>
        <v>-</v>
      </c>
      <c r="K296" t="str">
        <f>IFERROR(__xludf.DUMMYFUNCTION("""COMPUTED_VALUE"""),"-")</f>
        <v>-</v>
      </c>
      <c r="L296" t="str">
        <f>IFERROR(__xludf.DUMMYFUNCTION("""COMPUTED_VALUE"""),"-")</f>
        <v>-</v>
      </c>
      <c r="M296" t="str">
        <f>IFERROR(__xludf.DUMMYFUNCTION("""COMPUTED_VALUE"""),"-")</f>
        <v>-</v>
      </c>
      <c r="O296" t="str">
        <f>IFERROR(__xludf.DUMMYFUNCTION("""COMPUTED_VALUE"""),"#295")</f>
        <v>#295</v>
      </c>
      <c r="P296" t="str">
        <f>IFERROR(__xludf.DUMMYFUNCTION("""COMPUTED_VALUE"""),"Eléonore Bez")</f>
        <v>Eléonore Bez</v>
      </c>
      <c r="Q296">
        <f>IFERROR(__xludf.DUMMYFUNCTION("""COMPUTED_VALUE"""),13699.0)</f>
        <v>13699</v>
      </c>
      <c r="R296" t="str">
        <f>IFERROR(__xludf.DUMMYFUNCTION("""COMPUTED_VALUE"""),"-")</f>
        <v>-</v>
      </c>
      <c r="S296" t="str">
        <f>IFERROR(__xludf.DUMMYFUNCTION("""COMPUTED_VALUE"""),"-")</f>
        <v>-</v>
      </c>
      <c r="T296" t="str">
        <f>IFERROR(__xludf.DUMMYFUNCTION("""COMPUTED_VALUE"""),"-")</f>
        <v>-</v>
      </c>
      <c r="U296" t="str">
        <f>IFERROR(__xludf.DUMMYFUNCTION("""COMPUTED_VALUE"""),"-")</f>
        <v>-</v>
      </c>
      <c r="V296" t="str">
        <f>IFERROR(__xludf.DUMMYFUNCTION("""COMPUTED_VALUE"""),"-")</f>
        <v>-</v>
      </c>
      <c r="W296" t="str">
        <f>IFERROR(__xludf.DUMMYFUNCTION("""COMPUTED_VALUE"""),"-")</f>
        <v>-</v>
      </c>
      <c r="X296" t="str">
        <f>IFERROR(__xludf.DUMMYFUNCTION("""COMPUTED_VALUE"""),"-")</f>
        <v>-</v>
      </c>
      <c r="Y296" t="str">
        <f>IFERROR(__xludf.DUMMYFUNCTION("""COMPUTED_VALUE"""),"-")</f>
        <v>-</v>
      </c>
      <c r="Z296" t="str">
        <f>IFERROR(__xludf.DUMMYFUNCTION("""COMPUTED_VALUE"""),"-")</f>
        <v>-</v>
      </c>
      <c r="AA296" t="str">
        <f>IFERROR(__xludf.DUMMYFUNCTION("""COMPUTED_VALUE"""),"-")</f>
        <v>-</v>
      </c>
    </row>
    <row r="297">
      <c r="A297" t="str">
        <f>IFERROR(__xludf.DUMMYFUNCTION("""COMPUTED_VALUE"""),"#296")</f>
        <v>#296</v>
      </c>
      <c r="B297" t="str">
        <f>IFERROR(__xludf.DUMMYFUNCTION("""COMPUTED_VALUE"""),"Laurence Arribagé")</f>
        <v>Laurence Arribagé</v>
      </c>
      <c r="C297">
        <f>IFERROR(__xludf.DUMMYFUNCTION("""COMPUTED_VALUE"""),13663.0)</f>
        <v>13663</v>
      </c>
      <c r="D297" t="str">
        <f>IFERROR(__xludf.DUMMYFUNCTION("""COMPUTED_VALUE"""),"-")</f>
        <v>-</v>
      </c>
      <c r="E297" t="str">
        <f>IFERROR(__xludf.DUMMYFUNCTION("""COMPUTED_VALUE"""),"-")</f>
        <v>-</v>
      </c>
      <c r="F297" t="str">
        <f>IFERROR(__xludf.DUMMYFUNCTION("""COMPUTED_VALUE"""),"-")</f>
        <v>-</v>
      </c>
      <c r="G297" t="str">
        <f>IFERROR(__xludf.DUMMYFUNCTION("""COMPUTED_VALUE"""),"-")</f>
        <v>-</v>
      </c>
      <c r="H297" t="str">
        <f>IFERROR(__xludf.DUMMYFUNCTION("""COMPUTED_VALUE"""),"-")</f>
        <v>-</v>
      </c>
      <c r="I297" t="str">
        <f>IFERROR(__xludf.DUMMYFUNCTION("""COMPUTED_VALUE"""),"-")</f>
        <v>-</v>
      </c>
      <c r="J297" t="str">
        <f>IFERROR(__xludf.DUMMYFUNCTION("""COMPUTED_VALUE"""),"-")</f>
        <v>-</v>
      </c>
      <c r="K297" t="str">
        <f>IFERROR(__xludf.DUMMYFUNCTION("""COMPUTED_VALUE"""),"-")</f>
        <v>-</v>
      </c>
      <c r="L297" t="str">
        <f>IFERROR(__xludf.DUMMYFUNCTION("""COMPUTED_VALUE"""),"-")</f>
        <v>-</v>
      </c>
      <c r="M297" t="str">
        <f>IFERROR(__xludf.DUMMYFUNCTION("""COMPUTED_VALUE"""),"-")</f>
        <v>-</v>
      </c>
      <c r="O297" t="str">
        <f>IFERROR(__xludf.DUMMYFUNCTION("""COMPUTED_VALUE"""),"#296")</f>
        <v>#296</v>
      </c>
      <c r="P297" t="str">
        <f>IFERROR(__xludf.DUMMYFUNCTION("""COMPUTED_VALUE"""),"Laurence Arribagé")</f>
        <v>Laurence Arribagé</v>
      </c>
      <c r="Q297">
        <f>IFERROR(__xludf.DUMMYFUNCTION("""COMPUTED_VALUE"""),13663.0)</f>
        <v>13663</v>
      </c>
      <c r="R297" t="str">
        <f>IFERROR(__xludf.DUMMYFUNCTION("""COMPUTED_VALUE"""),"-")</f>
        <v>-</v>
      </c>
      <c r="S297" t="str">
        <f>IFERROR(__xludf.DUMMYFUNCTION("""COMPUTED_VALUE"""),"-")</f>
        <v>-</v>
      </c>
      <c r="T297" t="str">
        <f>IFERROR(__xludf.DUMMYFUNCTION("""COMPUTED_VALUE"""),"-")</f>
        <v>-</v>
      </c>
      <c r="U297" t="str">
        <f>IFERROR(__xludf.DUMMYFUNCTION("""COMPUTED_VALUE"""),"-")</f>
        <v>-</v>
      </c>
      <c r="V297" t="str">
        <f>IFERROR(__xludf.DUMMYFUNCTION("""COMPUTED_VALUE"""),"-")</f>
        <v>-</v>
      </c>
      <c r="W297" t="str">
        <f>IFERROR(__xludf.DUMMYFUNCTION("""COMPUTED_VALUE"""),"-")</f>
        <v>-</v>
      </c>
      <c r="X297" t="str">
        <f>IFERROR(__xludf.DUMMYFUNCTION("""COMPUTED_VALUE"""),"-")</f>
        <v>-</v>
      </c>
      <c r="Y297" t="str">
        <f>IFERROR(__xludf.DUMMYFUNCTION("""COMPUTED_VALUE"""),"-")</f>
        <v>-</v>
      </c>
      <c r="Z297" t="str">
        <f>IFERROR(__xludf.DUMMYFUNCTION("""COMPUTED_VALUE"""),"-")</f>
        <v>-</v>
      </c>
      <c r="AA297" t="str">
        <f>IFERROR(__xludf.DUMMYFUNCTION("""COMPUTED_VALUE"""),"-")</f>
        <v>-</v>
      </c>
    </row>
    <row r="298">
      <c r="A298" t="str">
        <f>IFERROR(__xludf.DUMMYFUNCTION("""COMPUTED_VALUE"""),"#297")</f>
        <v>#297</v>
      </c>
      <c r="B298" t="str">
        <f>IFERROR(__xludf.DUMMYFUNCTION("""COMPUTED_VALUE"""),"Jacques Myard")</f>
        <v>Jacques Myard</v>
      </c>
      <c r="C298">
        <f>IFERROR(__xludf.DUMMYFUNCTION("""COMPUTED_VALUE"""),13641.0)</f>
        <v>13641</v>
      </c>
      <c r="D298" t="str">
        <f>IFERROR(__xludf.DUMMYFUNCTION("""COMPUTED_VALUE"""),"-")</f>
        <v>-</v>
      </c>
      <c r="E298" t="str">
        <f>IFERROR(__xludf.DUMMYFUNCTION("""COMPUTED_VALUE"""),"-")</f>
        <v>-</v>
      </c>
      <c r="F298" t="str">
        <f>IFERROR(__xludf.DUMMYFUNCTION("""COMPUTED_VALUE"""),"-")</f>
        <v>-</v>
      </c>
      <c r="G298" t="str">
        <f>IFERROR(__xludf.DUMMYFUNCTION("""COMPUTED_VALUE"""),"-")</f>
        <v>-</v>
      </c>
      <c r="H298" t="str">
        <f>IFERROR(__xludf.DUMMYFUNCTION("""COMPUTED_VALUE"""),"-")</f>
        <v>-</v>
      </c>
      <c r="I298" t="str">
        <f>IFERROR(__xludf.DUMMYFUNCTION("""COMPUTED_VALUE"""),"-")</f>
        <v>-</v>
      </c>
      <c r="J298" t="str">
        <f>IFERROR(__xludf.DUMMYFUNCTION("""COMPUTED_VALUE"""),"-")</f>
        <v>-</v>
      </c>
      <c r="K298" t="str">
        <f>IFERROR(__xludf.DUMMYFUNCTION("""COMPUTED_VALUE"""),"-")</f>
        <v>-</v>
      </c>
      <c r="L298" t="str">
        <f>IFERROR(__xludf.DUMMYFUNCTION("""COMPUTED_VALUE"""),"-")</f>
        <v>-</v>
      </c>
      <c r="M298" t="str">
        <f>IFERROR(__xludf.DUMMYFUNCTION("""COMPUTED_VALUE"""),"-")</f>
        <v>-</v>
      </c>
      <c r="O298" t="str">
        <f>IFERROR(__xludf.DUMMYFUNCTION("""COMPUTED_VALUE"""),"#297")</f>
        <v>#297</v>
      </c>
      <c r="P298" t="str">
        <f>IFERROR(__xludf.DUMMYFUNCTION("""COMPUTED_VALUE"""),"Jacques Myard")</f>
        <v>Jacques Myard</v>
      </c>
      <c r="Q298">
        <f>IFERROR(__xludf.DUMMYFUNCTION("""COMPUTED_VALUE"""),13641.0)</f>
        <v>13641</v>
      </c>
      <c r="R298" t="str">
        <f>IFERROR(__xludf.DUMMYFUNCTION("""COMPUTED_VALUE"""),"-")</f>
        <v>-</v>
      </c>
      <c r="S298" t="str">
        <f>IFERROR(__xludf.DUMMYFUNCTION("""COMPUTED_VALUE"""),"-")</f>
        <v>-</v>
      </c>
      <c r="T298" t="str">
        <f>IFERROR(__xludf.DUMMYFUNCTION("""COMPUTED_VALUE"""),"-")</f>
        <v>-</v>
      </c>
      <c r="U298" t="str">
        <f>IFERROR(__xludf.DUMMYFUNCTION("""COMPUTED_VALUE"""),"-")</f>
        <v>-</v>
      </c>
      <c r="V298" t="str">
        <f>IFERROR(__xludf.DUMMYFUNCTION("""COMPUTED_VALUE"""),"-")</f>
        <v>-</v>
      </c>
      <c r="W298" t="str">
        <f>IFERROR(__xludf.DUMMYFUNCTION("""COMPUTED_VALUE"""),"-")</f>
        <v>-</v>
      </c>
      <c r="X298" t="str">
        <f>IFERROR(__xludf.DUMMYFUNCTION("""COMPUTED_VALUE"""),"-")</f>
        <v>-</v>
      </c>
      <c r="Y298" t="str">
        <f>IFERROR(__xludf.DUMMYFUNCTION("""COMPUTED_VALUE"""),"-")</f>
        <v>-</v>
      </c>
      <c r="Z298" t="str">
        <f>IFERROR(__xludf.DUMMYFUNCTION("""COMPUTED_VALUE"""),"-")</f>
        <v>-</v>
      </c>
      <c r="AA298" t="str">
        <f>IFERROR(__xludf.DUMMYFUNCTION("""COMPUTED_VALUE"""),"-")</f>
        <v>-</v>
      </c>
    </row>
    <row r="299">
      <c r="A299" t="str">
        <f>IFERROR(__xludf.DUMMYFUNCTION("""COMPUTED_VALUE"""),"#298")</f>
        <v>#298</v>
      </c>
      <c r="B299" t="str">
        <f>IFERROR(__xludf.DUMMYFUNCTION("""COMPUTED_VALUE"""),"Bruno Bonnell")</f>
        <v>Bruno Bonnell</v>
      </c>
      <c r="C299">
        <f>IFERROR(__xludf.DUMMYFUNCTION("""COMPUTED_VALUE"""),13588.0)</f>
        <v>13588</v>
      </c>
      <c r="D299" t="str">
        <f>IFERROR(__xludf.DUMMYFUNCTION("""COMPUTED_VALUE"""),"-")</f>
        <v>-</v>
      </c>
      <c r="E299" t="str">
        <f>IFERROR(__xludf.DUMMYFUNCTION("""COMPUTED_VALUE"""),"-")</f>
        <v>-</v>
      </c>
      <c r="F299" t="str">
        <f>IFERROR(__xludf.DUMMYFUNCTION("""COMPUTED_VALUE"""),"-")</f>
        <v>-</v>
      </c>
      <c r="G299" t="str">
        <f>IFERROR(__xludf.DUMMYFUNCTION("""COMPUTED_VALUE"""),"-")</f>
        <v>-</v>
      </c>
      <c r="H299" t="str">
        <f>IFERROR(__xludf.DUMMYFUNCTION("""COMPUTED_VALUE"""),"-")</f>
        <v>-</v>
      </c>
      <c r="I299" t="str">
        <f>IFERROR(__xludf.DUMMYFUNCTION("""COMPUTED_VALUE"""),"-")</f>
        <v>-</v>
      </c>
      <c r="J299" t="str">
        <f>IFERROR(__xludf.DUMMYFUNCTION("""COMPUTED_VALUE"""),"-")</f>
        <v>-</v>
      </c>
      <c r="K299" t="str">
        <f>IFERROR(__xludf.DUMMYFUNCTION("""COMPUTED_VALUE"""),"-")</f>
        <v>-</v>
      </c>
      <c r="L299" t="str">
        <f>IFERROR(__xludf.DUMMYFUNCTION("""COMPUTED_VALUE"""),"-")</f>
        <v>-</v>
      </c>
      <c r="M299" t="str">
        <f>IFERROR(__xludf.DUMMYFUNCTION("""COMPUTED_VALUE"""),"-")</f>
        <v>-</v>
      </c>
      <c r="O299" t="str">
        <f>IFERROR(__xludf.DUMMYFUNCTION("""COMPUTED_VALUE"""),"#298")</f>
        <v>#298</v>
      </c>
      <c r="P299" t="str">
        <f>IFERROR(__xludf.DUMMYFUNCTION("""COMPUTED_VALUE"""),"Bruno Bonnell")</f>
        <v>Bruno Bonnell</v>
      </c>
      <c r="Q299">
        <f>IFERROR(__xludf.DUMMYFUNCTION("""COMPUTED_VALUE"""),13588.0)</f>
        <v>13588</v>
      </c>
      <c r="R299" t="str">
        <f>IFERROR(__xludf.DUMMYFUNCTION("""COMPUTED_VALUE"""),"-")</f>
        <v>-</v>
      </c>
      <c r="S299" t="str">
        <f>IFERROR(__xludf.DUMMYFUNCTION("""COMPUTED_VALUE"""),"-")</f>
        <v>-</v>
      </c>
      <c r="T299" t="str">
        <f>IFERROR(__xludf.DUMMYFUNCTION("""COMPUTED_VALUE"""),"-")</f>
        <v>-</v>
      </c>
      <c r="U299" t="str">
        <f>IFERROR(__xludf.DUMMYFUNCTION("""COMPUTED_VALUE"""),"-")</f>
        <v>-</v>
      </c>
      <c r="V299" t="str">
        <f>IFERROR(__xludf.DUMMYFUNCTION("""COMPUTED_VALUE"""),"-")</f>
        <v>-</v>
      </c>
      <c r="W299" t="str">
        <f>IFERROR(__xludf.DUMMYFUNCTION("""COMPUTED_VALUE"""),"-")</f>
        <v>-</v>
      </c>
      <c r="X299" t="str">
        <f>IFERROR(__xludf.DUMMYFUNCTION("""COMPUTED_VALUE"""),"-")</f>
        <v>-</v>
      </c>
      <c r="Y299" t="str">
        <f>IFERROR(__xludf.DUMMYFUNCTION("""COMPUTED_VALUE"""),"-")</f>
        <v>-</v>
      </c>
      <c r="Z299" t="str">
        <f>IFERROR(__xludf.DUMMYFUNCTION("""COMPUTED_VALUE"""),"-")</f>
        <v>-</v>
      </c>
      <c r="AA299" t="str">
        <f>IFERROR(__xludf.DUMMYFUNCTION("""COMPUTED_VALUE"""),"-")</f>
        <v>-</v>
      </c>
    </row>
    <row r="300">
      <c r="A300" t="str">
        <f>IFERROR(__xludf.DUMMYFUNCTION("""COMPUTED_VALUE"""),"#299")</f>
        <v>#299</v>
      </c>
      <c r="B300" t="str">
        <f>IFERROR(__xludf.DUMMYFUNCTION("""COMPUTED_VALUE"""),"Marie-Christine Arnautu")</f>
        <v>Marie-Christine Arnautu</v>
      </c>
      <c r="C300">
        <f>IFERROR(__xludf.DUMMYFUNCTION("""COMPUTED_VALUE"""),13583.0)</f>
        <v>13583</v>
      </c>
      <c r="D300" t="str">
        <f>IFERROR(__xludf.DUMMYFUNCTION("""COMPUTED_VALUE"""),"-")</f>
        <v>-</v>
      </c>
      <c r="E300" t="str">
        <f>IFERROR(__xludf.DUMMYFUNCTION("""COMPUTED_VALUE"""),"-")</f>
        <v>-</v>
      </c>
      <c r="F300" t="str">
        <f>IFERROR(__xludf.DUMMYFUNCTION("""COMPUTED_VALUE"""),"-")</f>
        <v>-</v>
      </c>
      <c r="G300" t="str">
        <f>IFERROR(__xludf.DUMMYFUNCTION("""COMPUTED_VALUE"""),"-")</f>
        <v>-</v>
      </c>
      <c r="H300" t="str">
        <f>IFERROR(__xludf.DUMMYFUNCTION("""COMPUTED_VALUE"""),"-")</f>
        <v>-</v>
      </c>
      <c r="I300" t="str">
        <f>IFERROR(__xludf.DUMMYFUNCTION("""COMPUTED_VALUE"""),"-")</f>
        <v>-</v>
      </c>
      <c r="J300" t="str">
        <f>IFERROR(__xludf.DUMMYFUNCTION("""COMPUTED_VALUE"""),"-")</f>
        <v>-</v>
      </c>
      <c r="K300" t="str">
        <f>IFERROR(__xludf.DUMMYFUNCTION("""COMPUTED_VALUE"""),"-")</f>
        <v>-</v>
      </c>
      <c r="L300" t="str">
        <f>IFERROR(__xludf.DUMMYFUNCTION("""COMPUTED_VALUE"""),"-")</f>
        <v>-</v>
      </c>
      <c r="M300" t="str">
        <f>IFERROR(__xludf.DUMMYFUNCTION("""COMPUTED_VALUE"""),"-")</f>
        <v>-</v>
      </c>
      <c r="O300" t="str">
        <f>IFERROR(__xludf.DUMMYFUNCTION("""COMPUTED_VALUE"""),"#299")</f>
        <v>#299</v>
      </c>
      <c r="P300" t="str">
        <f>IFERROR(__xludf.DUMMYFUNCTION("""COMPUTED_VALUE"""),"Marie-Christine Arnautu")</f>
        <v>Marie-Christine Arnautu</v>
      </c>
      <c r="Q300">
        <f>IFERROR(__xludf.DUMMYFUNCTION("""COMPUTED_VALUE"""),13583.0)</f>
        <v>13583</v>
      </c>
      <c r="R300" t="str">
        <f>IFERROR(__xludf.DUMMYFUNCTION("""COMPUTED_VALUE"""),"-")</f>
        <v>-</v>
      </c>
      <c r="S300" t="str">
        <f>IFERROR(__xludf.DUMMYFUNCTION("""COMPUTED_VALUE"""),"-")</f>
        <v>-</v>
      </c>
      <c r="T300" t="str">
        <f>IFERROR(__xludf.DUMMYFUNCTION("""COMPUTED_VALUE"""),"-")</f>
        <v>-</v>
      </c>
      <c r="U300" t="str">
        <f>IFERROR(__xludf.DUMMYFUNCTION("""COMPUTED_VALUE"""),"-")</f>
        <v>-</v>
      </c>
      <c r="V300" t="str">
        <f>IFERROR(__xludf.DUMMYFUNCTION("""COMPUTED_VALUE"""),"-")</f>
        <v>-</v>
      </c>
      <c r="W300" t="str">
        <f>IFERROR(__xludf.DUMMYFUNCTION("""COMPUTED_VALUE"""),"-")</f>
        <v>-</v>
      </c>
      <c r="X300" t="str">
        <f>IFERROR(__xludf.DUMMYFUNCTION("""COMPUTED_VALUE"""),"-")</f>
        <v>-</v>
      </c>
      <c r="Y300" t="str">
        <f>IFERROR(__xludf.DUMMYFUNCTION("""COMPUTED_VALUE"""),"-")</f>
        <v>-</v>
      </c>
      <c r="Z300" t="str">
        <f>IFERROR(__xludf.DUMMYFUNCTION("""COMPUTED_VALUE"""),"-")</f>
        <v>-</v>
      </c>
      <c r="AA300" t="str">
        <f>IFERROR(__xludf.DUMMYFUNCTION("""COMPUTED_VALUE"""),"-")</f>
        <v>-</v>
      </c>
    </row>
    <row r="301">
      <c r="A301" t="str">
        <f>IFERROR(__xludf.DUMMYFUNCTION("""COMPUTED_VALUE"""),"#300")</f>
        <v>#300</v>
      </c>
      <c r="B301" t="str">
        <f>IFERROR(__xludf.DUMMYFUNCTION("""COMPUTED_VALUE"""),"Nicolas Florian")</f>
        <v>Nicolas Florian</v>
      </c>
      <c r="C301">
        <f>IFERROR(__xludf.DUMMYFUNCTION("""COMPUTED_VALUE"""),13547.0)</f>
        <v>13547</v>
      </c>
      <c r="D301" t="str">
        <f>IFERROR(__xludf.DUMMYFUNCTION("""COMPUTED_VALUE"""),"-")</f>
        <v>-</v>
      </c>
      <c r="E301" t="str">
        <f>IFERROR(__xludf.DUMMYFUNCTION("""COMPUTED_VALUE"""),"-")</f>
        <v>-</v>
      </c>
      <c r="F301" t="str">
        <f>IFERROR(__xludf.DUMMYFUNCTION("""COMPUTED_VALUE"""),"-")</f>
        <v>-</v>
      </c>
      <c r="G301" t="str">
        <f>IFERROR(__xludf.DUMMYFUNCTION("""COMPUTED_VALUE"""),"-")</f>
        <v>-</v>
      </c>
      <c r="H301" t="str">
        <f>IFERROR(__xludf.DUMMYFUNCTION("""COMPUTED_VALUE"""),"-")</f>
        <v>-</v>
      </c>
      <c r="I301" t="str">
        <f>IFERROR(__xludf.DUMMYFUNCTION("""COMPUTED_VALUE"""),"-")</f>
        <v>-</v>
      </c>
      <c r="J301" t="str">
        <f>IFERROR(__xludf.DUMMYFUNCTION("""COMPUTED_VALUE"""),"-")</f>
        <v>-</v>
      </c>
      <c r="K301" t="str">
        <f>IFERROR(__xludf.DUMMYFUNCTION("""COMPUTED_VALUE"""),"-")</f>
        <v>-</v>
      </c>
      <c r="L301" t="str">
        <f>IFERROR(__xludf.DUMMYFUNCTION("""COMPUTED_VALUE"""),"-")</f>
        <v>-</v>
      </c>
      <c r="M301" t="str">
        <f>IFERROR(__xludf.DUMMYFUNCTION("""COMPUTED_VALUE"""),"-")</f>
        <v>-</v>
      </c>
      <c r="O301" t="str">
        <f>IFERROR(__xludf.DUMMYFUNCTION("""COMPUTED_VALUE"""),"#300")</f>
        <v>#300</v>
      </c>
      <c r="P301" t="str">
        <f>IFERROR(__xludf.DUMMYFUNCTION("""COMPUTED_VALUE"""),"Nicolas Florian")</f>
        <v>Nicolas Florian</v>
      </c>
      <c r="Q301">
        <f>IFERROR(__xludf.DUMMYFUNCTION("""COMPUTED_VALUE"""),13547.0)</f>
        <v>13547</v>
      </c>
      <c r="R301" t="str">
        <f>IFERROR(__xludf.DUMMYFUNCTION("""COMPUTED_VALUE"""),"-")</f>
        <v>-</v>
      </c>
      <c r="S301" t="str">
        <f>IFERROR(__xludf.DUMMYFUNCTION("""COMPUTED_VALUE"""),"-")</f>
        <v>-</v>
      </c>
      <c r="T301" t="str">
        <f>IFERROR(__xludf.DUMMYFUNCTION("""COMPUTED_VALUE"""),"-")</f>
        <v>-</v>
      </c>
      <c r="U301" t="str">
        <f>IFERROR(__xludf.DUMMYFUNCTION("""COMPUTED_VALUE"""),"-")</f>
        <v>-</v>
      </c>
      <c r="V301" t="str">
        <f>IFERROR(__xludf.DUMMYFUNCTION("""COMPUTED_VALUE"""),"-")</f>
        <v>-</v>
      </c>
      <c r="W301" t="str">
        <f>IFERROR(__xludf.DUMMYFUNCTION("""COMPUTED_VALUE"""),"-")</f>
        <v>-</v>
      </c>
      <c r="X301" t="str">
        <f>IFERROR(__xludf.DUMMYFUNCTION("""COMPUTED_VALUE"""),"-")</f>
        <v>-</v>
      </c>
      <c r="Y301" t="str">
        <f>IFERROR(__xludf.DUMMYFUNCTION("""COMPUTED_VALUE"""),"-")</f>
        <v>-</v>
      </c>
      <c r="Z301" t="str">
        <f>IFERROR(__xludf.DUMMYFUNCTION("""COMPUTED_VALUE"""),"-")</f>
        <v>-</v>
      </c>
      <c r="AA301" t="str">
        <f>IFERROR(__xludf.DUMMYFUNCTION("""COMPUTED_VALUE"""),"-")</f>
        <v>-</v>
      </c>
    </row>
    <row r="302">
      <c r="A302" t="str">
        <f>IFERROR(__xludf.DUMMYFUNCTION("""COMPUTED_VALUE"""),"#301")</f>
        <v>#301</v>
      </c>
      <c r="B302" t="str">
        <f>IFERROR(__xludf.DUMMYFUNCTION("""COMPUTED_VALUE"""),"Patrick Mennucci")</f>
        <v>Patrick Mennucci</v>
      </c>
      <c r="C302">
        <f>IFERROR(__xludf.DUMMYFUNCTION("""COMPUTED_VALUE"""),13408.0)</f>
        <v>13408</v>
      </c>
      <c r="D302" t="str">
        <f>IFERROR(__xludf.DUMMYFUNCTION("""COMPUTED_VALUE"""),"-")</f>
        <v>-</v>
      </c>
      <c r="E302" t="str">
        <f>IFERROR(__xludf.DUMMYFUNCTION("""COMPUTED_VALUE"""),"-")</f>
        <v>-</v>
      </c>
      <c r="F302" t="str">
        <f>IFERROR(__xludf.DUMMYFUNCTION("""COMPUTED_VALUE"""),"-")</f>
        <v>-</v>
      </c>
      <c r="G302" t="str">
        <f>IFERROR(__xludf.DUMMYFUNCTION("""COMPUTED_VALUE"""),"-")</f>
        <v>-</v>
      </c>
      <c r="H302" t="str">
        <f>IFERROR(__xludf.DUMMYFUNCTION("""COMPUTED_VALUE"""),"-")</f>
        <v>-</v>
      </c>
      <c r="I302" t="str">
        <f>IFERROR(__xludf.DUMMYFUNCTION("""COMPUTED_VALUE"""),"-")</f>
        <v>-</v>
      </c>
      <c r="J302" t="str">
        <f>IFERROR(__xludf.DUMMYFUNCTION("""COMPUTED_VALUE"""),"-")</f>
        <v>-</v>
      </c>
      <c r="K302" t="str">
        <f>IFERROR(__xludf.DUMMYFUNCTION("""COMPUTED_VALUE"""),"-")</f>
        <v>-</v>
      </c>
      <c r="L302" t="str">
        <f>IFERROR(__xludf.DUMMYFUNCTION("""COMPUTED_VALUE"""),"-")</f>
        <v>-</v>
      </c>
      <c r="M302" t="str">
        <f>IFERROR(__xludf.DUMMYFUNCTION("""COMPUTED_VALUE"""),"-")</f>
        <v>-</v>
      </c>
      <c r="O302" t="str">
        <f>IFERROR(__xludf.DUMMYFUNCTION("""COMPUTED_VALUE"""),"#301")</f>
        <v>#301</v>
      </c>
      <c r="P302" t="str">
        <f>IFERROR(__xludf.DUMMYFUNCTION("""COMPUTED_VALUE"""),"Patrick Mennucci")</f>
        <v>Patrick Mennucci</v>
      </c>
      <c r="Q302">
        <f>IFERROR(__xludf.DUMMYFUNCTION("""COMPUTED_VALUE"""),13408.0)</f>
        <v>13408</v>
      </c>
      <c r="R302" t="str">
        <f>IFERROR(__xludf.DUMMYFUNCTION("""COMPUTED_VALUE"""),"-")</f>
        <v>-</v>
      </c>
      <c r="S302" t="str">
        <f>IFERROR(__xludf.DUMMYFUNCTION("""COMPUTED_VALUE"""),"-")</f>
        <v>-</v>
      </c>
      <c r="T302" t="str">
        <f>IFERROR(__xludf.DUMMYFUNCTION("""COMPUTED_VALUE"""),"-")</f>
        <v>-</v>
      </c>
      <c r="U302" t="str">
        <f>IFERROR(__xludf.DUMMYFUNCTION("""COMPUTED_VALUE"""),"-")</f>
        <v>-</v>
      </c>
      <c r="V302" t="str">
        <f>IFERROR(__xludf.DUMMYFUNCTION("""COMPUTED_VALUE"""),"-")</f>
        <v>-</v>
      </c>
      <c r="W302" t="str">
        <f>IFERROR(__xludf.DUMMYFUNCTION("""COMPUTED_VALUE"""),"-")</f>
        <v>-</v>
      </c>
      <c r="X302" t="str">
        <f>IFERROR(__xludf.DUMMYFUNCTION("""COMPUTED_VALUE"""),"-")</f>
        <v>-</v>
      </c>
      <c r="Y302" t="str">
        <f>IFERROR(__xludf.DUMMYFUNCTION("""COMPUTED_VALUE"""),"-")</f>
        <v>-</v>
      </c>
      <c r="Z302" t="str">
        <f>IFERROR(__xludf.DUMMYFUNCTION("""COMPUTED_VALUE"""),"-")</f>
        <v>-</v>
      </c>
      <c r="AA302" t="str">
        <f>IFERROR(__xludf.DUMMYFUNCTION("""COMPUTED_VALUE"""),"-")</f>
        <v>-</v>
      </c>
    </row>
    <row r="303">
      <c r="A303" t="str">
        <f>IFERROR(__xludf.DUMMYFUNCTION("""COMPUTED_VALUE"""),"#302")</f>
        <v>#302</v>
      </c>
      <c r="B303" t="str">
        <f>IFERROR(__xludf.DUMMYFUNCTION("""COMPUTED_VALUE"""),"Éricka Bareigts")</f>
        <v>Éricka Bareigts</v>
      </c>
      <c r="C303">
        <f>IFERROR(__xludf.DUMMYFUNCTION("""COMPUTED_VALUE"""),13274.0)</f>
        <v>13274</v>
      </c>
      <c r="D303" t="str">
        <f>IFERROR(__xludf.DUMMYFUNCTION("""COMPUTED_VALUE"""),"-")</f>
        <v>-</v>
      </c>
      <c r="E303" t="str">
        <f>IFERROR(__xludf.DUMMYFUNCTION("""COMPUTED_VALUE"""),"-")</f>
        <v>-</v>
      </c>
      <c r="F303" t="str">
        <f>IFERROR(__xludf.DUMMYFUNCTION("""COMPUTED_VALUE"""),"-")</f>
        <v>-</v>
      </c>
      <c r="G303" t="str">
        <f>IFERROR(__xludf.DUMMYFUNCTION("""COMPUTED_VALUE"""),"-")</f>
        <v>-</v>
      </c>
      <c r="H303" t="str">
        <f>IFERROR(__xludf.DUMMYFUNCTION("""COMPUTED_VALUE"""),"-")</f>
        <v>-</v>
      </c>
      <c r="I303" t="str">
        <f>IFERROR(__xludf.DUMMYFUNCTION("""COMPUTED_VALUE"""),"-")</f>
        <v>-</v>
      </c>
      <c r="J303" t="str">
        <f>IFERROR(__xludf.DUMMYFUNCTION("""COMPUTED_VALUE"""),"-")</f>
        <v>-</v>
      </c>
      <c r="K303" t="str">
        <f>IFERROR(__xludf.DUMMYFUNCTION("""COMPUTED_VALUE"""),"-")</f>
        <v>-</v>
      </c>
      <c r="L303" t="str">
        <f>IFERROR(__xludf.DUMMYFUNCTION("""COMPUTED_VALUE"""),"-")</f>
        <v>-</v>
      </c>
      <c r="M303" t="str">
        <f>IFERROR(__xludf.DUMMYFUNCTION("""COMPUTED_VALUE"""),"-")</f>
        <v>-</v>
      </c>
      <c r="O303" t="str">
        <f>IFERROR(__xludf.DUMMYFUNCTION("""COMPUTED_VALUE"""),"#302")</f>
        <v>#302</v>
      </c>
      <c r="P303" t="str">
        <f>IFERROR(__xludf.DUMMYFUNCTION("""COMPUTED_VALUE"""),"Éricka Bareigts")</f>
        <v>Éricka Bareigts</v>
      </c>
      <c r="Q303">
        <f>IFERROR(__xludf.DUMMYFUNCTION("""COMPUTED_VALUE"""),13274.0)</f>
        <v>13274</v>
      </c>
      <c r="R303" t="str">
        <f>IFERROR(__xludf.DUMMYFUNCTION("""COMPUTED_VALUE"""),"-")</f>
        <v>-</v>
      </c>
      <c r="S303" t="str">
        <f>IFERROR(__xludf.DUMMYFUNCTION("""COMPUTED_VALUE"""),"-")</f>
        <v>-</v>
      </c>
      <c r="T303" t="str">
        <f>IFERROR(__xludf.DUMMYFUNCTION("""COMPUTED_VALUE"""),"-")</f>
        <v>-</v>
      </c>
      <c r="U303" t="str">
        <f>IFERROR(__xludf.DUMMYFUNCTION("""COMPUTED_VALUE"""),"-")</f>
        <v>-</v>
      </c>
      <c r="V303" t="str">
        <f>IFERROR(__xludf.DUMMYFUNCTION("""COMPUTED_VALUE"""),"-")</f>
        <v>-</v>
      </c>
      <c r="W303" t="str">
        <f>IFERROR(__xludf.DUMMYFUNCTION("""COMPUTED_VALUE"""),"-")</f>
        <v>-</v>
      </c>
      <c r="X303" t="str">
        <f>IFERROR(__xludf.DUMMYFUNCTION("""COMPUTED_VALUE"""),"-")</f>
        <v>-</v>
      </c>
      <c r="Y303" t="str">
        <f>IFERROR(__xludf.DUMMYFUNCTION("""COMPUTED_VALUE"""),"-")</f>
        <v>-</v>
      </c>
      <c r="Z303" t="str">
        <f>IFERROR(__xludf.DUMMYFUNCTION("""COMPUTED_VALUE"""),"-")</f>
        <v>-</v>
      </c>
      <c r="AA303" t="str">
        <f>IFERROR(__xludf.DUMMYFUNCTION("""COMPUTED_VALUE"""),"-")</f>
        <v>-</v>
      </c>
    </row>
    <row r="304">
      <c r="A304" t="str">
        <f>IFERROR(__xludf.DUMMYFUNCTION("""COMPUTED_VALUE"""),"#303")</f>
        <v>#303</v>
      </c>
      <c r="B304" t="str">
        <f>IFERROR(__xludf.DUMMYFUNCTION("""COMPUTED_VALUE"""),"Florian Bachelier")</f>
        <v>Florian Bachelier</v>
      </c>
      <c r="C304">
        <f>IFERROR(__xludf.DUMMYFUNCTION("""COMPUTED_VALUE"""),13233.0)</f>
        <v>13233</v>
      </c>
      <c r="D304" t="str">
        <f>IFERROR(__xludf.DUMMYFUNCTION("""COMPUTED_VALUE"""),"-")</f>
        <v>-</v>
      </c>
      <c r="E304" t="str">
        <f>IFERROR(__xludf.DUMMYFUNCTION("""COMPUTED_VALUE"""),"-")</f>
        <v>-</v>
      </c>
      <c r="F304" t="str">
        <f>IFERROR(__xludf.DUMMYFUNCTION("""COMPUTED_VALUE"""),"-")</f>
        <v>-</v>
      </c>
      <c r="G304" t="str">
        <f>IFERROR(__xludf.DUMMYFUNCTION("""COMPUTED_VALUE"""),"-")</f>
        <v>-</v>
      </c>
      <c r="H304" t="str">
        <f>IFERROR(__xludf.DUMMYFUNCTION("""COMPUTED_VALUE"""),"-")</f>
        <v>-</v>
      </c>
      <c r="I304" t="str">
        <f>IFERROR(__xludf.DUMMYFUNCTION("""COMPUTED_VALUE"""),"-")</f>
        <v>-</v>
      </c>
      <c r="J304" t="str">
        <f>IFERROR(__xludf.DUMMYFUNCTION("""COMPUTED_VALUE"""),"-")</f>
        <v>-</v>
      </c>
      <c r="K304" t="str">
        <f>IFERROR(__xludf.DUMMYFUNCTION("""COMPUTED_VALUE"""),"-")</f>
        <v>-</v>
      </c>
      <c r="L304" t="str">
        <f>IFERROR(__xludf.DUMMYFUNCTION("""COMPUTED_VALUE"""),"-")</f>
        <v>-</v>
      </c>
      <c r="M304" t="str">
        <f>IFERROR(__xludf.DUMMYFUNCTION("""COMPUTED_VALUE"""),"-")</f>
        <v>-</v>
      </c>
      <c r="O304" t="str">
        <f>IFERROR(__xludf.DUMMYFUNCTION("""COMPUTED_VALUE"""),"#303")</f>
        <v>#303</v>
      </c>
      <c r="P304" t="str">
        <f>IFERROR(__xludf.DUMMYFUNCTION("""COMPUTED_VALUE"""),"Florian Bachelier")</f>
        <v>Florian Bachelier</v>
      </c>
      <c r="Q304">
        <f>IFERROR(__xludf.DUMMYFUNCTION("""COMPUTED_VALUE"""),13233.0)</f>
        <v>13233</v>
      </c>
      <c r="R304" t="str">
        <f>IFERROR(__xludf.DUMMYFUNCTION("""COMPUTED_VALUE"""),"-")</f>
        <v>-</v>
      </c>
      <c r="S304" t="str">
        <f>IFERROR(__xludf.DUMMYFUNCTION("""COMPUTED_VALUE"""),"-")</f>
        <v>-</v>
      </c>
      <c r="T304" t="str">
        <f>IFERROR(__xludf.DUMMYFUNCTION("""COMPUTED_VALUE"""),"-")</f>
        <v>-</v>
      </c>
      <c r="U304" t="str">
        <f>IFERROR(__xludf.DUMMYFUNCTION("""COMPUTED_VALUE"""),"-")</f>
        <v>-</v>
      </c>
      <c r="V304" t="str">
        <f>IFERROR(__xludf.DUMMYFUNCTION("""COMPUTED_VALUE"""),"-")</f>
        <v>-</v>
      </c>
      <c r="W304" t="str">
        <f>IFERROR(__xludf.DUMMYFUNCTION("""COMPUTED_VALUE"""),"-")</f>
        <v>-</v>
      </c>
      <c r="X304" t="str">
        <f>IFERROR(__xludf.DUMMYFUNCTION("""COMPUTED_VALUE"""),"-")</f>
        <v>-</v>
      </c>
      <c r="Y304" t="str">
        <f>IFERROR(__xludf.DUMMYFUNCTION("""COMPUTED_VALUE"""),"-")</f>
        <v>-</v>
      </c>
      <c r="Z304" t="str">
        <f>IFERROR(__xludf.DUMMYFUNCTION("""COMPUTED_VALUE"""),"-")</f>
        <v>-</v>
      </c>
      <c r="AA304" t="str">
        <f>IFERROR(__xludf.DUMMYFUNCTION("""COMPUTED_VALUE"""),"-")</f>
        <v>-</v>
      </c>
    </row>
    <row r="305">
      <c r="A305" t="str">
        <f>IFERROR(__xludf.DUMMYFUNCTION("""COMPUTED_VALUE"""),"#304")</f>
        <v>#304</v>
      </c>
      <c r="B305" t="str">
        <f>IFERROR(__xludf.DUMMYFUNCTION("""COMPUTED_VALUE"""),"Philippe Olivier")</f>
        <v>Philippe Olivier</v>
      </c>
      <c r="C305">
        <f>IFERROR(__xludf.DUMMYFUNCTION("""COMPUTED_VALUE"""),13149.0)</f>
        <v>13149</v>
      </c>
      <c r="D305" t="str">
        <f>IFERROR(__xludf.DUMMYFUNCTION("""COMPUTED_VALUE"""),"-")</f>
        <v>-</v>
      </c>
      <c r="E305" t="str">
        <f>IFERROR(__xludf.DUMMYFUNCTION("""COMPUTED_VALUE"""),"-")</f>
        <v>-</v>
      </c>
      <c r="F305" t="str">
        <f>IFERROR(__xludf.DUMMYFUNCTION("""COMPUTED_VALUE"""),"-")</f>
        <v>-</v>
      </c>
      <c r="G305" t="str">
        <f>IFERROR(__xludf.DUMMYFUNCTION("""COMPUTED_VALUE"""),"-")</f>
        <v>-</v>
      </c>
      <c r="H305" t="str">
        <f>IFERROR(__xludf.DUMMYFUNCTION("""COMPUTED_VALUE"""),"-")</f>
        <v>-</v>
      </c>
      <c r="I305" t="str">
        <f>IFERROR(__xludf.DUMMYFUNCTION("""COMPUTED_VALUE"""),"-")</f>
        <v>-</v>
      </c>
      <c r="J305" t="str">
        <f>IFERROR(__xludf.DUMMYFUNCTION("""COMPUTED_VALUE"""),"-")</f>
        <v>-</v>
      </c>
      <c r="K305" t="str">
        <f>IFERROR(__xludf.DUMMYFUNCTION("""COMPUTED_VALUE"""),"-")</f>
        <v>-</v>
      </c>
      <c r="L305" t="str">
        <f>IFERROR(__xludf.DUMMYFUNCTION("""COMPUTED_VALUE"""),"-")</f>
        <v>-</v>
      </c>
      <c r="M305" t="str">
        <f>IFERROR(__xludf.DUMMYFUNCTION("""COMPUTED_VALUE"""),"-")</f>
        <v>-</v>
      </c>
      <c r="O305" t="str">
        <f>IFERROR(__xludf.DUMMYFUNCTION("""COMPUTED_VALUE"""),"#304")</f>
        <v>#304</v>
      </c>
      <c r="P305" t="str">
        <f>IFERROR(__xludf.DUMMYFUNCTION("""COMPUTED_VALUE"""),"Philippe Olivier")</f>
        <v>Philippe Olivier</v>
      </c>
      <c r="Q305">
        <f>IFERROR(__xludf.DUMMYFUNCTION("""COMPUTED_VALUE"""),13149.0)</f>
        <v>13149</v>
      </c>
      <c r="R305" t="str">
        <f>IFERROR(__xludf.DUMMYFUNCTION("""COMPUTED_VALUE"""),"-")</f>
        <v>-</v>
      </c>
      <c r="S305" t="str">
        <f>IFERROR(__xludf.DUMMYFUNCTION("""COMPUTED_VALUE"""),"-")</f>
        <v>-</v>
      </c>
      <c r="T305" t="str">
        <f>IFERROR(__xludf.DUMMYFUNCTION("""COMPUTED_VALUE"""),"-")</f>
        <v>-</v>
      </c>
      <c r="U305" t="str">
        <f>IFERROR(__xludf.DUMMYFUNCTION("""COMPUTED_VALUE"""),"-")</f>
        <v>-</v>
      </c>
      <c r="V305" t="str">
        <f>IFERROR(__xludf.DUMMYFUNCTION("""COMPUTED_VALUE"""),"-")</f>
        <v>-</v>
      </c>
      <c r="W305" t="str">
        <f>IFERROR(__xludf.DUMMYFUNCTION("""COMPUTED_VALUE"""),"-")</f>
        <v>-</v>
      </c>
      <c r="X305" t="str">
        <f>IFERROR(__xludf.DUMMYFUNCTION("""COMPUTED_VALUE"""),"-")</f>
        <v>-</v>
      </c>
      <c r="Y305" t="str">
        <f>IFERROR(__xludf.DUMMYFUNCTION("""COMPUTED_VALUE"""),"-")</f>
        <v>-</v>
      </c>
      <c r="Z305" t="str">
        <f>IFERROR(__xludf.DUMMYFUNCTION("""COMPUTED_VALUE"""),"-")</f>
        <v>-</v>
      </c>
      <c r="AA305" t="str">
        <f>IFERROR(__xludf.DUMMYFUNCTION("""COMPUTED_VALUE"""),"-")</f>
        <v>-</v>
      </c>
    </row>
    <row r="306">
      <c r="A306" t="str">
        <f>IFERROR(__xludf.DUMMYFUNCTION("""COMPUTED_VALUE"""),"#305")</f>
        <v>#305</v>
      </c>
      <c r="B306" t="str">
        <f>IFERROR(__xludf.DUMMYFUNCTION("""COMPUTED_VALUE"""),"Pascal Cherki")</f>
        <v>Pascal Cherki</v>
      </c>
      <c r="C306">
        <f>IFERROR(__xludf.DUMMYFUNCTION("""COMPUTED_VALUE"""),13135.0)</f>
        <v>13135</v>
      </c>
      <c r="D306" t="str">
        <f>IFERROR(__xludf.DUMMYFUNCTION("""COMPUTED_VALUE"""),"-")</f>
        <v>-</v>
      </c>
      <c r="E306" t="str">
        <f>IFERROR(__xludf.DUMMYFUNCTION("""COMPUTED_VALUE"""),"-")</f>
        <v>-</v>
      </c>
      <c r="F306" t="str">
        <f>IFERROR(__xludf.DUMMYFUNCTION("""COMPUTED_VALUE"""),"-")</f>
        <v>-</v>
      </c>
      <c r="G306" t="str">
        <f>IFERROR(__xludf.DUMMYFUNCTION("""COMPUTED_VALUE"""),"-")</f>
        <v>-</v>
      </c>
      <c r="H306" t="str">
        <f>IFERROR(__xludf.DUMMYFUNCTION("""COMPUTED_VALUE"""),"-")</f>
        <v>-</v>
      </c>
      <c r="I306" t="str">
        <f>IFERROR(__xludf.DUMMYFUNCTION("""COMPUTED_VALUE"""),"-")</f>
        <v>-</v>
      </c>
      <c r="J306" t="str">
        <f>IFERROR(__xludf.DUMMYFUNCTION("""COMPUTED_VALUE"""),"-")</f>
        <v>-</v>
      </c>
      <c r="K306" t="str">
        <f>IFERROR(__xludf.DUMMYFUNCTION("""COMPUTED_VALUE"""),"-")</f>
        <v>-</v>
      </c>
      <c r="L306" t="str">
        <f>IFERROR(__xludf.DUMMYFUNCTION("""COMPUTED_VALUE"""),"-")</f>
        <v>-</v>
      </c>
      <c r="M306" t="str">
        <f>IFERROR(__xludf.DUMMYFUNCTION("""COMPUTED_VALUE"""),"-")</f>
        <v>-</v>
      </c>
      <c r="O306" t="str">
        <f>IFERROR(__xludf.DUMMYFUNCTION("""COMPUTED_VALUE"""),"#305")</f>
        <v>#305</v>
      </c>
      <c r="P306" t="str">
        <f>IFERROR(__xludf.DUMMYFUNCTION("""COMPUTED_VALUE"""),"Pascal Cherki")</f>
        <v>Pascal Cherki</v>
      </c>
      <c r="Q306">
        <f>IFERROR(__xludf.DUMMYFUNCTION("""COMPUTED_VALUE"""),13135.0)</f>
        <v>13135</v>
      </c>
      <c r="R306" t="str">
        <f>IFERROR(__xludf.DUMMYFUNCTION("""COMPUTED_VALUE"""),"-")</f>
        <v>-</v>
      </c>
      <c r="S306" t="str">
        <f>IFERROR(__xludf.DUMMYFUNCTION("""COMPUTED_VALUE"""),"-")</f>
        <v>-</v>
      </c>
      <c r="T306" t="str">
        <f>IFERROR(__xludf.DUMMYFUNCTION("""COMPUTED_VALUE"""),"-")</f>
        <v>-</v>
      </c>
      <c r="U306" t="str">
        <f>IFERROR(__xludf.DUMMYFUNCTION("""COMPUTED_VALUE"""),"-")</f>
        <v>-</v>
      </c>
      <c r="V306" t="str">
        <f>IFERROR(__xludf.DUMMYFUNCTION("""COMPUTED_VALUE"""),"-")</f>
        <v>-</v>
      </c>
      <c r="W306" t="str">
        <f>IFERROR(__xludf.DUMMYFUNCTION("""COMPUTED_VALUE"""),"-")</f>
        <v>-</v>
      </c>
      <c r="X306" t="str">
        <f>IFERROR(__xludf.DUMMYFUNCTION("""COMPUTED_VALUE"""),"-")</f>
        <v>-</v>
      </c>
      <c r="Y306" t="str">
        <f>IFERROR(__xludf.DUMMYFUNCTION("""COMPUTED_VALUE"""),"-")</f>
        <v>-</v>
      </c>
      <c r="Z306" t="str">
        <f>IFERROR(__xludf.DUMMYFUNCTION("""COMPUTED_VALUE"""),"-")</f>
        <v>-</v>
      </c>
      <c r="AA306" t="str">
        <f>IFERROR(__xludf.DUMMYFUNCTION("""COMPUTED_VALUE"""),"-")</f>
        <v>-</v>
      </c>
    </row>
    <row r="307">
      <c r="A307" t="str">
        <f>IFERROR(__xludf.DUMMYFUNCTION("""COMPUTED_VALUE"""),"#306")</f>
        <v>#306</v>
      </c>
      <c r="B307" t="str">
        <f>IFERROR(__xludf.DUMMYFUNCTION("""COMPUTED_VALUE"""),"Dominique Bilde")</f>
        <v>Dominique Bilde</v>
      </c>
      <c r="C307">
        <f>IFERROR(__xludf.DUMMYFUNCTION("""COMPUTED_VALUE"""),13128.0)</f>
        <v>13128</v>
      </c>
      <c r="D307" t="str">
        <f>IFERROR(__xludf.DUMMYFUNCTION("""COMPUTED_VALUE"""),"-")</f>
        <v>-</v>
      </c>
      <c r="E307" t="str">
        <f>IFERROR(__xludf.DUMMYFUNCTION("""COMPUTED_VALUE"""),"-")</f>
        <v>-</v>
      </c>
      <c r="F307" t="str">
        <f>IFERROR(__xludf.DUMMYFUNCTION("""COMPUTED_VALUE"""),"-")</f>
        <v>-</v>
      </c>
      <c r="G307" t="str">
        <f>IFERROR(__xludf.DUMMYFUNCTION("""COMPUTED_VALUE"""),"-")</f>
        <v>-</v>
      </c>
      <c r="H307" t="str">
        <f>IFERROR(__xludf.DUMMYFUNCTION("""COMPUTED_VALUE"""),"-")</f>
        <v>-</v>
      </c>
      <c r="I307" t="str">
        <f>IFERROR(__xludf.DUMMYFUNCTION("""COMPUTED_VALUE"""),"-")</f>
        <v>-</v>
      </c>
      <c r="J307" t="str">
        <f>IFERROR(__xludf.DUMMYFUNCTION("""COMPUTED_VALUE"""),"-")</f>
        <v>-</v>
      </c>
      <c r="K307" t="str">
        <f>IFERROR(__xludf.DUMMYFUNCTION("""COMPUTED_VALUE"""),"-")</f>
        <v>-</v>
      </c>
      <c r="L307" t="str">
        <f>IFERROR(__xludf.DUMMYFUNCTION("""COMPUTED_VALUE"""),"-")</f>
        <v>-</v>
      </c>
      <c r="M307" t="str">
        <f>IFERROR(__xludf.DUMMYFUNCTION("""COMPUTED_VALUE"""),"-")</f>
        <v>-</v>
      </c>
      <c r="O307" t="str">
        <f>IFERROR(__xludf.DUMMYFUNCTION("""COMPUTED_VALUE"""),"#306")</f>
        <v>#306</v>
      </c>
      <c r="P307" t="str">
        <f>IFERROR(__xludf.DUMMYFUNCTION("""COMPUTED_VALUE"""),"Dominique Bilde")</f>
        <v>Dominique Bilde</v>
      </c>
      <c r="Q307">
        <f>IFERROR(__xludf.DUMMYFUNCTION("""COMPUTED_VALUE"""),13128.0)</f>
        <v>13128</v>
      </c>
      <c r="R307" t="str">
        <f>IFERROR(__xludf.DUMMYFUNCTION("""COMPUTED_VALUE"""),"-")</f>
        <v>-</v>
      </c>
      <c r="S307" t="str">
        <f>IFERROR(__xludf.DUMMYFUNCTION("""COMPUTED_VALUE"""),"-")</f>
        <v>-</v>
      </c>
      <c r="T307" t="str">
        <f>IFERROR(__xludf.DUMMYFUNCTION("""COMPUTED_VALUE"""),"-")</f>
        <v>-</v>
      </c>
      <c r="U307" t="str">
        <f>IFERROR(__xludf.DUMMYFUNCTION("""COMPUTED_VALUE"""),"-")</f>
        <v>-</v>
      </c>
      <c r="V307" t="str">
        <f>IFERROR(__xludf.DUMMYFUNCTION("""COMPUTED_VALUE"""),"-")</f>
        <v>-</v>
      </c>
      <c r="W307" t="str">
        <f>IFERROR(__xludf.DUMMYFUNCTION("""COMPUTED_VALUE"""),"-")</f>
        <v>-</v>
      </c>
      <c r="X307" t="str">
        <f>IFERROR(__xludf.DUMMYFUNCTION("""COMPUTED_VALUE"""),"-")</f>
        <v>-</v>
      </c>
      <c r="Y307" t="str">
        <f>IFERROR(__xludf.DUMMYFUNCTION("""COMPUTED_VALUE"""),"-")</f>
        <v>-</v>
      </c>
      <c r="Z307" t="str">
        <f>IFERROR(__xludf.DUMMYFUNCTION("""COMPUTED_VALUE"""),"-")</f>
        <v>-</v>
      </c>
      <c r="AA307" t="str">
        <f>IFERROR(__xludf.DUMMYFUNCTION("""COMPUTED_VALUE"""),"-")</f>
        <v>-</v>
      </c>
    </row>
    <row r="308">
      <c r="A308" t="str">
        <f>IFERROR(__xludf.DUMMYFUNCTION("""COMPUTED_VALUE"""),"#307")</f>
        <v>#307</v>
      </c>
      <c r="B308" t="str">
        <f>IFERROR(__xludf.DUMMYFUNCTION("""COMPUTED_VALUE"""),"Henri Guaino")</f>
        <v>Henri Guaino</v>
      </c>
      <c r="C308">
        <f>IFERROR(__xludf.DUMMYFUNCTION("""COMPUTED_VALUE"""),13023.0)</f>
        <v>13023</v>
      </c>
      <c r="D308" t="str">
        <f>IFERROR(__xludf.DUMMYFUNCTION("""COMPUTED_VALUE"""),"-")</f>
        <v>-</v>
      </c>
      <c r="E308" t="str">
        <f>IFERROR(__xludf.DUMMYFUNCTION("""COMPUTED_VALUE"""),"-")</f>
        <v>-</v>
      </c>
      <c r="F308" t="str">
        <f>IFERROR(__xludf.DUMMYFUNCTION("""COMPUTED_VALUE"""),"-")</f>
        <v>-</v>
      </c>
      <c r="G308" t="str">
        <f>IFERROR(__xludf.DUMMYFUNCTION("""COMPUTED_VALUE"""),"-")</f>
        <v>-</v>
      </c>
      <c r="H308" t="str">
        <f>IFERROR(__xludf.DUMMYFUNCTION("""COMPUTED_VALUE"""),"-")</f>
        <v>-</v>
      </c>
      <c r="I308" t="str">
        <f>IFERROR(__xludf.DUMMYFUNCTION("""COMPUTED_VALUE"""),"-")</f>
        <v>-</v>
      </c>
      <c r="J308" t="str">
        <f>IFERROR(__xludf.DUMMYFUNCTION("""COMPUTED_VALUE"""),"-")</f>
        <v>-</v>
      </c>
      <c r="K308" t="str">
        <f>IFERROR(__xludf.DUMMYFUNCTION("""COMPUTED_VALUE"""),"-")</f>
        <v>-</v>
      </c>
      <c r="L308" t="str">
        <f>IFERROR(__xludf.DUMMYFUNCTION("""COMPUTED_VALUE"""),"-")</f>
        <v>-</v>
      </c>
      <c r="M308" t="str">
        <f>IFERROR(__xludf.DUMMYFUNCTION("""COMPUTED_VALUE"""),"-")</f>
        <v>-</v>
      </c>
      <c r="O308" t="str">
        <f>IFERROR(__xludf.DUMMYFUNCTION("""COMPUTED_VALUE"""),"#307")</f>
        <v>#307</v>
      </c>
      <c r="P308" t="str">
        <f>IFERROR(__xludf.DUMMYFUNCTION("""COMPUTED_VALUE"""),"Henri Guaino")</f>
        <v>Henri Guaino</v>
      </c>
      <c r="Q308">
        <f>IFERROR(__xludf.DUMMYFUNCTION("""COMPUTED_VALUE"""),13023.0)</f>
        <v>13023</v>
      </c>
      <c r="R308" t="str">
        <f>IFERROR(__xludf.DUMMYFUNCTION("""COMPUTED_VALUE"""),"-")</f>
        <v>-</v>
      </c>
      <c r="S308" t="str">
        <f>IFERROR(__xludf.DUMMYFUNCTION("""COMPUTED_VALUE"""),"-")</f>
        <v>-</v>
      </c>
      <c r="T308" t="str">
        <f>IFERROR(__xludf.DUMMYFUNCTION("""COMPUTED_VALUE"""),"-")</f>
        <v>-</v>
      </c>
      <c r="U308" t="str">
        <f>IFERROR(__xludf.DUMMYFUNCTION("""COMPUTED_VALUE"""),"-")</f>
        <v>-</v>
      </c>
      <c r="V308" t="str">
        <f>IFERROR(__xludf.DUMMYFUNCTION("""COMPUTED_VALUE"""),"-")</f>
        <v>-</v>
      </c>
      <c r="W308" t="str">
        <f>IFERROR(__xludf.DUMMYFUNCTION("""COMPUTED_VALUE"""),"-")</f>
        <v>-</v>
      </c>
      <c r="X308" t="str">
        <f>IFERROR(__xludf.DUMMYFUNCTION("""COMPUTED_VALUE"""),"-")</f>
        <v>-</v>
      </c>
      <c r="Y308" t="str">
        <f>IFERROR(__xludf.DUMMYFUNCTION("""COMPUTED_VALUE"""),"-")</f>
        <v>-</v>
      </c>
      <c r="Z308" t="str">
        <f>IFERROR(__xludf.DUMMYFUNCTION("""COMPUTED_VALUE"""),"-")</f>
        <v>-</v>
      </c>
      <c r="AA308" t="str">
        <f>IFERROR(__xludf.DUMMYFUNCTION("""COMPUTED_VALUE"""),"-")</f>
        <v>-</v>
      </c>
    </row>
    <row r="309">
      <c r="A309" t="str">
        <f>IFERROR(__xludf.DUMMYFUNCTION("""COMPUTED_VALUE"""),"#308")</f>
        <v>#308</v>
      </c>
      <c r="B309" t="str">
        <f>IFERROR(__xludf.DUMMYFUNCTION("""COMPUTED_VALUE"""),"Mathieu Klein")</f>
        <v>Mathieu Klein</v>
      </c>
      <c r="C309">
        <f>IFERROR(__xludf.DUMMYFUNCTION("""COMPUTED_VALUE"""),12998.0)</f>
        <v>12998</v>
      </c>
      <c r="D309" t="str">
        <f>IFERROR(__xludf.DUMMYFUNCTION("""COMPUTED_VALUE"""),"-")</f>
        <v>-</v>
      </c>
      <c r="E309" t="str">
        <f>IFERROR(__xludf.DUMMYFUNCTION("""COMPUTED_VALUE"""),"-")</f>
        <v>-</v>
      </c>
      <c r="F309" t="str">
        <f>IFERROR(__xludf.DUMMYFUNCTION("""COMPUTED_VALUE"""),"-")</f>
        <v>-</v>
      </c>
      <c r="G309" t="str">
        <f>IFERROR(__xludf.DUMMYFUNCTION("""COMPUTED_VALUE"""),"-")</f>
        <v>-</v>
      </c>
      <c r="H309" t="str">
        <f>IFERROR(__xludf.DUMMYFUNCTION("""COMPUTED_VALUE"""),"-")</f>
        <v>-</v>
      </c>
      <c r="I309" t="str">
        <f>IFERROR(__xludf.DUMMYFUNCTION("""COMPUTED_VALUE"""),"-")</f>
        <v>-</v>
      </c>
      <c r="J309" t="str">
        <f>IFERROR(__xludf.DUMMYFUNCTION("""COMPUTED_VALUE"""),"-")</f>
        <v>-</v>
      </c>
      <c r="K309" t="str">
        <f>IFERROR(__xludf.DUMMYFUNCTION("""COMPUTED_VALUE"""),"-")</f>
        <v>-</v>
      </c>
      <c r="L309" t="str">
        <f>IFERROR(__xludf.DUMMYFUNCTION("""COMPUTED_VALUE"""),"-")</f>
        <v>-</v>
      </c>
      <c r="M309" t="str">
        <f>IFERROR(__xludf.DUMMYFUNCTION("""COMPUTED_VALUE"""),"-")</f>
        <v>-</v>
      </c>
      <c r="O309" t="str">
        <f>IFERROR(__xludf.DUMMYFUNCTION("""COMPUTED_VALUE"""),"#308")</f>
        <v>#308</v>
      </c>
      <c r="P309" t="str">
        <f>IFERROR(__xludf.DUMMYFUNCTION("""COMPUTED_VALUE"""),"Mathieu Klein")</f>
        <v>Mathieu Klein</v>
      </c>
      <c r="Q309">
        <f>IFERROR(__xludf.DUMMYFUNCTION("""COMPUTED_VALUE"""),12998.0)</f>
        <v>12998</v>
      </c>
      <c r="R309" t="str">
        <f>IFERROR(__xludf.DUMMYFUNCTION("""COMPUTED_VALUE"""),"-")</f>
        <v>-</v>
      </c>
      <c r="S309" t="str">
        <f>IFERROR(__xludf.DUMMYFUNCTION("""COMPUTED_VALUE"""),"-")</f>
        <v>-</v>
      </c>
      <c r="T309" t="str">
        <f>IFERROR(__xludf.DUMMYFUNCTION("""COMPUTED_VALUE"""),"-")</f>
        <v>-</v>
      </c>
      <c r="U309" t="str">
        <f>IFERROR(__xludf.DUMMYFUNCTION("""COMPUTED_VALUE"""),"-")</f>
        <v>-</v>
      </c>
      <c r="V309" t="str">
        <f>IFERROR(__xludf.DUMMYFUNCTION("""COMPUTED_VALUE"""),"-")</f>
        <v>-</v>
      </c>
      <c r="W309" t="str">
        <f>IFERROR(__xludf.DUMMYFUNCTION("""COMPUTED_VALUE"""),"-")</f>
        <v>-</v>
      </c>
      <c r="X309" t="str">
        <f>IFERROR(__xludf.DUMMYFUNCTION("""COMPUTED_VALUE"""),"-")</f>
        <v>-</v>
      </c>
      <c r="Y309" t="str">
        <f>IFERROR(__xludf.DUMMYFUNCTION("""COMPUTED_VALUE"""),"-")</f>
        <v>-</v>
      </c>
      <c r="Z309" t="str">
        <f>IFERROR(__xludf.DUMMYFUNCTION("""COMPUTED_VALUE"""),"-")</f>
        <v>-</v>
      </c>
      <c r="AA309" t="str">
        <f>IFERROR(__xludf.DUMMYFUNCTION("""COMPUTED_VALUE"""),"-")</f>
        <v>-</v>
      </c>
    </row>
    <row r="310">
      <c r="A310" t="str">
        <f>IFERROR(__xludf.DUMMYFUNCTION("""COMPUTED_VALUE"""),"#309")</f>
        <v>#309</v>
      </c>
      <c r="B310" t="str">
        <f>IFERROR(__xludf.DUMMYFUNCTION("""COMPUTED_VALUE"""),"Hervé Berville")</f>
        <v>Hervé Berville</v>
      </c>
      <c r="C310">
        <f>IFERROR(__xludf.DUMMYFUNCTION("""COMPUTED_VALUE"""),12934.0)</f>
        <v>12934</v>
      </c>
      <c r="D310" t="str">
        <f>IFERROR(__xludf.DUMMYFUNCTION("""COMPUTED_VALUE"""),"-")</f>
        <v>-</v>
      </c>
      <c r="E310" t="str">
        <f>IFERROR(__xludf.DUMMYFUNCTION("""COMPUTED_VALUE"""),"-")</f>
        <v>-</v>
      </c>
      <c r="F310" t="str">
        <f>IFERROR(__xludf.DUMMYFUNCTION("""COMPUTED_VALUE"""),"-")</f>
        <v>-</v>
      </c>
      <c r="G310" t="str">
        <f>IFERROR(__xludf.DUMMYFUNCTION("""COMPUTED_VALUE"""),"-")</f>
        <v>-</v>
      </c>
      <c r="H310" t="str">
        <f>IFERROR(__xludf.DUMMYFUNCTION("""COMPUTED_VALUE"""),"-")</f>
        <v>-</v>
      </c>
      <c r="I310" t="str">
        <f>IFERROR(__xludf.DUMMYFUNCTION("""COMPUTED_VALUE"""),"-")</f>
        <v>-</v>
      </c>
      <c r="J310" t="str">
        <f>IFERROR(__xludf.DUMMYFUNCTION("""COMPUTED_VALUE"""),"-")</f>
        <v>-</v>
      </c>
      <c r="K310" t="str">
        <f>IFERROR(__xludf.DUMMYFUNCTION("""COMPUTED_VALUE"""),"-")</f>
        <v>-</v>
      </c>
      <c r="L310" t="str">
        <f>IFERROR(__xludf.DUMMYFUNCTION("""COMPUTED_VALUE"""),"-")</f>
        <v>-</v>
      </c>
      <c r="M310" t="str">
        <f>IFERROR(__xludf.DUMMYFUNCTION("""COMPUTED_VALUE"""),"-")</f>
        <v>-</v>
      </c>
      <c r="O310" t="str">
        <f>IFERROR(__xludf.DUMMYFUNCTION("""COMPUTED_VALUE"""),"#309")</f>
        <v>#309</v>
      </c>
      <c r="P310" t="str">
        <f>IFERROR(__xludf.DUMMYFUNCTION("""COMPUTED_VALUE"""),"Hervé Berville")</f>
        <v>Hervé Berville</v>
      </c>
      <c r="Q310">
        <f>IFERROR(__xludf.DUMMYFUNCTION("""COMPUTED_VALUE"""),12934.0)</f>
        <v>12934</v>
      </c>
      <c r="R310" t="str">
        <f>IFERROR(__xludf.DUMMYFUNCTION("""COMPUTED_VALUE"""),"-")</f>
        <v>-</v>
      </c>
      <c r="S310" t="str">
        <f>IFERROR(__xludf.DUMMYFUNCTION("""COMPUTED_VALUE"""),"-")</f>
        <v>-</v>
      </c>
      <c r="T310" t="str">
        <f>IFERROR(__xludf.DUMMYFUNCTION("""COMPUTED_VALUE"""),"-")</f>
        <v>-</v>
      </c>
      <c r="U310" t="str">
        <f>IFERROR(__xludf.DUMMYFUNCTION("""COMPUTED_VALUE"""),"-")</f>
        <v>-</v>
      </c>
      <c r="V310" t="str">
        <f>IFERROR(__xludf.DUMMYFUNCTION("""COMPUTED_VALUE"""),"-")</f>
        <v>-</v>
      </c>
      <c r="W310" t="str">
        <f>IFERROR(__xludf.DUMMYFUNCTION("""COMPUTED_VALUE"""),"-")</f>
        <v>-</v>
      </c>
      <c r="X310" t="str">
        <f>IFERROR(__xludf.DUMMYFUNCTION("""COMPUTED_VALUE"""),"-")</f>
        <v>-</v>
      </c>
      <c r="Y310" t="str">
        <f>IFERROR(__xludf.DUMMYFUNCTION("""COMPUTED_VALUE"""),"-")</f>
        <v>-</v>
      </c>
      <c r="Z310" t="str">
        <f>IFERROR(__xludf.DUMMYFUNCTION("""COMPUTED_VALUE"""),"-")</f>
        <v>-</v>
      </c>
      <c r="AA310" t="str">
        <f>IFERROR(__xludf.DUMMYFUNCTION("""COMPUTED_VALUE"""),"-")</f>
        <v>-</v>
      </c>
    </row>
    <row r="311">
      <c r="A311" t="str">
        <f>IFERROR(__xludf.DUMMYFUNCTION("""COMPUTED_VALUE"""),"#310")</f>
        <v>#310</v>
      </c>
      <c r="B311" t="str">
        <f>IFERROR(__xludf.DUMMYFUNCTION("""COMPUTED_VALUE"""),"Charles de Courson")</f>
        <v>Charles de Courson</v>
      </c>
      <c r="C311">
        <f>IFERROR(__xludf.DUMMYFUNCTION("""COMPUTED_VALUE"""),12829.0)</f>
        <v>12829</v>
      </c>
      <c r="D311" t="str">
        <f>IFERROR(__xludf.DUMMYFUNCTION("""COMPUTED_VALUE"""),"-")</f>
        <v>-</v>
      </c>
      <c r="E311" t="str">
        <f>IFERROR(__xludf.DUMMYFUNCTION("""COMPUTED_VALUE"""),"-")</f>
        <v>-</v>
      </c>
      <c r="F311" t="str">
        <f>IFERROR(__xludf.DUMMYFUNCTION("""COMPUTED_VALUE"""),"-")</f>
        <v>-</v>
      </c>
      <c r="G311" t="str">
        <f>IFERROR(__xludf.DUMMYFUNCTION("""COMPUTED_VALUE"""),"-")</f>
        <v>-</v>
      </c>
      <c r="H311" t="str">
        <f>IFERROR(__xludf.DUMMYFUNCTION("""COMPUTED_VALUE"""),"-")</f>
        <v>-</v>
      </c>
      <c r="I311" t="str">
        <f>IFERROR(__xludf.DUMMYFUNCTION("""COMPUTED_VALUE"""),"-")</f>
        <v>-</v>
      </c>
      <c r="J311" t="str">
        <f>IFERROR(__xludf.DUMMYFUNCTION("""COMPUTED_VALUE"""),"-")</f>
        <v>-</v>
      </c>
      <c r="K311" t="str">
        <f>IFERROR(__xludf.DUMMYFUNCTION("""COMPUTED_VALUE"""),"-")</f>
        <v>-</v>
      </c>
      <c r="L311" t="str">
        <f>IFERROR(__xludf.DUMMYFUNCTION("""COMPUTED_VALUE"""),"-")</f>
        <v>-</v>
      </c>
      <c r="M311" t="str">
        <f>IFERROR(__xludf.DUMMYFUNCTION("""COMPUTED_VALUE"""),"-")</f>
        <v>-</v>
      </c>
      <c r="O311" t="str">
        <f>IFERROR(__xludf.DUMMYFUNCTION("""COMPUTED_VALUE"""),"#310")</f>
        <v>#310</v>
      </c>
      <c r="P311" t="str">
        <f>IFERROR(__xludf.DUMMYFUNCTION("""COMPUTED_VALUE"""),"Charles de Courson")</f>
        <v>Charles de Courson</v>
      </c>
      <c r="Q311">
        <f>IFERROR(__xludf.DUMMYFUNCTION("""COMPUTED_VALUE"""),12829.0)</f>
        <v>12829</v>
      </c>
      <c r="R311" t="str">
        <f>IFERROR(__xludf.DUMMYFUNCTION("""COMPUTED_VALUE"""),"-")</f>
        <v>-</v>
      </c>
      <c r="S311" t="str">
        <f>IFERROR(__xludf.DUMMYFUNCTION("""COMPUTED_VALUE"""),"-")</f>
        <v>-</v>
      </c>
      <c r="T311" t="str">
        <f>IFERROR(__xludf.DUMMYFUNCTION("""COMPUTED_VALUE"""),"-")</f>
        <v>-</v>
      </c>
      <c r="U311" t="str">
        <f>IFERROR(__xludf.DUMMYFUNCTION("""COMPUTED_VALUE"""),"-")</f>
        <v>-</v>
      </c>
      <c r="V311" t="str">
        <f>IFERROR(__xludf.DUMMYFUNCTION("""COMPUTED_VALUE"""),"-")</f>
        <v>-</v>
      </c>
      <c r="W311" t="str">
        <f>IFERROR(__xludf.DUMMYFUNCTION("""COMPUTED_VALUE"""),"-")</f>
        <v>-</v>
      </c>
      <c r="X311" t="str">
        <f>IFERROR(__xludf.DUMMYFUNCTION("""COMPUTED_VALUE"""),"-")</f>
        <v>-</v>
      </c>
      <c r="Y311" t="str">
        <f>IFERROR(__xludf.DUMMYFUNCTION("""COMPUTED_VALUE"""),"-")</f>
        <v>-</v>
      </c>
      <c r="Z311" t="str">
        <f>IFERROR(__xludf.DUMMYFUNCTION("""COMPUTED_VALUE"""),"-")</f>
        <v>-</v>
      </c>
      <c r="AA311" t="str">
        <f>IFERROR(__xludf.DUMMYFUNCTION("""COMPUTED_VALUE"""),"-")</f>
        <v>-</v>
      </c>
    </row>
    <row r="312">
      <c r="A312" t="str">
        <f>IFERROR(__xludf.DUMMYFUNCTION("""COMPUTED_VALUE"""),"#311")</f>
        <v>#311</v>
      </c>
      <c r="B312" t="str">
        <f>IFERROR(__xludf.DUMMYFUNCTION("""COMPUTED_VALUE"""),"Jack Lang")</f>
        <v>Jack Lang</v>
      </c>
      <c r="C312">
        <f>IFERROR(__xludf.DUMMYFUNCTION("""COMPUTED_VALUE"""),12808.0)</f>
        <v>12808</v>
      </c>
      <c r="D312" t="str">
        <f>IFERROR(__xludf.DUMMYFUNCTION("""COMPUTED_VALUE"""),"-")</f>
        <v>-</v>
      </c>
      <c r="E312" t="str">
        <f>IFERROR(__xludf.DUMMYFUNCTION("""COMPUTED_VALUE"""),"-")</f>
        <v>-</v>
      </c>
      <c r="F312" t="str">
        <f>IFERROR(__xludf.DUMMYFUNCTION("""COMPUTED_VALUE"""),"-")</f>
        <v>-</v>
      </c>
      <c r="G312" t="str">
        <f>IFERROR(__xludf.DUMMYFUNCTION("""COMPUTED_VALUE"""),"-")</f>
        <v>-</v>
      </c>
      <c r="H312" t="str">
        <f>IFERROR(__xludf.DUMMYFUNCTION("""COMPUTED_VALUE"""),"-")</f>
        <v>-</v>
      </c>
      <c r="I312" t="str">
        <f>IFERROR(__xludf.DUMMYFUNCTION("""COMPUTED_VALUE"""),"-")</f>
        <v>-</v>
      </c>
      <c r="J312" t="str">
        <f>IFERROR(__xludf.DUMMYFUNCTION("""COMPUTED_VALUE"""),"-")</f>
        <v>-</v>
      </c>
      <c r="K312" t="str">
        <f>IFERROR(__xludf.DUMMYFUNCTION("""COMPUTED_VALUE"""),"-")</f>
        <v>-</v>
      </c>
      <c r="L312" t="str">
        <f>IFERROR(__xludf.DUMMYFUNCTION("""COMPUTED_VALUE"""),"-")</f>
        <v>-</v>
      </c>
      <c r="M312" t="str">
        <f>IFERROR(__xludf.DUMMYFUNCTION("""COMPUTED_VALUE"""),"-")</f>
        <v>-</v>
      </c>
      <c r="O312" t="str">
        <f>IFERROR(__xludf.DUMMYFUNCTION("""COMPUTED_VALUE"""),"#311")</f>
        <v>#311</v>
      </c>
      <c r="P312" t="str">
        <f>IFERROR(__xludf.DUMMYFUNCTION("""COMPUTED_VALUE"""),"Jack Lang")</f>
        <v>Jack Lang</v>
      </c>
      <c r="Q312">
        <f>IFERROR(__xludf.DUMMYFUNCTION("""COMPUTED_VALUE"""),12808.0)</f>
        <v>12808</v>
      </c>
      <c r="R312" t="str">
        <f>IFERROR(__xludf.DUMMYFUNCTION("""COMPUTED_VALUE"""),"-")</f>
        <v>-</v>
      </c>
      <c r="S312" t="str">
        <f>IFERROR(__xludf.DUMMYFUNCTION("""COMPUTED_VALUE"""),"-")</f>
        <v>-</v>
      </c>
      <c r="T312" t="str">
        <f>IFERROR(__xludf.DUMMYFUNCTION("""COMPUTED_VALUE"""),"-")</f>
        <v>-</v>
      </c>
      <c r="U312" t="str">
        <f>IFERROR(__xludf.DUMMYFUNCTION("""COMPUTED_VALUE"""),"-")</f>
        <v>-</v>
      </c>
      <c r="V312" t="str">
        <f>IFERROR(__xludf.DUMMYFUNCTION("""COMPUTED_VALUE"""),"-")</f>
        <v>-</v>
      </c>
      <c r="W312" t="str">
        <f>IFERROR(__xludf.DUMMYFUNCTION("""COMPUTED_VALUE"""),"-")</f>
        <v>-</v>
      </c>
      <c r="X312" t="str">
        <f>IFERROR(__xludf.DUMMYFUNCTION("""COMPUTED_VALUE"""),"-")</f>
        <v>-</v>
      </c>
      <c r="Y312" t="str">
        <f>IFERROR(__xludf.DUMMYFUNCTION("""COMPUTED_VALUE"""),"-")</f>
        <v>-</v>
      </c>
      <c r="Z312" t="str">
        <f>IFERROR(__xludf.DUMMYFUNCTION("""COMPUTED_VALUE"""),"-")</f>
        <v>-</v>
      </c>
      <c r="AA312" t="str">
        <f>IFERROR(__xludf.DUMMYFUNCTION("""COMPUTED_VALUE"""),"-")</f>
        <v>-</v>
      </c>
    </row>
    <row r="313">
      <c r="A313" t="str">
        <f>IFERROR(__xludf.DUMMYFUNCTION("""COMPUTED_VALUE"""),"#312")</f>
        <v>#312</v>
      </c>
      <c r="B313" t="str">
        <f>IFERROR(__xludf.DUMMYFUNCTION("""COMPUTED_VALUE"""),"Stéphane Peu")</f>
        <v>Stéphane Peu</v>
      </c>
      <c r="C313">
        <f>IFERROR(__xludf.DUMMYFUNCTION("""COMPUTED_VALUE"""),12653.0)</f>
        <v>12653</v>
      </c>
      <c r="D313" t="str">
        <f>IFERROR(__xludf.DUMMYFUNCTION("""COMPUTED_VALUE"""),"-")</f>
        <v>-</v>
      </c>
      <c r="E313" t="str">
        <f>IFERROR(__xludf.DUMMYFUNCTION("""COMPUTED_VALUE"""),"-")</f>
        <v>-</v>
      </c>
      <c r="F313" t="str">
        <f>IFERROR(__xludf.DUMMYFUNCTION("""COMPUTED_VALUE"""),"-")</f>
        <v>-</v>
      </c>
      <c r="G313" t="str">
        <f>IFERROR(__xludf.DUMMYFUNCTION("""COMPUTED_VALUE"""),"-")</f>
        <v>-</v>
      </c>
      <c r="H313" t="str">
        <f>IFERROR(__xludf.DUMMYFUNCTION("""COMPUTED_VALUE"""),"-")</f>
        <v>-</v>
      </c>
      <c r="I313" t="str">
        <f>IFERROR(__xludf.DUMMYFUNCTION("""COMPUTED_VALUE"""),"-")</f>
        <v>-</v>
      </c>
      <c r="J313" t="str">
        <f>IFERROR(__xludf.DUMMYFUNCTION("""COMPUTED_VALUE"""),"-")</f>
        <v>-</v>
      </c>
      <c r="K313" t="str">
        <f>IFERROR(__xludf.DUMMYFUNCTION("""COMPUTED_VALUE"""),"-")</f>
        <v>-</v>
      </c>
      <c r="L313" t="str">
        <f>IFERROR(__xludf.DUMMYFUNCTION("""COMPUTED_VALUE"""),"-")</f>
        <v>-</v>
      </c>
      <c r="M313" t="str">
        <f>IFERROR(__xludf.DUMMYFUNCTION("""COMPUTED_VALUE"""),"-")</f>
        <v>-</v>
      </c>
      <c r="O313" t="str">
        <f>IFERROR(__xludf.DUMMYFUNCTION("""COMPUTED_VALUE"""),"#312")</f>
        <v>#312</v>
      </c>
      <c r="P313" t="str">
        <f>IFERROR(__xludf.DUMMYFUNCTION("""COMPUTED_VALUE"""),"Stéphane Peu")</f>
        <v>Stéphane Peu</v>
      </c>
      <c r="Q313">
        <f>IFERROR(__xludf.DUMMYFUNCTION("""COMPUTED_VALUE"""),12653.0)</f>
        <v>12653</v>
      </c>
      <c r="R313" t="str">
        <f>IFERROR(__xludf.DUMMYFUNCTION("""COMPUTED_VALUE"""),"-")</f>
        <v>-</v>
      </c>
      <c r="S313" t="str">
        <f>IFERROR(__xludf.DUMMYFUNCTION("""COMPUTED_VALUE"""),"-")</f>
        <v>-</v>
      </c>
      <c r="T313" t="str">
        <f>IFERROR(__xludf.DUMMYFUNCTION("""COMPUTED_VALUE"""),"-")</f>
        <v>-</v>
      </c>
      <c r="U313" t="str">
        <f>IFERROR(__xludf.DUMMYFUNCTION("""COMPUTED_VALUE"""),"-")</f>
        <v>-</v>
      </c>
      <c r="V313" t="str">
        <f>IFERROR(__xludf.DUMMYFUNCTION("""COMPUTED_VALUE"""),"-")</f>
        <v>-</v>
      </c>
      <c r="W313" t="str">
        <f>IFERROR(__xludf.DUMMYFUNCTION("""COMPUTED_VALUE"""),"-")</f>
        <v>-</v>
      </c>
      <c r="X313" t="str">
        <f>IFERROR(__xludf.DUMMYFUNCTION("""COMPUTED_VALUE"""),"-")</f>
        <v>-</v>
      </c>
      <c r="Y313" t="str">
        <f>IFERROR(__xludf.DUMMYFUNCTION("""COMPUTED_VALUE"""),"-")</f>
        <v>-</v>
      </c>
      <c r="Z313" t="str">
        <f>IFERROR(__xludf.DUMMYFUNCTION("""COMPUTED_VALUE"""),"-")</f>
        <v>-</v>
      </c>
      <c r="AA313" t="str">
        <f>IFERROR(__xludf.DUMMYFUNCTION("""COMPUTED_VALUE"""),"-")</f>
        <v>-</v>
      </c>
    </row>
    <row r="314">
      <c r="A314" t="str">
        <f>IFERROR(__xludf.DUMMYFUNCTION("""COMPUTED_VALUE"""),"#313")</f>
        <v>#313</v>
      </c>
      <c r="B314" t="str">
        <f>IFERROR(__xludf.DUMMYFUNCTION("""COMPUTED_VALUE"""),"Hubert Falco")</f>
        <v>Hubert Falco</v>
      </c>
      <c r="C314">
        <f>IFERROR(__xludf.DUMMYFUNCTION("""COMPUTED_VALUE"""),12575.0)</f>
        <v>12575</v>
      </c>
      <c r="D314" t="str">
        <f>IFERROR(__xludf.DUMMYFUNCTION("""COMPUTED_VALUE"""),"-")</f>
        <v>-</v>
      </c>
      <c r="E314" t="str">
        <f>IFERROR(__xludf.DUMMYFUNCTION("""COMPUTED_VALUE"""),"-")</f>
        <v>-</v>
      </c>
      <c r="F314" t="str">
        <f>IFERROR(__xludf.DUMMYFUNCTION("""COMPUTED_VALUE"""),"-")</f>
        <v>-</v>
      </c>
      <c r="G314" t="str">
        <f>IFERROR(__xludf.DUMMYFUNCTION("""COMPUTED_VALUE"""),"-")</f>
        <v>-</v>
      </c>
      <c r="H314" t="str">
        <f>IFERROR(__xludf.DUMMYFUNCTION("""COMPUTED_VALUE"""),"-")</f>
        <v>-</v>
      </c>
      <c r="I314" t="str">
        <f>IFERROR(__xludf.DUMMYFUNCTION("""COMPUTED_VALUE"""),"-")</f>
        <v>-</v>
      </c>
      <c r="J314" t="str">
        <f>IFERROR(__xludf.DUMMYFUNCTION("""COMPUTED_VALUE"""),"-")</f>
        <v>-</v>
      </c>
      <c r="K314" t="str">
        <f>IFERROR(__xludf.DUMMYFUNCTION("""COMPUTED_VALUE"""),"-")</f>
        <v>-</v>
      </c>
      <c r="L314" t="str">
        <f>IFERROR(__xludf.DUMMYFUNCTION("""COMPUTED_VALUE"""),"-")</f>
        <v>-</v>
      </c>
      <c r="M314" t="str">
        <f>IFERROR(__xludf.DUMMYFUNCTION("""COMPUTED_VALUE"""),"-")</f>
        <v>-</v>
      </c>
      <c r="O314" t="str">
        <f>IFERROR(__xludf.DUMMYFUNCTION("""COMPUTED_VALUE"""),"#313")</f>
        <v>#313</v>
      </c>
      <c r="P314" t="str">
        <f>IFERROR(__xludf.DUMMYFUNCTION("""COMPUTED_VALUE"""),"Hubert Falco")</f>
        <v>Hubert Falco</v>
      </c>
      <c r="Q314">
        <f>IFERROR(__xludf.DUMMYFUNCTION("""COMPUTED_VALUE"""),12575.0)</f>
        <v>12575</v>
      </c>
      <c r="R314" t="str">
        <f>IFERROR(__xludf.DUMMYFUNCTION("""COMPUTED_VALUE"""),"-")</f>
        <v>-</v>
      </c>
      <c r="S314" t="str">
        <f>IFERROR(__xludf.DUMMYFUNCTION("""COMPUTED_VALUE"""),"-")</f>
        <v>-</v>
      </c>
      <c r="T314" t="str">
        <f>IFERROR(__xludf.DUMMYFUNCTION("""COMPUTED_VALUE"""),"-")</f>
        <v>-</v>
      </c>
      <c r="U314" t="str">
        <f>IFERROR(__xludf.DUMMYFUNCTION("""COMPUTED_VALUE"""),"-")</f>
        <v>-</v>
      </c>
      <c r="V314" t="str">
        <f>IFERROR(__xludf.DUMMYFUNCTION("""COMPUTED_VALUE"""),"-")</f>
        <v>-</v>
      </c>
      <c r="W314" t="str">
        <f>IFERROR(__xludf.DUMMYFUNCTION("""COMPUTED_VALUE"""),"-")</f>
        <v>-</v>
      </c>
      <c r="X314" t="str">
        <f>IFERROR(__xludf.DUMMYFUNCTION("""COMPUTED_VALUE"""),"-")</f>
        <v>-</v>
      </c>
      <c r="Y314" t="str">
        <f>IFERROR(__xludf.DUMMYFUNCTION("""COMPUTED_VALUE"""),"-")</f>
        <v>-</v>
      </c>
      <c r="Z314" t="str">
        <f>IFERROR(__xludf.DUMMYFUNCTION("""COMPUTED_VALUE"""),"-")</f>
        <v>-</v>
      </c>
      <c r="AA314" t="str">
        <f>IFERROR(__xludf.DUMMYFUNCTION("""COMPUTED_VALUE"""),"-")</f>
        <v>-</v>
      </c>
    </row>
    <row r="315">
      <c r="A315" t="str">
        <f>IFERROR(__xludf.DUMMYFUNCTION("""COMPUTED_VALUE"""),"#314")</f>
        <v>#314</v>
      </c>
      <c r="B315" t="str">
        <f>IFERROR(__xludf.DUMMYFUNCTION("""COMPUTED_VALUE"""),"Philippe Vigier")</f>
        <v>Philippe Vigier</v>
      </c>
      <c r="C315">
        <f>IFERROR(__xludf.DUMMYFUNCTION("""COMPUTED_VALUE"""),12493.0)</f>
        <v>12493</v>
      </c>
      <c r="D315" t="str">
        <f>IFERROR(__xludf.DUMMYFUNCTION("""COMPUTED_VALUE"""),"-")</f>
        <v>-</v>
      </c>
      <c r="E315" t="str">
        <f>IFERROR(__xludf.DUMMYFUNCTION("""COMPUTED_VALUE"""),"-")</f>
        <v>-</v>
      </c>
      <c r="F315" t="str">
        <f>IFERROR(__xludf.DUMMYFUNCTION("""COMPUTED_VALUE"""),"-")</f>
        <v>-</v>
      </c>
      <c r="G315" t="str">
        <f>IFERROR(__xludf.DUMMYFUNCTION("""COMPUTED_VALUE"""),"-")</f>
        <v>-</v>
      </c>
      <c r="H315" t="str">
        <f>IFERROR(__xludf.DUMMYFUNCTION("""COMPUTED_VALUE"""),"-")</f>
        <v>-</v>
      </c>
      <c r="I315" t="str">
        <f>IFERROR(__xludf.DUMMYFUNCTION("""COMPUTED_VALUE"""),"-")</f>
        <v>-</v>
      </c>
      <c r="J315" t="str">
        <f>IFERROR(__xludf.DUMMYFUNCTION("""COMPUTED_VALUE"""),"-")</f>
        <v>-</v>
      </c>
      <c r="K315" t="str">
        <f>IFERROR(__xludf.DUMMYFUNCTION("""COMPUTED_VALUE"""),"-")</f>
        <v>-</v>
      </c>
      <c r="L315" t="str">
        <f>IFERROR(__xludf.DUMMYFUNCTION("""COMPUTED_VALUE"""),"-")</f>
        <v>-</v>
      </c>
      <c r="M315" t="str">
        <f>IFERROR(__xludf.DUMMYFUNCTION("""COMPUTED_VALUE"""),"-")</f>
        <v>-</v>
      </c>
      <c r="O315" t="str">
        <f>IFERROR(__xludf.DUMMYFUNCTION("""COMPUTED_VALUE"""),"#314")</f>
        <v>#314</v>
      </c>
      <c r="P315" t="str">
        <f>IFERROR(__xludf.DUMMYFUNCTION("""COMPUTED_VALUE"""),"Philippe Vigier")</f>
        <v>Philippe Vigier</v>
      </c>
      <c r="Q315">
        <f>IFERROR(__xludf.DUMMYFUNCTION("""COMPUTED_VALUE"""),12493.0)</f>
        <v>12493</v>
      </c>
      <c r="R315" t="str">
        <f>IFERROR(__xludf.DUMMYFUNCTION("""COMPUTED_VALUE"""),"-")</f>
        <v>-</v>
      </c>
      <c r="S315" t="str">
        <f>IFERROR(__xludf.DUMMYFUNCTION("""COMPUTED_VALUE"""),"-")</f>
        <v>-</v>
      </c>
      <c r="T315" t="str">
        <f>IFERROR(__xludf.DUMMYFUNCTION("""COMPUTED_VALUE"""),"-")</f>
        <v>-</v>
      </c>
      <c r="U315" t="str">
        <f>IFERROR(__xludf.DUMMYFUNCTION("""COMPUTED_VALUE"""),"-")</f>
        <v>-</v>
      </c>
      <c r="V315" t="str">
        <f>IFERROR(__xludf.DUMMYFUNCTION("""COMPUTED_VALUE"""),"-")</f>
        <v>-</v>
      </c>
      <c r="W315" t="str">
        <f>IFERROR(__xludf.DUMMYFUNCTION("""COMPUTED_VALUE"""),"-")</f>
        <v>-</v>
      </c>
      <c r="X315" t="str">
        <f>IFERROR(__xludf.DUMMYFUNCTION("""COMPUTED_VALUE"""),"-")</f>
        <v>-</v>
      </c>
      <c r="Y315" t="str">
        <f>IFERROR(__xludf.DUMMYFUNCTION("""COMPUTED_VALUE"""),"-")</f>
        <v>-</v>
      </c>
      <c r="Z315" t="str">
        <f>IFERROR(__xludf.DUMMYFUNCTION("""COMPUTED_VALUE"""),"-")</f>
        <v>-</v>
      </c>
      <c r="AA315" t="str">
        <f>IFERROR(__xludf.DUMMYFUNCTION("""COMPUTED_VALUE"""),"-")</f>
        <v>-</v>
      </c>
    </row>
    <row r="316">
      <c r="A316" t="str">
        <f>IFERROR(__xludf.DUMMYFUNCTION("""COMPUTED_VALUE"""),"#315")</f>
        <v>#315</v>
      </c>
      <c r="B316" t="str">
        <f>IFERROR(__xludf.DUMMYFUNCTION("""COMPUTED_VALUE"""),"Jean-Pierre Sueur")</f>
        <v>Jean-Pierre Sueur</v>
      </c>
      <c r="C316">
        <f>IFERROR(__xludf.DUMMYFUNCTION("""COMPUTED_VALUE"""),12474.0)</f>
        <v>12474</v>
      </c>
      <c r="D316" t="str">
        <f>IFERROR(__xludf.DUMMYFUNCTION("""COMPUTED_VALUE"""),"-")</f>
        <v>-</v>
      </c>
      <c r="E316" t="str">
        <f>IFERROR(__xludf.DUMMYFUNCTION("""COMPUTED_VALUE"""),"-")</f>
        <v>-</v>
      </c>
      <c r="F316" t="str">
        <f>IFERROR(__xludf.DUMMYFUNCTION("""COMPUTED_VALUE"""),"-")</f>
        <v>-</v>
      </c>
      <c r="G316" t="str">
        <f>IFERROR(__xludf.DUMMYFUNCTION("""COMPUTED_VALUE"""),"-")</f>
        <v>-</v>
      </c>
      <c r="H316" t="str">
        <f>IFERROR(__xludf.DUMMYFUNCTION("""COMPUTED_VALUE"""),"-")</f>
        <v>-</v>
      </c>
      <c r="I316" t="str">
        <f>IFERROR(__xludf.DUMMYFUNCTION("""COMPUTED_VALUE"""),"-")</f>
        <v>-</v>
      </c>
      <c r="J316" t="str">
        <f>IFERROR(__xludf.DUMMYFUNCTION("""COMPUTED_VALUE"""),"-")</f>
        <v>-</v>
      </c>
      <c r="K316" t="str">
        <f>IFERROR(__xludf.DUMMYFUNCTION("""COMPUTED_VALUE"""),"-")</f>
        <v>-</v>
      </c>
      <c r="L316" t="str">
        <f>IFERROR(__xludf.DUMMYFUNCTION("""COMPUTED_VALUE"""),"-")</f>
        <v>-</v>
      </c>
      <c r="M316" t="str">
        <f>IFERROR(__xludf.DUMMYFUNCTION("""COMPUTED_VALUE"""),"-")</f>
        <v>-</v>
      </c>
      <c r="O316" t="str">
        <f>IFERROR(__xludf.DUMMYFUNCTION("""COMPUTED_VALUE"""),"#315")</f>
        <v>#315</v>
      </c>
      <c r="P316" t="str">
        <f>IFERROR(__xludf.DUMMYFUNCTION("""COMPUTED_VALUE"""),"Jean-Pierre Sueur")</f>
        <v>Jean-Pierre Sueur</v>
      </c>
      <c r="Q316">
        <f>IFERROR(__xludf.DUMMYFUNCTION("""COMPUTED_VALUE"""),12474.0)</f>
        <v>12474</v>
      </c>
      <c r="R316" t="str">
        <f>IFERROR(__xludf.DUMMYFUNCTION("""COMPUTED_VALUE"""),"-")</f>
        <v>-</v>
      </c>
      <c r="S316" t="str">
        <f>IFERROR(__xludf.DUMMYFUNCTION("""COMPUTED_VALUE"""),"-")</f>
        <v>-</v>
      </c>
      <c r="T316" t="str">
        <f>IFERROR(__xludf.DUMMYFUNCTION("""COMPUTED_VALUE"""),"-")</f>
        <v>-</v>
      </c>
      <c r="U316" t="str">
        <f>IFERROR(__xludf.DUMMYFUNCTION("""COMPUTED_VALUE"""),"-")</f>
        <v>-</v>
      </c>
      <c r="V316" t="str">
        <f>IFERROR(__xludf.DUMMYFUNCTION("""COMPUTED_VALUE"""),"-")</f>
        <v>-</v>
      </c>
      <c r="W316" t="str">
        <f>IFERROR(__xludf.DUMMYFUNCTION("""COMPUTED_VALUE"""),"-")</f>
        <v>-</v>
      </c>
      <c r="X316" t="str">
        <f>IFERROR(__xludf.DUMMYFUNCTION("""COMPUTED_VALUE"""),"-")</f>
        <v>-</v>
      </c>
      <c r="Y316" t="str">
        <f>IFERROR(__xludf.DUMMYFUNCTION("""COMPUTED_VALUE"""),"-")</f>
        <v>-</v>
      </c>
      <c r="Z316" t="str">
        <f>IFERROR(__xludf.DUMMYFUNCTION("""COMPUTED_VALUE"""),"-")</f>
        <v>-</v>
      </c>
      <c r="AA316" t="str">
        <f>IFERROR(__xludf.DUMMYFUNCTION("""COMPUTED_VALUE"""),"-")</f>
        <v>-</v>
      </c>
    </row>
    <row r="317">
      <c r="A317" t="str">
        <f>IFERROR(__xludf.DUMMYFUNCTION("""COMPUTED_VALUE"""),"#316")</f>
        <v>#316</v>
      </c>
      <c r="B317" t="str">
        <f>IFERROR(__xludf.DUMMYFUNCTION("""COMPUTED_VALUE"""),"François Sauvadet")</f>
        <v>François Sauvadet</v>
      </c>
      <c r="C317">
        <f>IFERROR(__xludf.DUMMYFUNCTION("""COMPUTED_VALUE"""),12414.0)</f>
        <v>12414</v>
      </c>
      <c r="D317" t="str">
        <f>IFERROR(__xludf.DUMMYFUNCTION("""COMPUTED_VALUE"""),"-")</f>
        <v>-</v>
      </c>
      <c r="E317" t="str">
        <f>IFERROR(__xludf.DUMMYFUNCTION("""COMPUTED_VALUE"""),"-")</f>
        <v>-</v>
      </c>
      <c r="F317" t="str">
        <f>IFERROR(__xludf.DUMMYFUNCTION("""COMPUTED_VALUE"""),"-")</f>
        <v>-</v>
      </c>
      <c r="G317" t="str">
        <f>IFERROR(__xludf.DUMMYFUNCTION("""COMPUTED_VALUE"""),"-")</f>
        <v>-</v>
      </c>
      <c r="H317" t="str">
        <f>IFERROR(__xludf.DUMMYFUNCTION("""COMPUTED_VALUE"""),"-")</f>
        <v>-</v>
      </c>
      <c r="I317" t="str">
        <f>IFERROR(__xludf.DUMMYFUNCTION("""COMPUTED_VALUE"""),"-")</f>
        <v>-</v>
      </c>
      <c r="J317" t="str">
        <f>IFERROR(__xludf.DUMMYFUNCTION("""COMPUTED_VALUE"""),"-")</f>
        <v>-</v>
      </c>
      <c r="K317" t="str">
        <f>IFERROR(__xludf.DUMMYFUNCTION("""COMPUTED_VALUE"""),"-")</f>
        <v>-</v>
      </c>
      <c r="L317" t="str">
        <f>IFERROR(__xludf.DUMMYFUNCTION("""COMPUTED_VALUE"""),"-")</f>
        <v>-</v>
      </c>
      <c r="M317" t="str">
        <f>IFERROR(__xludf.DUMMYFUNCTION("""COMPUTED_VALUE"""),"-")</f>
        <v>-</v>
      </c>
      <c r="O317" t="str">
        <f>IFERROR(__xludf.DUMMYFUNCTION("""COMPUTED_VALUE"""),"#316")</f>
        <v>#316</v>
      </c>
      <c r="P317" t="str">
        <f>IFERROR(__xludf.DUMMYFUNCTION("""COMPUTED_VALUE"""),"François Sauvadet")</f>
        <v>François Sauvadet</v>
      </c>
      <c r="Q317">
        <f>IFERROR(__xludf.DUMMYFUNCTION("""COMPUTED_VALUE"""),12414.0)</f>
        <v>12414</v>
      </c>
      <c r="R317" t="str">
        <f>IFERROR(__xludf.DUMMYFUNCTION("""COMPUTED_VALUE"""),"-")</f>
        <v>-</v>
      </c>
      <c r="S317" t="str">
        <f>IFERROR(__xludf.DUMMYFUNCTION("""COMPUTED_VALUE"""),"-")</f>
        <v>-</v>
      </c>
      <c r="T317" t="str">
        <f>IFERROR(__xludf.DUMMYFUNCTION("""COMPUTED_VALUE"""),"-")</f>
        <v>-</v>
      </c>
      <c r="U317" t="str">
        <f>IFERROR(__xludf.DUMMYFUNCTION("""COMPUTED_VALUE"""),"-")</f>
        <v>-</v>
      </c>
      <c r="V317" t="str">
        <f>IFERROR(__xludf.DUMMYFUNCTION("""COMPUTED_VALUE"""),"-")</f>
        <v>-</v>
      </c>
      <c r="W317" t="str">
        <f>IFERROR(__xludf.DUMMYFUNCTION("""COMPUTED_VALUE"""),"-")</f>
        <v>-</v>
      </c>
      <c r="X317" t="str">
        <f>IFERROR(__xludf.DUMMYFUNCTION("""COMPUTED_VALUE"""),"-")</f>
        <v>-</v>
      </c>
      <c r="Y317" t="str">
        <f>IFERROR(__xludf.DUMMYFUNCTION("""COMPUTED_VALUE"""),"-")</f>
        <v>-</v>
      </c>
      <c r="Z317" t="str">
        <f>IFERROR(__xludf.DUMMYFUNCTION("""COMPUTED_VALUE"""),"-")</f>
        <v>-</v>
      </c>
      <c r="AA317" t="str">
        <f>IFERROR(__xludf.DUMMYFUNCTION("""COMPUTED_VALUE"""),"-")</f>
        <v>-</v>
      </c>
    </row>
    <row r="318">
      <c r="A318" t="str">
        <f>IFERROR(__xludf.DUMMYFUNCTION("""COMPUTED_VALUE"""),"#317")</f>
        <v>#317</v>
      </c>
      <c r="B318" t="str">
        <f>IFERROR(__xludf.DUMMYFUNCTION("""COMPUTED_VALUE"""),"Paul Vannier")</f>
        <v>Paul Vannier</v>
      </c>
      <c r="C318">
        <f>IFERROR(__xludf.DUMMYFUNCTION("""COMPUTED_VALUE"""),12363.0)</f>
        <v>12363</v>
      </c>
      <c r="D318" t="str">
        <f>IFERROR(__xludf.DUMMYFUNCTION("""COMPUTED_VALUE"""),"-")</f>
        <v>-</v>
      </c>
      <c r="E318" t="str">
        <f>IFERROR(__xludf.DUMMYFUNCTION("""COMPUTED_VALUE"""),"-")</f>
        <v>-</v>
      </c>
      <c r="F318" t="str">
        <f>IFERROR(__xludf.DUMMYFUNCTION("""COMPUTED_VALUE"""),"-")</f>
        <v>-</v>
      </c>
      <c r="G318" t="str">
        <f>IFERROR(__xludf.DUMMYFUNCTION("""COMPUTED_VALUE"""),"-")</f>
        <v>-</v>
      </c>
      <c r="H318" t="str">
        <f>IFERROR(__xludf.DUMMYFUNCTION("""COMPUTED_VALUE"""),"-")</f>
        <v>-</v>
      </c>
      <c r="I318" t="str">
        <f>IFERROR(__xludf.DUMMYFUNCTION("""COMPUTED_VALUE"""),"-")</f>
        <v>-</v>
      </c>
      <c r="J318" t="str">
        <f>IFERROR(__xludf.DUMMYFUNCTION("""COMPUTED_VALUE"""),"-")</f>
        <v>-</v>
      </c>
      <c r="K318" t="str">
        <f>IFERROR(__xludf.DUMMYFUNCTION("""COMPUTED_VALUE"""),"-")</f>
        <v>-</v>
      </c>
      <c r="L318" t="str">
        <f>IFERROR(__xludf.DUMMYFUNCTION("""COMPUTED_VALUE"""),"-")</f>
        <v>-</v>
      </c>
      <c r="M318" t="str">
        <f>IFERROR(__xludf.DUMMYFUNCTION("""COMPUTED_VALUE"""),"-")</f>
        <v>-</v>
      </c>
      <c r="O318" t="str">
        <f>IFERROR(__xludf.DUMMYFUNCTION("""COMPUTED_VALUE"""),"#317")</f>
        <v>#317</v>
      </c>
      <c r="P318" t="str">
        <f>IFERROR(__xludf.DUMMYFUNCTION("""COMPUTED_VALUE"""),"Paul Vannier")</f>
        <v>Paul Vannier</v>
      </c>
      <c r="Q318">
        <f>IFERROR(__xludf.DUMMYFUNCTION("""COMPUTED_VALUE"""),12363.0)</f>
        <v>12363</v>
      </c>
      <c r="R318" t="str">
        <f>IFERROR(__xludf.DUMMYFUNCTION("""COMPUTED_VALUE"""),"-")</f>
        <v>-</v>
      </c>
      <c r="S318" t="str">
        <f>IFERROR(__xludf.DUMMYFUNCTION("""COMPUTED_VALUE"""),"-")</f>
        <v>-</v>
      </c>
      <c r="T318" t="str">
        <f>IFERROR(__xludf.DUMMYFUNCTION("""COMPUTED_VALUE"""),"-")</f>
        <v>-</v>
      </c>
      <c r="U318" t="str">
        <f>IFERROR(__xludf.DUMMYFUNCTION("""COMPUTED_VALUE"""),"-")</f>
        <v>-</v>
      </c>
      <c r="V318" t="str">
        <f>IFERROR(__xludf.DUMMYFUNCTION("""COMPUTED_VALUE"""),"-")</f>
        <v>-</v>
      </c>
      <c r="W318" t="str">
        <f>IFERROR(__xludf.DUMMYFUNCTION("""COMPUTED_VALUE"""),"-")</f>
        <v>-</v>
      </c>
      <c r="X318" t="str">
        <f>IFERROR(__xludf.DUMMYFUNCTION("""COMPUTED_VALUE"""),"-")</f>
        <v>-</v>
      </c>
      <c r="Y318" t="str">
        <f>IFERROR(__xludf.DUMMYFUNCTION("""COMPUTED_VALUE"""),"-")</f>
        <v>-</v>
      </c>
      <c r="Z318" t="str">
        <f>IFERROR(__xludf.DUMMYFUNCTION("""COMPUTED_VALUE"""),"-")</f>
        <v>-</v>
      </c>
      <c r="AA318" t="str">
        <f>IFERROR(__xludf.DUMMYFUNCTION("""COMPUTED_VALUE"""),"-")</f>
        <v>-</v>
      </c>
    </row>
    <row r="319">
      <c r="A319" t="str">
        <f>IFERROR(__xludf.DUMMYFUNCTION("""COMPUTED_VALUE"""),"#318")</f>
        <v>#318</v>
      </c>
      <c r="B319" t="str">
        <f>IFERROR(__xludf.DUMMYFUNCTION("""COMPUTED_VALUE"""),"Thibaut Monnier")</f>
        <v>Thibaut Monnier</v>
      </c>
      <c r="C319">
        <f>IFERROR(__xludf.DUMMYFUNCTION("""COMPUTED_VALUE"""),12348.0)</f>
        <v>12348</v>
      </c>
      <c r="D319" t="str">
        <f>IFERROR(__xludf.DUMMYFUNCTION("""COMPUTED_VALUE"""),"-")</f>
        <v>-</v>
      </c>
      <c r="E319" t="str">
        <f>IFERROR(__xludf.DUMMYFUNCTION("""COMPUTED_VALUE"""),"-")</f>
        <v>-</v>
      </c>
      <c r="F319" t="str">
        <f>IFERROR(__xludf.DUMMYFUNCTION("""COMPUTED_VALUE"""),"-")</f>
        <v>-</v>
      </c>
      <c r="G319" t="str">
        <f>IFERROR(__xludf.DUMMYFUNCTION("""COMPUTED_VALUE"""),"-")</f>
        <v>-</v>
      </c>
      <c r="H319" t="str">
        <f>IFERROR(__xludf.DUMMYFUNCTION("""COMPUTED_VALUE"""),"-")</f>
        <v>-</v>
      </c>
      <c r="I319" t="str">
        <f>IFERROR(__xludf.DUMMYFUNCTION("""COMPUTED_VALUE"""),"-")</f>
        <v>-</v>
      </c>
      <c r="J319" t="str">
        <f>IFERROR(__xludf.DUMMYFUNCTION("""COMPUTED_VALUE"""),"-")</f>
        <v>-</v>
      </c>
      <c r="K319" t="str">
        <f>IFERROR(__xludf.DUMMYFUNCTION("""COMPUTED_VALUE"""),"-")</f>
        <v>-</v>
      </c>
      <c r="L319" t="str">
        <f>IFERROR(__xludf.DUMMYFUNCTION("""COMPUTED_VALUE"""),"-")</f>
        <v>-</v>
      </c>
      <c r="M319" t="str">
        <f>IFERROR(__xludf.DUMMYFUNCTION("""COMPUTED_VALUE"""),"-")</f>
        <v>-</v>
      </c>
      <c r="O319" t="str">
        <f>IFERROR(__xludf.DUMMYFUNCTION("""COMPUTED_VALUE"""),"#318")</f>
        <v>#318</v>
      </c>
      <c r="P319" t="str">
        <f>IFERROR(__xludf.DUMMYFUNCTION("""COMPUTED_VALUE"""),"Thibaut Monnier")</f>
        <v>Thibaut Monnier</v>
      </c>
      <c r="Q319">
        <f>IFERROR(__xludf.DUMMYFUNCTION("""COMPUTED_VALUE"""),12348.0)</f>
        <v>12348</v>
      </c>
      <c r="R319" t="str">
        <f>IFERROR(__xludf.DUMMYFUNCTION("""COMPUTED_VALUE"""),"-")</f>
        <v>-</v>
      </c>
      <c r="S319" t="str">
        <f>IFERROR(__xludf.DUMMYFUNCTION("""COMPUTED_VALUE"""),"-")</f>
        <v>-</v>
      </c>
      <c r="T319" t="str">
        <f>IFERROR(__xludf.DUMMYFUNCTION("""COMPUTED_VALUE"""),"-")</f>
        <v>-</v>
      </c>
      <c r="U319" t="str">
        <f>IFERROR(__xludf.DUMMYFUNCTION("""COMPUTED_VALUE"""),"-")</f>
        <v>-</v>
      </c>
      <c r="V319" t="str">
        <f>IFERROR(__xludf.DUMMYFUNCTION("""COMPUTED_VALUE"""),"-")</f>
        <v>-</v>
      </c>
      <c r="W319" t="str">
        <f>IFERROR(__xludf.DUMMYFUNCTION("""COMPUTED_VALUE"""),"-")</f>
        <v>-</v>
      </c>
      <c r="X319" t="str">
        <f>IFERROR(__xludf.DUMMYFUNCTION("""COMPUTED_VALUE"""),"-")</f>
        <v>-</v>
      </c>
      <c r="Y319" t="str">
        <f>IFERROR(__xludf.DUMMYFUNCTION("""COMPUTED_VALUE"""),"-")</f>
        <v>-</v>
      </c>
      <c r="Z319" t="str">
        <f>IFERROR(__xludf.DUMMYFUNCTION("""COMPUTED_VALUE"""),"-")</f>
        <v>-</v>
      </c>
      <c r="AA319" t="str">
        <f>IFERROR(__xludf.DUMMYFUNCTION("""COMPUTED_VALUE"""),"-")</f>
        <v>-</v>
      </c>
    </row>
    <row r="320">
      <c r="A320" t="str">
        <f>IFERROR(__xludf.DUMMYFUNCTION("""COMPUTED_VALUE"""),"#319")</f>
        <v>#319</v>
      </c>
      <c r="B320" t="str">
        <f>IFERROR(__xludf.DUMMYFUNCTION("""COMPUTED_VALUE"""),"Pauline Véron")</f>
        <v>Pauline Véron</v>
      </c>
      <c r="C320">
        <f>IFERROR(__xludf.DUMMYFUNCTION("""COMPUTED_VALUE"""),11893.0)</f>
        <v>11893</v>
      </c>
      <c r="D320" t="str">
        <f>IFERROR(__xludf.DUMMYFUNCTION("""COMPUTED_VALUE"""),"-")</f>
        <v>-</v>
      </c>
      <c r="E320" t="str">
        <f>IFERROR(__xludf.DUMMYFUNCTION("""COMPUTED_VALUE"""),"-")</f>
        <v>-</v>
      </c>
      <c r="F320" t="str">
        <f>IFERROR(__xludf.DUMMYFUNCTION("""COMPUTED_VALUE"""),"-")</f>
        <v>-</v>
      </c>
      <c r="G320" t="str">
        <f>IFERROR(__xludf.DUMMYFUNCTION("""COMPUTED_VALUE"""),"-")</f>
        <v>-</v>
      </c>
      <c r="H320" t="str">
        <f>IFERROR(__xludf.DUMMYFUNCTION("""COMPUTED_VALUE"""),"-")</f>
        <v>-</v>
      </c>
      <c r="I320" t="str">
        <f>IFERROR(__xludf.DUMMYFUNCTION("""COMPUTED_VALUE"""),"-")</f>
        <v>-</v>
      </c>
      <c r="J320" t="str">
        <f>IFERROR(__xludf.DUMMYFUNCTION("""COMPUTED_VALUE"""),"-")</f>
        <v>-</v>
      </c>
      <c r="K320" t="str">
        <f>IFERROR(__xludf.DUMMYFUNCTION("""COMPUTED_VALUE"""),"-")</f>
        <v>-</v>
      </c>
      <c r="L320" t="str">
        <f>IFERROR(__xludf.DUMMYFUNCTION("""COMPUTED_VALUE"""),"-")</f>
        <v>-</v>
      </c>
      <c r="M320" t="str">
        <f>IFERROR(__xludf.DUMMYFUNCTION("""COMPUTED_VALUE"""),"-")</f>
        <v>-</v>
      </c>
      <c r="O320" t="str">
        <f>IFERROR(__xludf.DUMMYFUNCTION("""COMPUTED_VALUE"""),"#319")</f>
        <v>#319</v>
      </c>
      <c r="P320" t="str">
        <f>IFERROR(__xludf.DUMMYFUNCTION("""COMPUTED_VALUE"""),"Pauline Véron")</f>
        <v>Pauline Véron</v>
      </c>
      <c r="Q320">
        <f>IFERROR(__xludf.DUMMYFUNCTION("""COMPUTED_VALUE"""),11893.0)</f>
        <v>11893</v>
      </c>
      <c r="R320" t="str">
        <f>IFERROR(__xludf.DUMMYFUNCTION("""COMPUTED_VALUE"""),"-")</f>
        <v>-</v>
      </c>
      <c r="S320" t="str">
        <f>IFERROR(__xludf.DUMMYFUNCTION("""COMPUTED_VALUE"""),"-")</f>
        <v>-</v>
      </c>
      <c r="T320" t="str">
        <f>IFERROR(__xludf.DUMMYFUNCTION("""COMPUTED_VALUE"""),"-")</f>
        <v>-</v>
      </c>
      <c r="U320" t="str">
        <f>IFERROR(__xludf.DUMMYFUNCTION("""COMPUTED_VALUE"""),"-")</f>
        <v>-</v>
      </c>
      <c r="V320" t="str">
        <f>IFERROR(__xludf.DUMMYFUNCTION("""COMPUTED_VALUE"""),"-")</f>
        <v>-</v>
      </c>
      <c r="W320" t="str">
        <f>IFERROR(__xludf.DUMMYFUNCTION("""COMPUTED_VALUE"""),"-")</f>
        <v>-</v>
      </c>
      <c r="X320" t="str">
        <f>IFERROR(__xludf.DUMMYFUNCTION("""COMPUTED_VALUE"""),"-")</f>
        <v>-</v>
      </c>
      <c r="Y320" t="str">
        <f>IFERROR(__xludf.DUMMYFUNCTION("""COMPUTED_VALUE"""),"-")</f>
        <v>-</v>
      </c>
      <c r="Z320" t="str">
        <f>IFERROR(__xludf.DUMMYFUNCTION("""COMPUTED_VALUE"""),"-")</f>
        <v>-</v>
      </c>
      <c r="AA320" t="str">
        <f>IFERROR(__xludf.DUMMYFUNCTION("""COMPUTED_VALUE"""),"-")</f>
        <v>-</v>
      </c>
    </row>
    <row r="321">
      <c r="A321" t="str">
        <f>IFERROR(__xludf.DUMMYFUNCTION("""COMPUTED_VALUE"""),"#320")</f>
        <v>#320</v>
      </c>
      <c r="B321" t="str">
        <f>IFERROR(__xludf.DUMMYFUNCTION("""COMPUTED_VALUE"""),"Yoann Gillet")</f>
        <v>Yoann Gillet</v>
      </c>
      <c r="C321">
        <f>IFERROR(__xludf.DUMMYFUNCTION("""COMPUTED_VALUE"""),11800.0)</f>
        <v>11800</v>
      </c>
      <c r="D321" t="str">
        <f>IFERROR(__xludf.DUMMYFUNCTION("""COMPUTED_VALUE"""),"-")</f>
        <v>-</v>
      </c>
      <c r="E321" t="str">
        <f>IFERROR(__xludf.DUMMYFUNCTION("""COMPUTED_VALUE"""),"-")</f>
        <v>-</v>
      </c>
      <c r="F321" t="str">
        <f>IFERROR(__xludf.DUMMYFUNCTION("""COMPUTED_VALUE"""),"-")</f>
        <v>-</v>
      </c>
      <c r="G321" t="str">
        <f>IFERROR(__xludf.DUMMYFUNCTION("""COMPUTED_VALUE"""),"-")</f>
        <v>-</v>
      </c>
      <c r="H321" t="str">
        <f>IFERROR(__xludf.DUMMYFUNCTION("""COMPUTED_VALUE"""),"-")</f>
        <v>-</v>
      </c>
      <c r="I321" t="str">
        <f>IFERROR(__xludf.DUMMYFUNCTION("""COMPUTED_VALUE"""),"-")</f>
        <v>-</v>
      </c>
      <c r="J321" t="str">
        <f>IFERROR(__xludf.DUMMYFUNCTION("""COMPUTED_VALUE"""),"-")</f>
        <v>-</v>
      </c>
      <c r="K321" t="str">
        <f>IFERROR(__xludf.DUMMYFUNCTION("""COMPUTED_VALUE"""),"-")</f>
        <v>-</v>
      </c>
      <c r="L321" t="str">
        <f>IFERROR(__xludf.DUMMYFUNCTION("""COMPUTED_VALUE"""),"-")</f>
        <v>-</v>
      </c>
      <c r="M321" t="str">
        <f>IFERROR(__xludf.DUMMYFUNCTION("""COMPUTED_VALUE"""),"-")</f>
        <v>-</v>
      </c>
      <c r="O321" t="str">
        <f>IFERROR(__xludf.DUMMYFUNCTION("""COMPUTED_VALUE"""),"#320")</f>
        <v>#320</v>
      </c>
      <c r="P321" t="str">
        <f>IFERROR(__xludf.DUMMYFUNCTION("""COMPUTED_VALUE"""),"Yoann Gillet")</f>
        <v>Yoann Gillet</v>
      </c>
      <c r="Q321">
        <f>IFERROR(__xludf.DUMMYFUNCTION("""COMPUTED_VALUE"""),11800.0)</f>
        <v>11800</v>
      </c>
      <c r="R321" t="str">
        <f>IFERROR(__xludf.DUMMYFUNCTION("""COMPUTED_VALUE"""),"-")</f>
        <v>-</v>
      </c>
      <c r="S321" t="str">
        <f>IFERROR(__xludf.DUMMYFUNCTION("""COMPUTED_VALUE"""),"-")</f>
        <v>-</v>
      </c>
      <c r="T321" t="str">
        <f>IFERROR(__xludf.DUMMYFUNCTION("""COMPUTED_VALUE"""),"-")</f>
        <v>-</v>
      </c>
      <c r="U321" t="str">
        <f>IFERROR(__xludf.DUMMYFUNCTION("""COMPUTED_VALUE"""),"-")</f>
        <v>-</v>
      </c>
      <c r="V321" t="str">
        <f>IFERROR(__xludf.DUMMYFUNCTION("""COMPUTED_VALUE"""),"-")</f>
        <v>-</v>
      </c>
      <c r="W321" t="str">
        <f>IFERROR(__xludf.DUMMYFUNCTION("""COMPUTED_VALUE"""),"-")</f>
        <v>-</v>
      </c>
      <c r="X321" t="str">
        <f>IFERROR(__xludf.DUMMYFUNCTION("""COMPUTED_VALUE"""),"-")</f>
        <v>-</v>
      </c>
      <c r="Y321" t="str">
        <f>IFERROR(__xludf.DUMMYFUNCTION("""COMPUTED_VALUE"""),"-")</f>
        <v>-</v>
      </c>
      <c r="Z321" t="str">
        <f>IFERROR(__xludf.DUMMYFUNCTION("""COMPUTED_VALUE"""),"-")</f>
        <v>-</v>
      </c>
      <c r="AA321" t="str">
        <f>IFERROR(__xludf.DUMMYFUNCTION("""COMPUTED_VALUE"""),"-")</f>
        <v>-</v>
      </c>
    </row>
    <row r="322">
      <c r="A322" t="str">
        <f>IFERROR(__xludf.DUMMYFUNCTION("""COMPUTED_VALUE"""),"#321")</f>
        <v>#321</v>
      </c>
      <c r="B322" t="str">
        <f>IFERROR(__xludf.DUMMYFUNCTION("""COMPUTED_VALUE"""),"Ségolène Neuville")</f>
        <v>Ségolène Neuville</v>
      </c>
      <c r="C322">
        <f>IFERROR(__xludf.DUMMYFUNCTION("""COMPUTED_VALUE"""),11767.0)</f>
        <v>11767</v>
      </c>
      <c r="D322" t="str">
        <f>IFERROR(__xludf.DUMMYFUNCTION("""COMPUTED_VALUE"""),"-")</f>
        <v>-</v>
      </c>
      <c r="E322" t="str">
        <f>IFERROR(__xludf.DUMMYFUNCTION("""COMPUTED_VALUE"""),"-")</f>
        <v>-</v>
      </c>
      <c r="F322" t="str">
        <f>IFERROR(__xludf.DUMMYFUNCTION("""COMPUTED_VALUE"""),"-")</f>
        <v>-</v>
      </c>
      <c r="G322" t="str">
        <f>IFERROR(__xludf.DUMMYFUNCTION("""COMPUTED_VALUE"""),"-")</f>
        <v>-</v>
      </c>
      <c r="H322" t="str">
        <f>IFERROR(__xludf.DUMMYFUNCTION("""COMPUTED_VALUE"""),"-")</f>
        <v>-</v>
      </c>
      <c r="I322" t="str">
        <f>IFERROR(__xludf.DUMMYFUNCTION("""COMPUTED_VALUE"""),"-")</f>
        <v>-</v>
      </c>
      <c r="J322" t="str">
        <f>IFERROR(__xludf.DUMMYFUNCTION("""COMPUTED_VALUE"""),"-")</f>
        <v>-</v>
      </c>
      <c r="K322" t="str">
        <f>IFERROR(__xludf.DUMMYFUNCTION("""COMPUTED_VALUE"""),"-")</f>
        <v>-</v>
      </c>
      <c r="L322" t="str">
        <f>IFERROR(__xludf.DUMMYFUNCTION("""COMPUTED_VALUE"""),"-")</f>
        <v>-</v>
      </c>
      <c r="M322" t="str">
        <f>IFERROR(__xludf.DUMMYFUNCTION("""COMPUTED_VALUE"""),"-")</f>
        <v>-</v>
      </c>
      <c r="O322" t="str">
        <f>IFERROR(__xludf.DUMMYFUNCTION("""COMPUTED_VALUE"""),"#321")</f>
        <v>#321</v>
      </c>
      <c r="P322" t="str">
        <f>IFERROR(__xludf.DUMMYFUNCTION("""COMPUTED_VALUE"""),"Ségolène Neuville")</f>
        <v>Ségolène Neuville</v>
      </c>
      <c r="Q322">
        <f>IFERROR(__xludf.DUMMYFUNCTION("""COMPUTED_VALUE"""),11767.0)</f>
        <v>11767</v>
      </c>
      <c r="R322" t="str">
        <f>IFERROR(__xludf.DUMMYFUNCTION("""COMPUTED_VALUE"""),"-")</f>
        <v>-</v>
      </c>
      <c r="S322" t="str">
        <f>IFERROR(__xludf.DUMMYFUNCTION("""COMPUTED_VALUE"""),"-")</f>
        <v>-</v>
      </c>
      <c r="T322" t="str">
        <f>IFERROR(__xludf.DUMMYFUNCTION("""COMPUTED_VALUE"""),"-")</f>
        <v>-</v>
      </c>
      <c r="U322" t="str">
        <f>IFERROR(__xludf.DUMMYFUNCTION("""COMPUTED_VALUE"""),"-")</f>
        <v>-</v>
      </c>
      <c r="V322" t="str">
        <f>IFERROR(__xludf.DUMMYFUNCTION("""COMPUTED_VALUE"""),"-")</f>
        <v>-</v>
      </c>
      <c r="W322" t="str">
        <f>IFERROR(__xludf.DUMMYFUNCTION("""COMPUTED_VALUE"""),"-")</f>
        <v>-</v>
      </c>
      <c r="X322" t="str">
        <f>IFERROR(__xludf.DUMMYFUNCTION("""COMPUTED_VALUE"""),"-")</f>
        <v>-</v>
      </c>
      <c r="Y322" t="str">
        <f>IFERROR(__xludf.DUMMYFUNCTION("""COMPUTED_VALUE"""),"-")</f>
        <v>-</v>
      </c>
      <c r="Z322" t="str">
        <f>IFERROR(__xludf.DUMMYFUNCTION("""COMPUTED_VALUE"""),"-")</f>
        <v>-</v>
      </c>
      <c r="AA322" t="str">
        <f>IFERROR(__xludf.DUMMYFUNCTION("""COMPUTED_VALUE"""),"-")</f>
        <v>-</v>
      </c>
    </row>
    <row r="323">
      <c r="A323" t="str">
        <f>IFERROR(__xludf.DUMMYFUNCTION("""COMPUTED_VALUE"""),"#322")</f>
        <v>#322</v>
      </c>
      <c r="B323" t="str">
        <f>IFERROR(__xludf.DUMMYFUNCTION("""COMPUTED_VALUE"""),"Sandrine Bélier")</f>
        <v>Sandrine Bélier</v>
      </c>
      <c r="C323">
        <f>IFERROR(__xludf.DUMMYFUNCTION("""COMPUTED_VALUE"""),11766.0)</f>
        <v>11766</v>
      </c>
      <c r="D323" t="str">
        <f>IFERROR(__xludf.DUMMYFUNCTION("""COMPUTED_VALUE"""),"-")</f>
        <v>-</v>
      </c>
      <c r="E323" t="str">
        <f>IFERROR(__xludf.DUMMYFUNCTION("""COMPUTED_VALUE"""),"-")</f>
        <v>-</v>
      </c>
      <c r="F323" t="str">
        <f>IFERROR(__xludf.DUMMYFUNCTION("""COMPUTED_VALUE"""),"-")</f>
        <v>-</v>
      </c>
      <c r="G323" t="str">
        <f>IFERROR(__xludf.DUMMYFUNCTION("""COMPUTED_VALUE"""),"-")</f>
        <v>-</v>
      </c>
      <c r="H323" t="str">
        <f>IFERROR(__xludf.DUMMYFUNCTION("""COMPUTED_VALUE"""),"-")</f>
        <v>-</v>
      </c>
      <c r="I323" t="str">
        <f>IFERROR(__xludf.DUMMYFUNCTION("""COMPUTED_VALUE"""),"-")</f>
        <v>-</v>
      </c>
      <c r="J323" t="str">
        <f>IFERROR(__xludf.DUMMYFUNCTION("""COMPUTED_VALUE"""),"-")</f>
        <v>-</v>
      </c>
      <c r="K323" t="str">
        <f>IFERROR(__xludf.DUMMYFUNCTION("""COMPUTED_VALUE"""),"-")</f>
        <v>-</v>
      </c>
      <c r="L323" t="str">
        <f>IFERROR(__xludf.DUMMYFUNCTION("""COMPUTED_VALUE"""),"-")</f>
        <v>-</v>
      </c>
      <c r="M323" t="str">
        <f>IFERROR(__xludf.DUMMYFUNCTION("""COMPUTED_VALUE"""),"-")</f>
        <v>-</v>
      </c>
      <c r="O323" t="str">
        <f>IFERROR(__xludf.DUMMYFUNCTION("""COMPUTED_VALUE"""),"#322")</f>
        <v>#322</v>
      </c>
      <c r="P323" t="str">
        <f>IFERROR(__xludf.DUMMYFUNCTION("""COMPUTED_VALUE"""),"Sandrine Bélier")</f>
        <v>Sandrine Bélier</v>
      </c>
      <c r="Q323">
        <f>IFERROR(__xludf.DUMMYFUNCTION("""COMPUTED_VALUE"""),11766.0)</f>
        <v>11766</v>
      </c>
      <c r="R323" t="str">
        <f>IFERROR(__xludf.DUMMYFUNCTION("""COMPUTED_VALUE"""),"-")</f>
        <v>-</v>
      </c>
      <c r="S323" t="str">
        <f>IFERROR(__xludf.DUMMYFUNCTION("""COMPUTED_VALUE"""),"-")</f>
        <v>-</v>
      </c>
      <c r="T323" t="str">
        <f>IFERROR(__xludf.DUMMYFUNCTION("""COMPUTED_VALUE"""),"-")</f>
        <v>-</v>
      </c>
      <c r="U323" t="str">
        <f>IFERROR(__xludf.DUMMYFUNCTION("""COMPUTED_VALUE"""),"-")</f>
        <v>-</v>
      </c>
      <c r="V323" t="str">
        <f>IFERROR(__xludf.DUMMYFUNCTION("""COMPUTED_VALUE"""),"-")</f>
        <v>-</v>
      </c>
      <c r="W323" t="str">
        <f>IFERROR(__xludf.DUMMYFUNCTION("""COMPUTED_VALUE"""),"-")</f>
        <v>-</v>
      </c>
      <c r="X323" t="str">
        <f>IFERROR(__xludf.DUMMYFUNCTION("""COMPUTED_VALUE"""),"-")</f>
        <v>-</v>
      </c>
      <c r="Y323" t="str">
        <f>IFERROR(__xludf.DUMMYFUNCTION("""COMPUTED_VALUE"""),"-")</f>
        <v>-</v>
      </c>
      <c r="Z323" t="str">
        <f>IFERROR(__xludf.DUMMYFUNCTION("""COMPUTED_VALUE"""),"-")</f>
        <v>-</v>
      </c>
      <c r="AA323" t="str">
        <f>IFERROR(__xludf.DUMMYFUNCTION("""COMPUTED_VALUE"""),"-")</f>
        <v>-</v>
      </c>
    </row>
    <row r="324">
      <c r="A324" t="str">
        <f>IFERROR(__xludf.DUMMYFUNCTION("""COMPUTED_VALUE"""),"#323")</f>
        <v>#323</v>
      </c>
      <c r="B324" t="str">
        <f>IFERROR(__xludf.DUMMYFUNCTION("""COMPUTED_VALUE"""),"Dominique Estrosi Sassone")</f>
        <v>Dominique Estrosi Sassone</v>
      </c>
      <c r="C324">
        <f>IFERROR(__xludf.DUMMYFUNCTION("""COMPUTED_VALUE"""),11726.0)</f>
        <v>11726</v>
      </c>
      <c r="D324" t="str">
        <f>IFERROR(__xludf.DUMMYFUNCTION("""COMPUTED_VALUE"""),"-")</f>
        <v>-</v>
      </c>
      <c r="E324" t="str">
        <f>IFERROR(__xludf.DUMMYFUNCTION("""COMPUTED_VALUE"""),"-")</f>
        <v>-</v>
      </c>
      <c r="F324" t="str">
        <f>IFERROR(__xludf.DUMMYFUNCTION("""COMPUTED_VALUE"""),"-")</f>
        <v>-</v>
      </c>
      <c r="G324" t="str">
        <f>IFERROR(__xludf.DUMMYFUNCTION("""COMPUTED_VALUE"""),"-")</f>
        <v>-</v>
      </c>
      <c r="H324" t="str">
        <f>IFERROR(__xludf.DUMMYFUNCTION("""COMPUTED_VALUE"""),"-")</f>
        <v>-</v>
      </c>
      <c r="I324" t="str">
        <f>IFERROR(__xludf.DUMMYFUNCTION("""COMPUTED_VALUE"""),"-")</f>
        <v>-</v>
      </c>
      <c r="J324" t="str">
        <f>IFERROR(__xludf.DUMMYFUNCTION("""COMPUTED_VALUE"""),"-")</f>
        <v>-</v>
      </c>
      <c r="K324" t="str">
        <f>IFERROR(__xludf.DUMMYFUNCTION("""COMPUTED_VALUE"""),"-")</f>
        <v>-</v>
      </c>
      <c r="L324" t="str">
        <f>IFERROR(__xludf.DUMMYFUNCTION("""COMPUTED_VALUE"""),"-")</f>
        <v>-</v>
      </c>
      <c r="M324" t="str">
        <f>IFERROR(__xludf.DUMMYFUNCTION("""COMPUTED_VALUE"""),"-")</f>
        <v>-</v>
      </c>
      <c r="O324" t="str">
        <f>IFERROR(__xludf.DUMMYFUNCTION("""COMPUTED_VALUE"""),"#323")</f>
        <v>#323</v>
      </c>
      <c r="P324" t="str">
        <f>IFERROR(__xludf.DUMMYFUNCTION("""COMPUTED_VALUE"""),"Dominique Estrosi Sassone")</f>
        <v>Dominique Estrosi Sassone</v>
      </c>
      <c r="Q324">
        <f>IFERROR(__xludf.DUMMYFUNCTION("""COMPUTED_VALUE"""),11726.0)</f>
        <v>11726</v>
      </c>
      <c r="R324" t="str">
        <f>IFERROR(__xludf.DUMMYFUNCTION("""COMPUTED_VALUE"""),"-")</f>
        <v>-</v>
      </c>
      <c r="S324" t="str">
        <f>IFERROR(__xludf.DUMMYFUNCTION("""COMPUTED_VALUE"""),"-")</f>
        <v>-</v>
      </c>
      <c r="T324" t="str">
        <f>IFERROR(__xludf.DUMMYFUNCTION("""COMPUTED_VALUE"""),"-")</f>
        <v>-</v>
      </c>
      <c r="U324" t="str">
        <f>IFERROR(__xludf.DUMMYFUNCTION("""COMPUTED_VALUE"""),"-")</f>
        <v>-</v>
      </c>
      <c r="V324" t="str">
        <f>IFERROR(__xludf.DUMMYFUNCTION("""COMPUTED_VALUE"""),"-")</f>
        <v>-</v>
      </c>
      <c r="W324" t="str">
        <f>IFERROR(__xludf.DUMMYFUNCTION("""COMPUTED_VALUE"""),"-")</f>
        <v>-</v>
      </c>
      <c r="X324" t="str">
        <f>IFERROR(__xludf.DUMMYFUNCTION("""COMPUTED_VALUE"""),"-")</f>
        <v>-</v>
      </c>
      <c r="Y324" t="str">
        <f>IFERROR(__xludf.DUMMYFUNCTION("""COMPUTED_VALUE"""),"-")</f>
        <v>-</v>
      </c>
      <c r="Z324" t="str">
        <f>IFERROR(__xludf.DUMMYFUNCTION("""COMPUTED_VALUE"""),"-")</f>
        <v>-</v>
      </c>
      <c r="AA324" t="str">
        <f>IFERROR(__xludf.DUMMYFUNCTION("""COMPUTED_VALUE"""),"-")</f>
        <v>-</v>
      </c>
    </row>
    <row r="325">
      <c r="A325" t="str">
        <f>IFERROR(__xludf.DUMMYFUNCTION("""COMPUTED_VALUE"""),"#324")</f>
        <v>#324</v>
      </c>
      <c r="B325" t="str">
        <f>IFERROR(__xludf.DUMMYFUNCTION("""COMPUTED_VALUE"""),"Frédérique Espagnac")</f>
        <v>Frédérique Espagnac</v>
      </c>
      <c r="C325">
        <f>IFERROR(__xludf.DUMMYFUNCTION("""COMPUTED_VALUE"""),11715.0)</f>
        <v>11715</v>
      </c>
      <c r="D325" t="str">
        <f>IFERROR(__xludf.DUMMYFUNCTION("""COMPUTED_VALUE"""),"-")</f>
        <v>-</v>
      </c>
      <c r="E325" t="str">
        <f>IFERROR(__xludf.DUMMYFUNCTION("""COMPUTED_VALUE"""),"-")</f>
        <v>-</v>
      </c>
      <c r="F325" t="str">
        <f>IFERROR(__xludf.DUMMYFUNCTION("""COMPUTED_VALUE"""),"-")</f>
        <v>-</v>
      </c>
      <c r="G325" t="str">
        <f>IFERROR(__xludf.DUMMYFUNCTION("""COMPUTED_VALUE"""),"-")</f>
        <v>-</v>
      </c>
      <c r="H325" t="str">
        <f>IFERROR(__xludf.DUMMYFUNCTION("""COMPUTED_VALUE"""),"-")</f>
        <v>-</v>
      </c>
      <c r="I325" t="str">
        <f>IFERROR(__xludf.DUMMYFUNCTION("""COMPUTED_VALUE"""),"-")</f>
        <v>-</v>
      </c>
      <c r="J325" t="str">
        <f>IFERROR(__xludf.DUMMYFUNCTION("""COMPUTED_VALUE"""),"-")</f>
        <v>-</v>
      </c>
      <c r="K325" t="str">
        <f>IFERROR(__xludf.DUMMYFUNCTION("""COMPUTED_VALUE"""),"-")</f>
        <v>-</v>
      </c>
      <c r="L325" t="str">
        <f>IFERROR(__xludf.DUMMYFUNCTION("""COMPUTED_VALUE"""),"-")</f>
        <v>-</v>
      </c>
      <c r="M325" t="str">
        <f>IFERROR(__xludf.DUMMYFUNCTION("""COMPUTED_VALUE"""),"-")</f>
        <v>-</v>
      </c>
      <c r="O325" t="str">
        <f>IFERROR(__xludf.DUMMYFUNCTION("""COMPUTED_VALUE"""),"#324")</f>
        <v>#324</v>
      </c>
      <c r="P325" t="str">
        <f>IFERROR(__xludf.DUMMYFUNCTION("""COMPUTED_VALUE"""),"Frédérique Espagnac")</f>
        <v>Frédérique Espagnac</v>
      </c>
      <c r="Q325">
        <f>IFERROR(__xludf.DUMMYFUNCTION("""COMPUTED_VALUE"""),11715.0)</f>
        <v>11715</v>
      </c>
      <c r="R325" t="str">
        <f>IFERROR(__xludf.DUMMYFUNCTION("""COMPUTED_VALUE"""),"-")</f>
        <v>-</v>
      </c>
      <c r="S325" t="str">
        <f>IFERROR(__xludf.DUMMYFUNCTION("""COMPUTED_VALUE"""),"-")</f>
        <v>-</v>
      </c>
      <c r="T325" t="str">
        <f>IFERROR(__xludf.DUMMYFUNCTION("""COMPUTED_VALUE"""),"-")</f>
        <v>-</v>
      </c>
      <c r="U325" t="str">
        <f>IFERROR(__xludf.DUMMYFUNCTION("""COMPUTED_VALUE"""),"-")</f>
        <v>-</v>
      </c>
      <c r="V325" t="str">
        <f>IFERROR(__xludf.DUMMYFUNCTION("""COMPUTED_VALUE"""),"-")</f>
        <v>-</v>
      </c>
      <c r="W325" t="str">
        <f>IFERROR(__xludf.DUMMYFUNCTION("""COMPUTED_VALUE"""),"-")</f>
        <v>-</v>
      </c>
      <c r="X325" t="str">
        <f>IFERROR(__xludf.DUMMYFUNCTION("""COMPUTED_VALUE"""),"-")</f>
        <v>-</v>
      </c>
      <c r="Y325" t="str">
        <f>IFERROR(__xludf.DUMMYFUNCTION("""COMPUTED_VALUE"""),"-")</f>
        <v>-</v>
      </c>
      <c r="Z325" t="str">
        <f>IFERROR(__xludf.DUMMYFUNCTION("""COMPUTED_VALUE"""),"-")</f>
        <v>-</v>
      </c>
      <c r="AA325" t="str">
        <f>IFERROR(__xludf.DUMMYFUNCTION("""COMPUTED_VALUE"""),"-")</f>
        <v>-</v>
      </c>
    </row>
    <row r="326">
      <c r="A326" t="str">
        <f>IFERROR(__xludf.DUMMYFUNCTION("""COMPUTED_VALUE"""),"#325")</f>
        <v>#325</v>
      </c>
      <c r="B326" t="str">
        <f>IFERROR(__xludf.DUMMYFUNCTION("""COMPUTED_VALUE"""),"Anne Genetet")</f>
        <v>Anne Genetet</v>
      </c>
      <c r="C326">
        <f>IFERROR(__xludf.DUMMYFUNCTION("""COMPUTED_VALUE"""),11694.0)</f>
        <v>11694</v>
      </c>
      <c r="D326" t="str">
        <f>IFERROR(__xludf.DUMMYFUNCTION("""COMPUTED_VALUE"""),"-")</f>
        <v>-</v>
      </c>
      <c r="E326" t="str">
        <f>IFERROR(__xludf.DUMMYFUNCTION("""COMPUTED_VALUE"""),"-")</f>
        <v>-</v>
      </c>
      <c r="F326" t="str">
        <f>IFERROR(__xludf.DUMMYFUNCTION("""COMPUTED_VALUE"""),"-")</f>
        <v>-</v>
      </c>
      <c r="G326" t="str">
        <f>IFERROR(__xludf.DUMMYFUNCTION("""COMPUTED_VALUE"""),"-")</f>
        <v>-</v>
      </c>
      <c r="H326" t="str">
        <f>IFERROR(__xludf.DUMMYFUNCTION("""COMPUTED_VALUE"""),"-")</f>
        <v>-</v>
      </c>
      <c r="I326" t="str">
        <f>IFERROR(__xludf.DUMMYFUNCTION("""COMPUTED_VALUE"""),"-")</f>
        <v>-</v>
      </c>
      <c r="J326" t="str">
        <f>IFERROR(__xludf.DUMMYFUNCTION("""COMPUTED_VALUE"""),"-")</f>
        <v>-</v>
      </c>
      <c r="K326" t="str">
        <f>IFERROR(__xludf.DUMMYFUNCTION("""COMPUTED_VALUE"""),"-")</f>
        <v>-</v>
      </c>
      <c r="L326" t="str">
        <f>IFERROR(__xludf.DUMMYFUNCTION("""COMPUTED_VALUE"""),"-")</f>
        <v>-</v>
      </c>
      <c r="M326" t="str">
        <f>IFERROR(__xludf.DUMMYFUNCTION("""COMPUTED_VALUE"""),"-")</f>
        <v>-</v>
      </c>
      <c r="O326" t="str">
        <f>IFERROR(__xludf.DUMMYFUNCTION("""COMPUTED_VALUE"""),"#325")</f>
        <v>#325</v>
      </c>
      <c r="P326" t="str">
        <f>IFERROR(__xludf.DUMMYFUNCTION("""COMPUTED_VALUE"""),"Anne Genetet")</f>
        <v>Anne Genetet</v>
      </c>
      <c r="Q326">
        <f>IFERROR(__xludf.DUMMYFUNCTION("""COMPUTED_VALUE"""),11694.0)</f>
        <v>11694</v>
      </c>
      <c r="R326" t="str">
        <f>IFERROR(__xludf.DUMMYFUNCTION("""COMPUTED_VALUE"""),"-")</f>
        <v>-</v>
      </c>
      <c r="S326" t="str">
        <f>IFERROR(__xludf.DUMMYFUNCTION("""COMPUTED_VALUE"""),"-")</f>
        <v>-</v>
      </c>
      <c r="T326" t="str">
        <f>IFERROR(__xludf.DUMMYFUNCTION("""COMPUTED_VALUE"""),"-")</f>
        <v>-</v>
      </c>
      <c r="U326" t="str">
        <f>IFERROR(__xludf.DUMMYFUNCTION("""COMPUTED_VALUE"""),"-")</f>
        <v>-</v>
      </c>
      <c r="V326" t="str">
        <f>IFERROR(__xludf.DUMMYFUNCTION("""COMPUTED_VALUE"""),"-")</f>
        <v>-</v>
      </c>
      <c r="W326" t="str">
        <f>IFERROR(__xludf.DUMMYFUNCTION("""COMPUTED_VALUE"""),"-")</f>
        <v>-</v>
      </c>
      <c r="X326" t="str">
        <f>IFERROR(__xludf.DUMMYFUNCTION("""COMPUTED_VALUE"""),"-")</f>
        <v>-</v>
      </c>
      <c r="Y326" t="str">
        <f>IFERROR(__xludf.DUMMYFUNCTION("""COMPUTED_VALUE"""),"-")</f>
        <v>-</v>
      </c>
      <c r="Z326" t="str">
        <f>IFERROR(__xludf.DUMMYFUNCTION("""COMPUTED_VALUE"""),"-")</f>
        <v>-</v>
      </c>
      <c r="AA326" t="str">
        <f>IFERROR(__xludf.DUMMYFUNCTION("""COMPUTED_VALUE"""),"-")</f>
        <v>-</v>
      </c>
    </row>
    <row r="327">
      <c r="A327" t="str">
        <f>IFERROR(__xludf.DUMMYFUNCTION("""COMPUTED_VALUE"""),"#326")</f>
        <v>#326</v>
      </c>
      <c r="B327" t="str">
        <f>IFERROR(__xludf.DUMMYFUNCTION("""COMPUTED_VALUE"""),"Jacques Cheminade")</f>
        <v>Jacques Cheminade</v>
      </c>
      <c r="C327">
        <f>IFERROR(__xludf.DUMMYFUNCTION("""COMPUTED_VALUE"""),11577.0)</f>
        <v>11577</v>
      </c>
      <c r="D327" t="str">
        <f>IFERROR(__xludf.DUMMYFUNCTION("""COMPUTED_VALUE"""),"-")</f>
        <v>-</v>
      </c>
      <c r="E327" t="str">
        <f>IFERROR(__xludf.DUMMYFUNCTION("""COMPUTED_VALUE"""),"-")</f>
        <v>-</v>
      </c>
      <c r="F327" t="str">
        <f>IFERROR(__xludf.DUMMYFUNCTION("""COMPUTED_VALUE"""),"-")</f>
        <v>-</v>
      </c>
      <c r="G327" t="str">
        <f>IFERROR(__xludf.DUMMYFUNCTION("""COMPUTED_VALUE"""),"-")</f>
        <v>-</v>
      </c>
      <c r="H327" t="str">
        <f>IFERROR(__xludf.DUMMYFUNCTION("""COMPUTED_VALUE"""),"-")</f>
        <v>-</v>
      </c>
      <c r="I327" t="str">
        <f>IFERROR(__xludf.DUMMYFUNCTION("""COMPUTED_VALUE"""),"-")</f>
        <v>-</v>
      </c>
      <c r="J327" t="str">
        <f>IFERROR(__xludf.DUMMYFUNCTION("""COMPUTED_VALUE"""),"-")</f>
        <v>-</v>
      </c>
      <c r="K327" t="str">
        <f>IFERROR(__xludf.DUMMYFUNCTION("""COMPUTED_VALUE"""),"-")</f>
        <v>-</v>
      </c>
      <c r="L327" t="str">
        <f>IFERROR(__xludf.DUMMYFUNCTION("""COMPUTED_VALUE"""),"-")</f>
        <v>-</v>
      </c>
      <c r="M327" t="str">
        <f>IFERROR(__xludf.DUMMYFUNCTION("""COMPUTED_VALUE"""),"-")</f>
        <v>-</v>
      </c>
      <c r="O327" t="str">
        <f>IFERROR(__xludf.DUMMYFUNCTION("""COMPUTED_VALUE"""),"#326")</f>
        <v>#326</v>
      </c>
      <c r="P327" t="str">
        <f>IFERROR(__xludf.DUMMYFUNCTION("""COMPUTED_VALUE"""),"Jacques Cheminade")</f>
        <v>Jacques Cheminade</v>
      </c>
      <c r="Q327">
        <f>IFERROR(__xludf.DUMMYFUNCTION("""COMPUTED_VALUE"""),11577.0)</f>
        <v>11577</v>
      </c>
      <c r="R327" t="str">
        <f>IFERROR(__xludf.DUMMYFUNCTION("""COMPUTED_VALUE"""),"-")</f>
        <v>-</v>
      </c>
      <c r="S327" t="str">
        <f>IFERROR(__xludf.DUMMYFUNCTION("""COMPUTED_VALUE"""),"-")</f>
        <v>-</v>
      </c>
      <c r="T327" t="str">
        <f>IFERROR(__xludf.DUMMYFUNCTION("""COMPUTED_VALUE"""),"-")</f>
        <v>-</v>
      </c>
      <c r="U327" t="str">
        <f>IFERROR(__xludf.DUMMYFUNCTION("""COMPUTED_VALUE"""),"-")</f>
        <v>-</v>
      </c>
      <c r="V327" t="str">
        <f>IFERROR(__xludf.DUMMYFUNCTION("""COMPUTED_VALUE"""),"-")</f>
        <v>-</v>
      </c>
      <c r="W327" t="str">
        <f>IFERROR(__xludf.DUMMYFUNCTION("""COMPUTED_VALUE"""),"-")</f>
        <v>-</v>
      </c>
      <c r="X327" t="str">
        <f>IFERROR(__xludf.DUMMYFUNCTION("""COMPUTED_VALUE"""),"-")</f>
        <v>-</v>
      </c>
      <c r="Y327" t="str">
        <f>IFERROR(__xludf.DUMMYFUNCTION("""COMPUTED_VALUE"""),"-")</f>
        <v>-</v>
      </c>
      <c r="Z327" t="str">
        <f>IFERROR(__xludf.DUMMYFUNCTION("""COMPUTED_VALUE"""),"-")</f>
        <v>-</v>
      </c>
      <c r="AA327" t="str">
        <f>IFERROR(__xludf.DUMMYFUNCTION("""COMPUTED_VALUE"""),"-")</f>
        <v>-</v>
      </c>
    </row>
    <row r="328">
      <c r="A328" t="str">
        <f>IFERROR(__xludf.DUMMYFUNCTION("""COMPUTED_VALUE"""),"#327")</f>
        <v>#327</v>
      </c>
      <c r="B328" t="str">
        <f>IFERROR(__xludf.DUMMYFUNCTION("""COMPUTED_VALUE"""),"Alexis Bachelay")</f>
        <v>Alexis Bachelay</v>
      </c>
      <c r="C328">
        <f>IFERROR(__xludf.DUMMYFUNCTION("""COMPUTED_VALUE"""),11532.0)</f>
        <v>11532</v>
      </c>
      <c r="D328" t="str">
        <f>IFERROR(__xludf.DUMMYFUNCTION("""COMPUTED_VALUE"""),"-")</f>
        <v>-</v>
      </c>
      <c r="E328" t="str">
        <f>IFERROR(__xludf.DUMMYFUNCTION("""COMPUTED_VALUE"""),"-")</f>
        <v>-</v>
      </c>
      <c r="F328" t="str">
        <f>IFERROR(__xludf.DUMMYFUNCTION("""COMPUTED_VALUE"""),"-")</f>
        <v>-</v>
      </c>
      <c r="G328" t="str">
        <f>IFERROR(__xludf.DUMMYFUNCTION("""COMPUTED_VALUE"""),"-")</f>
        <v>-</v>
      </c>
      <c r="H328" t="str">
        <f>IFERROR(__xludf.DUMMYFUNCTION("""COMPUTED_VALUE"""),"-")</f>
        <v>-</v>
      </c>
      <c r="I328" t="str">
        <f>IFERROR(__xludf.DUMMYFUNCTION("""COMPUTED_VALUE"""),"-")</f>
        <v>-</v>
      </c>
      <c r="J328" t="str">
        <f>IFERROR(__xludf.DUMMYFUNCTION("""COMPUTED_VALUE"""),"-")</f>
        <v>-</v>
      </c>
      <c r="K328" t="str">
        <f>IFERROR(__xludf.DUMMYFUNCTION("""COMPUTED_VALUE"""),"-")</f>
        <v>-</v>
      </c>
      <c r="L328" t="str">
        <f>IFERROR(__xludf.DUMMYFUNCTION("""COMPUTED_VALUE"""),"-")</f>
        <v>-</v>
      </c>
      <c r="M328" t="str">
        <f>IFERROR(__xludf.DUMMYFUNCTION("""COMPUTED_VALUE"""),"-")</f>
        <v>-</v>
      </c>
      <c r="O328" t="str">
        <f>IFERROR(__xludf.DUMMYFUNCTION("""COMPUTED_VALUE"""),"#327")</f>
        <v>#327</v>
      </c>
      <c r="P328" t="str">
        <f>IFERROR(__xludf.DUMMYFUNCTION("""COMPUTED_VALUE"""),"Alexis Bachelay")</f>
        <v>Alexis Bachelay</v>
      </c>
      <c r="Q328">
        <f>IFERROR(__xludf.DUMMYFUNCTION("""COMPUTED_VALUE"""),11532.0)</f>
        <v>11532</v>
      </c>
      <c r="R328" t="str">
        <f>IFERROR(__xludf.DUMMYFUNCTION("""COMPUTED_VALUE"""),"-")</f>
        <v>-</v>
      </c>
      <c r="S328" t="str">
        <f>IFERROR(__xludf.DUMMYFUNCTION("""COMPUTED_VALUE"""),"-")</f>
        <v>-</v>
      </c>
      <c r="T328" t="str">
        <f>IFERROR(__xludf.DUMMYFUNCTION("""COMPUTED_VALUE"""),"-")</f>
        <v>-</v>
      </c>
      <c r="U328" t="str">
        <f>IFERROR(__xludf.DUMMYFUNCTION("""COMPUTED_VALUE"""),"-")</f>
        <v>-</v>
      </c>
      <c r="V328" t="str">
        <f>IFERROR(__xludf.DUMMYFUNCTION("""COMPUTED_VALUE"""),"-")</f>
        <v>-</v>
      </c>
      <c r="W328" t="str">
        <f>IFERROR(__xludf.DUMMYFUNCTION("""COMPUTED_VALUE"""),"-")</f>
        <v>-</v>
      </c>
      <c r="X328" t="str">
        <f>IFERROR(__xludf.DUMMYFUNCTION("""COMPUTED_VALUE"""),"-")</f>
        <v>-</v>
      </c>
      <c r="Y328" t="str">
        <f>IFERROR(__xludf.DUMMYFUNCTION("""COMPUTED_VALUE"""),"-")</f>
        <v>-</v>
      </c>
      <c r="Z328" t="str">
        <f>IFERROR(__xludf.DUMMYFUNCTION("""COMPUTED_VALUE"""),"-")</f>
        <v>-</v>
      </c>
      <c r="AA328" t="str">
        <f>IFERROR(__xludf.DUMMYFUNCTION("""COMPUTED_VALUE"""),"-")</f>
        <v>-</v>
      </c>
    </row>
    <row r="329">
      <c r="A329" t="str">
        <f>IFERROR(__xludf.DUMMYFUNCTION("""COMPUTED_VALUE"""),"#328")</f>
        <v>#328</v>
      </c>
      <c r="B329" t="str">
        <f>IFERROR(__xludf.DUMMYFUNCTION("""COMPUTED_VALUE"""),"François Lamy")</f>
        <v>François Lamy</v>
      </c>
      <c r="C329">
        <f>IFERROR(__xludf.DUMMYFUNCTION("""COMPUTED_VALUE"""),11528.0)</f>
        <v>11528</v>
      </c>
      <c r="D329" t="str">
        <f>IFERROR(__xludf.DUMMYFUNCTION("""COMPUTED_VALUE"""),"-")</f>
        <v>-</v>
      </c>
      <c r="E329" t="str">
        <f>IFERROR(__xludf.DUMMYFUNCTION("""COMPUTED_VALUE"""),"-")</f>
        <v>-</v>
      </c>
      <c r="F329" t="str">
        <f>IFERROR(__xludf.DUMMYFUNCTION("""COMPUTED_VALUE"""),"-")</f>
        <v>-</v>
      </c>
      <c r="G329" t="str">
        <f>IFERROR(__xludf.DUMMYFUNCTION("""COMPUTED_VALUE"""),"-")</f>
        <v>-</v>
      </c>
      <c r="H329" t="str">
        <f>IFERROR(__xludf.DUMMYFUNCTION("""COMPUTED_VALUE"""),"-")</f>
        <v>-</v>
      </c>
      <c r="I329" t="str">
        <f>IFERROR(__xludf.DUMMYFUNCTION("""COMPUTED_VALUE"""),"-")</f>
        <v>-</v>
      </c>
      <c r="J329" t="str">
        <f>IFERROR(__xludf.DUMMYFUNCTION("""COMPUTED_VALUE"""),"-")</f>
        <v>-</v>
      </c>
      <c r="K329" t="str">
        <f>IFERROR(__xludf.DUMMYFUNCTION("""COMPUTED_VALUE"""),"-")</f>
        <v>-</v>
      </c>
      <c r="L329" t="str">
        <f>IFERROR(__xludf.DUMMYFUNCTION("""COMPUTED_VALUE"""),"-")</f>
        <v>-</v>
      </c>
      <c r="M329" t="str">
        <f>IFERROR(__xludf.DUMMYFUNCTION("""COMPUTED_VALUE"""),"-")</f>
        <v>-</v>
      </c>
      <c r="O329" t="str">
        <f>IFERROR(__xludf.DUMMYFUNCTION("""COMPUTED_VALUE"""),"#328")</f>
        <v>#328</v>
      </c>
      <c r="P329" t="str">
        <f>IFERROR(__xludf.DUMMYFUNCTION("""COMPUTED_VALUE"""),"François Lamy")</f>
        <v>François Lamy</v>
      </c>
      <c r="Q329">
        <f>IFERROR(__xludf.DUMMYFUNCTION("""COMPUTED_VALUE"""),11528.0)</f>
        <v>11528</v>
      </c>
      <c r="R329" t="str">
        <f>IFERROR(__xludf.DUMMYFUNCTION("""COMPUTED_VALUE"""),"-")</f>
        <v>-</v>
      </c>
      <c r="S329" t="str">
        <f>IFERROR(__xludf.DUMMYFUNCTION("""COMPUTED_VALUE"""),"-")</f>
        <v>-</v>
      </c>
      <c r="T329" t="str">
        <f>IFERROR(__xludf.DUMMYFUNCTION("""COMPUTED_VALUE"""),"-")</f>
        <v>-</v>
      </c>
      <c r="U329" t="str">
        <f>IFERROR(__xludf.DUMMYFUNCTION("""COMPUTED_VALUE"""),"-")</f>
        <v>-</v>
      </c>
      <c r="V329" t="str">
        <f>IFERROR(__xludf.DUMMYFUNCTION("""COMPUTED_VALUE"""),"-")</f>
        <v>-</v>
      </c>
      <c r="W329" t="str">
        <f>IFERROR(__xludf.DUMMYFUNCTION("""COMPUTED_VALUE"""),"-")</f>
        <v>-</v>
      </c>
      <c r="X329" t="str">
        <f>IFERROR(__xludf.DUMMYFUNCTION("""COMPUTED_VALUE"""),"-")</f>
        <v>-</v>
      </c>
      <c r="Y329" t="str">
        <f>IFERROR(__xludf.DUMMYFUNCTION("""COMPUTED_VALUE"""),"-")</f>
        <v>-</v>
      </c>
      <c r="Z329" t="str">
        <f>IFERROR(__xludf.DUMMYFUNCTION("""COMPUTED_VALUE"""),"-")</f>
        <v>-</v>
      </c>
      <c r="AA329" t="str">
        <f>IFERROR(__xludf.DUMMYFUNCTION("""COMPUTED_VALUE"""),"-")</f>
        <v>-</v>
      </c>
    </row>
    <row r="330">
      <c r="A330" t="str">
        <f>IFERROR(__xludf.DUMMYFUNCTION("""COMPUTED_VALUE"""),"#329")</f>
        <v>#329</v>
      </c>
      <c r="B330" t="str">
        <f>IFERROR(__xludf.DUMMYFUNCTION("""COMPUTED_VALUE"""),"Florie Marie")</f>
        <v>Florie Marie</v>
      </c>
      <c r="C330">
        <f>IFERROR(__xludf.DUMMYFUNCTION("""COMPUTED_VALUE"""),11520.0)</f>
        <v>11520</v>
      </c>
      <c r="D330" t="str">
        <f>IFERROR(__xludf.DUMMYFUNCTION("""COMPUTED_VALUE"""),"-")</f>
        <v>-</v>
      </c>
      <c r="E330" t="str">
        <f>IFERROR(__xludf.DUMMYFUNCTION("""COMPUTED_VALUE"""),"-")</f>
        <v>-</v>
      </c>
      <c r="F330" t="str">
        <f>IFERROR(__xludf.DUMMYFUNCTION("""COMPUTED_VALUE"""),"-")</f>
        <v>-</v>
      </c>
      <c r="G330" t="str">
        <f>IFERROR(__xludf.DUMMYFUNCTION("""COMPUTED_VALUE"""),"-")</f>
        <v>-</v>
      </c>
      <c r="H330" t="str">
        <f>IFERROR(__xludf.DUMMYFUNCTION("""COMPUTED_VALUE"""),"-")</f>
        <v>-</v>
      </c>
      <c r="I330" t="str">
        <f>IFERROR(__xludf.DUMMYFUNCTION("""COMPUTED_VALUE"""),"-")</f>
        <v>-</v>
      </c>
      <c r="J330" t="str">
        <f>IFERROR(__xludf.DUMMYFUNCTION("""COMPUTED_VALUE"""),"-")</f>
        <v>-</v>
      </c>
      <c r="K330" t="str">
        <f>IFERROR(__xludf.DUMMYFUNCTION("""COMPUTED_VALUE"""),"-")</f>
        <v>-</v>
      </c>
      <c r="L330" t="str">
        <f>IFERROR(__xludf.DUMMYFUNCTION("""COMPUTED_VALUE"""),"-")</f>
        <v>-</v>
      </c>
      <c r="M330" t="str">
        <f>IFERROR(__xludf.DUMMYFUNCTION("""COMPUTED_VALUE"""),"-")</f>
        <v>-</v>
      </c>
      <c r="O330" t="str">
        <f>IFERROR(__xludf.DUMMYFUNCTION("""COMPUTED_VALUE"""),"#329")</f>
        <v>#329</v>
      </c>
      <c r="P330" t="str">
        <f>IFERROR(__xludf.DUMMYFUNCTION("""COMPUTED_VALUE"""),"Florie Marie")</f>
        <v>Florie Marie</v>
      </c>
      <c r="Q330">
        <f>IFERROR(__xludf.DUMMYFUNCTION("""COMPUTED_VALUE"""),11520.0)</f>
        <v>11520</v>
      </c>
      <c r="R330" t="str">
        <f>IFERROR(__xludf.DUMMYFUNCTION("""COMPUTED_VALUE"""),"-")</f>
        <v>-</v>
      </c>
      <c r="S330" t="str">
        <f>IFERROR(__xludf.DUMMYFUNCTION("""COMPUTED_VALUE"""),"-")</f>
        <v>-</v>
      </c>
      <c r="T330" t="str">
        <f>IFERROR(__xludf.DUMMYFUNCTION("""COMPUTED_VALUE"""),"-")</f>
        <v>-</v>
      </c>
      <c r="U330" t="str">
        <f>IFERROR(__xludf.DUMMYFUNCTION("""COMPUTED_VALUE"""),"-")</f>
        <v>-</v>
      </c>
      <c r="V330" t="str">
        <f>IFERROR(__xludf.DUMMYFUNCTION("""COMPUTED_VALUE"""),"-")</f>
        <v>-</v>
      </c>
      <c r="W330" t="str">
        <f>IFERROR(__xludf.DUMMYFUNCTION("""COMPUTED_VALUE"""),"-")</f>
        <v>-</v>
      </c>
      <c r="X330" t="str">
        <f>IFERROR(__xludf.DUMMYFUNCTION("""COMPUTED_VALUE"""),"-")</f>
        <v>-</v>
      </c>
      <c r="Y330" t="str">
        <f>IFERROR(__xludf.DUMMYFUNCTION("""COMPUTED_VALUE"""),"-")</f>
        <v>-</v>
      </c>
      <c r="Z330" t="str">
        <f>IFERROR(__xludf.DUMMYFUNCTION("""COMPUTED_VALUE"""),"-")</f>
        <v>-</v>
      </c>
      <c r="AA330" t="str">
        <f>IFERROR(__xludf.DUMMYFUNCTION("""COMPUTED_VALUE"""),"-")</f>
        <v>-</v>
      </c>
    </row>
    <row r="331">
      <c r="A331" t="str">
        <f>IFERROR(__xludf.DUMMYFUNCTION("""COMPUTED_VALUE"""),"#330")</f>
        <v>#330</v>
      </c>
      <c r="B331" t="str">
        <f>IFERROR(__xludf.DUMMYFUNCTION("""COMPUTED_VALUE"""),"François Kalfon")</f>
        <v>François Kalfon</v>
      </c>
      <c r="C331">
        <f>IFERROR(__xludf.DUMMYFUNCTION("""COMPUTED_VALUE"""),11458.0)</f>
        <v>11458</v>
      </c>
      <c r="D331" t="str">
        <f>IFERROR(__xludf.DUMMYFUNCTION("""COMPUTED_VALUE"""),"-")</f>
        <v>-</v>
      </c>
      <c r="E331" t="str">
        <f>IFERROR(__xludf.DUMMYFUNCTION("""COMPUTED_VALUE"""),"-")</f>
        <v>-</v>
      </c>
      <c r="F331" t="str">
        <f>IFERROR(__xludf.DUMMYFUNCTION("""COMPUTED_VALUE"""),"-")</f>
        <v>-</v>
      </c>
      <c r="G331" t="str">
        <f>IFERROR(__xludf.DUMMYFUNCTION("""COMPUTED_VALUE"""),"-")</f>
        <v>-</v>
      </c>
      <c r="H331" t="str">
        <f>IFERROR(__xludf.DUMMYFUNCTION("""COMPUTED_VALUE"""),"-")</f>
        <v>-</v>
      </c>
      <c r="I331" t="str">
        <f>IFERROR(__xludf.DUMMYFUNCTION("""COMPUTED_VALUE"""),"-")</f>
        <v>-</v>
      </c>
      <c r="J331" t="str">
        <f>IFERROR(__xludf.DUMMYFUNCTION("""COMPUTED_VALUE"""),"-")</f>
        <v>-</v>
      </c>
      <c r="K331" t="str">
        <f>IFERROR(__xludf.DUMMYFUNCTION("""COMPUTED_VALUE"""),"-")</f>
        <v>-</v>
      </c>
      <c r="L331" t="str">
        <f>IFERROR(__xludf.DUMMYFUNCTION("""COMPUTED_VALUE"""),"-")</f>
        <v>-</v>
      </c>
      <c r="M331" t="str">
        <f>IFERROR(__xludf.DUMMYFUNCTION("""COMPUTED_VALUE"""),"-")</f>
        <v>-</v>
      </c>
      <c r="O331" t="str">
        <f>IFERROR(__xludf.DUMMYFUNCTION("""COMPUTED_VALUE"""),"#330")</f>
        <v>#330</v>
      </c>
      <c r="P331" t="str">
        <f>IFERROR(__xludf.DUMMYFUNCTION("""COMPUTED_VALUE"""),"François Kalfon")</f>
        <v>François Kalfon</v>
      </c>
      <c r="Q331">
        <f>IFERROR(__xludf.DUMMYFUNCTION("""COMPUTED_VALUE"""),11458.0)</f>
        <v>11458</v>
      </c>
      <c r="R331" t="str">
        <f>IFERROR(__xludf.DUMMYFUNCTION("""COMPUTED_VALUE"""),"-")</f>
        <v>-</v>
      </c>
      <c r="S331" t="str">
        <f>IFERROR(__xludf.DUMMYFUNCTION("""COMPUTED_VALUE"""),"-")</f>
        <v>-</v>
      </c>
      <c r="T331" t="str">
        <f>IFERROR(__xludf.DUMMYFUNCTION("""COMPUTED_VALUE"""),"-")</f>
        <v>-</v>
      </c>
      <c r="U331" t="str">
        <f>IFERROR(__xludf.DUMMYFUNCTION("""COMPUTED_VALUE"""),"-")</f>
        <v>-</v>
      </c>
      <c r="V331" t="str">
        <f>IFERROR(__xludf.DUMMYFUNCTION("""COMPUTED_VALUE"""),"-")</f>
        <v>-</v>
      </c>
      <c r="W331" t="str">
        <f>IFERROR(__xludf.DUMMYFUNCTION("""COMPUTED_VALUE"""),"-")</f>
        <v>-</v>
      </c>
      <c r="X331" t="str">
        <f>IFERROR(__xludf.DUMMYFUNCTION("""COMPUTED_VALUE"""),"-")</f>
        <v>-</v>
      </c>
      <c r="Y331" t="str">
        <f>IFERROR(__xludf.DUMMYFUNCTION("""COMPUTED_VALUE"""),"-")</f>
        <v>-</v>
      </c>
      <c r="Z331" t="str">
        <f>IFERROR(__xludf.DUMMYFUNCTION("""COMPUTED_VALUE"""),"-")</f>
        <v>-</v>
      </c>
      <c r="AA331" t="str">
        <f>IFERROR(__xludf.DUMMYFUNCTION("""COMPUTED_VALUE"""),"-")</f>
        <v>-</v>
      </c>
    </row>
    <row r="332">
      <c r="A332" t="str">
        <f>IFERROR(__xludf.DUMMYFUNCTION("""COMPUTED_VALUE"""),"#331")</f>
        <v>#331</v>
      </c>
      <c r="B332" t="str">
        <f>IFERROR(__xludf.DUMMYFUNCTION("""COMPUTED_VALUE"""),"Ludovic Pajot")</f>
        <v>Ludovic Pajot</v>
      </c>
      <c r="C332">
        <f>IFERROR(__xludf.DUMMYFUNCTION("""COMPUTED_VALUE"""),11360.0)</f>
        <v>11360</v>
      </c>
      <c r="D332" t="str">
        <f>IFERROR(__xludf.DUMMYFUNCTION("""COMPUTED_VALUE"""),"-")</f>
        <v>-</v>
      </c>
      <c r="E332" t="str">
        <f>IFERROR(__xludf.DUMMYFUNCTION("""COMPUTED_VALUE"""),"-")</f>
        <v>-</v>
      </c>
      <c r="F332" t="str">
        <f>IFERROR(__xludf.DUMMYFUNCTION("""COMPUTED_VALUE"""),"-")</f>
        <v>-</v>
      </c>
      <c r="G332" t="str">
        <f>IFERROR(__xludf.DUMMYFUNCTION("""COMPUTED_VALUE"""),"-")</f>
        <v>-</v>
      </c>
      <c r="H332" t="str">
        <f>IFERROR(__xludf.DUMMYFUNCTION("""COMPUTED_VALUE"""),"-")</f>
        <v>-</v>
      </c>
      <c r="I332" t="str">
        <f>IFERROR(__xludf.DUMMYFUNCTION("""COMPUTED_VALUE"""),"-")</f>
        <v>-</v>
      </c>
      <c r="J332" t="str">
        <f>IFERROR(__xludf.DUMMYFUNCTION("""COMPUTED_VALUE"""),"-")</f>
        <v>-</v>
      </c>
      <c r="K332" t="str">
        <f>IFERROR(__xludf.DUMMYFUNCTION("""COMPUTED_VALUE"""),"-")</f>
        <v>-</v>
      </c>
      <c r="L332" t="str">
        <f>IFERROR(__xludf.DUMMYFUNCTION("""COMPUTED_VALUE"""),"-")</f>
        <v>-</v>
      </c>
      <c r="M332" t="str">
        <f>IFERROR(__xludf.DUMMYFUNCTION("""COMPUTED_VALUE"""),"-")</f>
        <v>-</v>
      </c>
      <c r="O332" t="str">
        <f>IFERROR(__xludf.DUMMYFUNCTION("""COMPUTED_VALUE"""),"#331")</f>
        <v>#331</v>
      </c>
      <c r="P332" t="str">
        <f>IFERROR(__xludf.DUMMYFUNCTION("""COMPUTED_VALUE"""),"Ludovic Pajot")</f>
        <v>Ludovic Pajot</v>
      </c>
      <c r="Q332">
        <f>IFERROR(__xludf.DUMMYFUNCTION("""COMPUTED_VALUE"""),11360.0)</f>
        <v>11360</v>
      </c>
      <c r="R332" t="str">
        <f>IFERROR(__xludf.DUMMYFUNCTION("""COMPUTED_VALUE"""),"-")</f>
        <v>-</v>
      </c>
      <c r="S332" t="str">
        <f>IFERROR(__xludf.DUMMYFUNCTION("""COMPUTED_VALUE"""),"-")</f>
        <v>-</v>
      </c>
      <c r="T332" t="str">
        <f>IFERROR(__xludf.DUMMYFUNCTION("""COMPUTED_VALUE"""),"-")</f>
        <v>-</v>
      </c>
      <c r="U332" t="str">
        <f>IFERROR(__xludf.DUMMYFUNCTION("""COMPUTED_VALUE"""),"-")</f>
        <v>-</v>
      </c>
      <c r="V332" t="str">
        <f>IFERROR(__xludf.DUMMYFUNCTION("""COMPUTED_VALUE"""),"-")</f>
        <v>-</v>
      </c>
      <c r="W332" t="str">
        <f>IFERROR(__xludf.DUMMYFUNCTION("""COMPUTED_VALUE"""),"-")</f>
        <v>-</v>
      </c>
      <c r="X332" t="str">
        <f>IFERROR(__xludf.DUMMYFUNCTION("""COMPUTED_VALUE"""),"-")</f>
        <v>-</v>
      </c>
      <c r="Y332" t="str">
        <f>IFERROR(__xludf.DUMMYFUNCTION("""COMPUTED_VALUE"""),"-")</f>
        <v>-</v>
      </c>
      <c r="Z332" t="str">
        <f>IFERROR(__xludf.DUMMYFUNCTION("""COMPUTED_VALUE"""),"-")</f>
        <v>-</v>
      </c>
      <c r="AA332" t="str">
        <f>IFERROR(__xludf.DUMMYFUNCTION("""COMPUTED_VALUE"""),"-")</f>
        <v>-</v>
      </c>
    </row>
    <row r="333">
      <c r="A333" t="str">
        <f>IFERROR(__xludf.DUMMYFUNCTION("""COMPUTED_VALUE"""),"#332")</f>
        <v>#332</v>
      </c>
      <c r="B333" t="str">
        <f>IFERROR(__xludf.DUMMYFUNCTION("""COMPUTED_VALUE"""),"Jean-Michel Baylet")</f>
        <v>Jean-Michel Baylet</v>
      </c>
      <c r="C333">
        <f>IFERROR(__xludf.DUMMYFUNCTION("""COMPUTED_VALUE"""),11327.0)</f>
        <v>11327</v>
      </c>
      <c r="D333" t="str">
        <f>IFERROR(__xludf.DUMMYFUNCTION("""COMPUTED_VALUE"""),"-")</f>
        <v>-</v>
      </c>
      <c r="E333" t="str">
        <f>IFERROR(__xludf.DUMMYFUNCTION("""COMPUTED_VALUE"""),"-")</f>
        <v>-</v>
      </c>
      <c r="F333" t="str">
        <f>IFERROR(__xludf.DUMMYFUNCTION("""COMPUTED_VALUE"""),"-")</f>
        <v>-</v>
      </c>
      <c r="G333" t="str">
        <f>IFERROR(__xludf.DUMMYFUNCTION("""COMPUTED_VALUE"""),"-")</f>
        <v>-</v>
      </c>
      <c r="H333" t="str">
        <f>IFERROR(__xludf.DUMMYFUNCTION("""COMPUTED_VALUE"""),"-")</f>
        <v>-</v>
      </c>
      <c r="I333" t="str">
        <f>IFERROR(__xludf.DUMMYFUNCTION("""COMPUTED_VALUE"""),"-")</f>
        <v>-</v>
      </c>
      <c r="J333" t="str">
        <f>IFERROR(__xludf.DUMMYFUNCTION("""COMPUTED_VALUE"""),"-")</f>
        <v>-</v>
      </c>
      <c r="K333" t="str">
        <f>IFERROR(__xludf.DUMMYFUNCTION("""COMPUTED_VALUE"""),"-")</f>
        <v>-</v>
      </c>
      <c r="L333" t="str">
        <f>IFERROR(__xludf.DUMMYFUNCTION("""COMPUTED_VALUE"""),"-")</f>
        <v>-</v>
      </c>
      <c r="M333" t="str">
        <f>IFERROR(__xludf.DUMMYFUNCTION("""COMPUTED_VALUE"""),"-")</f>
        <v>-</v>
      </c>
      <c r="O333" t="str">
        <f>IFERROR(__xludf.DUMMYFUNCTION("""COMPUTED_VALUE"""),"#332")</f>
        <v>#332</v>
      </c>
      <c r="P333" t="str">
        <f>IFERROR(__xludf.DUMMYFUNCTION("""COMPUTED_VALUE"""),"Jean-Michel Baylet")</f>
        <v>Jean-Michel Baylet</v>
      </c>
      <c r="Q333">
        <f>IFERROR(__xludf.DUMMYFUNCTION("""COMPUTED_VALUE"""),11327.0)</f>
        <v>11327</v>
      </c>
      <c r="R333" t="str">
        <f>IFERROR(__xludf.DUMMYFUNCTION("""COMPUTED_VALUE"""),"-")</f>
        <v>-</v>
      </c>
      <c r="S333" t="str">
        <f>IFERROR(__xludf.DUMMYFUNCTION("""COMPUTED_VALUE"""),"-")</f>
        <v>-</v>
      </c>
      <c r="T333" t="str">
        <f>IFERROR(__xludf.DUMMYFUNCTION("""COMPUTED_VALUE"""),"-")</f>
        <v>-</v>
      </c>
      <c r="U333" t="str">
        <f>IFERROR(__xludf.DUMMYFUNCTION("""COMPUTED_VALUE"""),"-")</f>
        <v>-</v>
      </c>
      <c r="V333" t="str">
        <f>IFERROR(__xludf.DUMMYFUNCTION("""COMPUTED_VALUE"""),"-")</f>
        <v>-</v>
      </c>
      <c r="W333" t="str">
        <f>IFERROR(__xludf.DUMMYFUNCTION("""COMPUTED_VALUE"""),"-")</f>
        <v>-</v>
      </c>
      <c r="X333" t="str">
        <f>IFERROR(__xludf.DUMMYFUNCTION("""COMPUTED_VALUE"""),"-")</f>
        <v>-</v>
      </c>
      <c r="Y333" t="str">
        <f>IFERROR(__xludf.DUMMYFUNCTION("""COMPUTED_VALUE"""),"-")</f>
        <v>-</v>
      </c>
      <c r="Z333" t="str">
        <f>IFERROR(__xludf.DUMMYFUNCTION("""COMPUTED_VALUE"""),"-")</f>
        <v>-</v>
      </c>
      <c r="AA333" t="str">
        <f>IFERROR(__xludf.DUMMYFUNCTION("""COMPUTED_VALUE"""),"-")</f>
        <v>-</v>
      </c>
    </row>
    <row r="334">
      <c r="A334" t="str">
        <f>IFERROR(__xludf.DUMMYFUNCTION("""COMPUTED_VALUE"""),"#333")</f>
        <v>#333</v>
      </c>
      <c r="B334" t="str">
        <f>IFERROR(__xludf.DUMMYFUNCTION("""COMPUTED_VALUE"""),"Erwann Binet")</f>
        <v>Erwann Binet</v>
      </c>
      <c r="C334">
        <f>IFERROR(__xludf.DUMMYFUNCTION("""COMPUTED_VALUE"""),11313.0)</f>
        <v>11313</v>
      </c>
      <c r="D334" t="str">
        <f>IFERROR(__xludf.DUMMYFUNCTION("""COMPUTED_VALUE"""),"-")</f>
        <v>-</v>
      </c>
      <c r="E334" t="str">
        <f>IFERROR(__xludf.DUMMYFUNCTION("""COMPUTED_VALUE"""),"-")</f>
        <v>-</v>
      </c>
      <c r="F334" t="str">
        <f>IFERROR(__xludf.DUMMYFUNCTION("""COMPUTED_VALUE"""),"-")</f>
        <v>-</v>
      </c>
      <c r="G334" t="str">
        <f>IFERROR(__xludf.DUMMYFUNCTION("""COMPUTED_VALUE"""),"-")</f>
        <v>-</v>
      </c>
      <c r="H334" t="str">
        <f>IFERROR(__xludf.DUMMYFUNCTION("""COMPUTED_VALUE"""),"-")</f>
        <v>-</v>
      </c>
      <c r="I334" t="str">
        <f>IFERROR(__xludf.DUMMYFUNCTION("""COMPUTED_VALUE"""),"-")</f>
        <v>-</v>
      </c>
      <c r="J334" t="str">
        <f>IFERROR(__xludf.DUMMYFUNCTION("""COMPUTED_VALUE"""),"-")</f>
        <v>-</v>
      </c>
      <c r="K334" t="str">
        <f>IFERROR(__xludf.DUMMYFUNCTION("""COMPUTED_VALUE"""),"-")</f>
        <v>-</v>
      </c>
      <c r="L334" t="str">
        <f>IFERROR(__xludf.DUMMYFUNCTION("""COMPUTED_VALUE"""),"-")</f>
        <v>-</v>
      </c>
      <c r="M334" t="str">
        <f>IFERROR(__xludf.DUMMYFUNCTION("""COMPUTED_VALUE"""),"-")</f>
        <v>-</v>
      </c>
      <c r="O334" t="str">
        <f>IFERROR(__xludf.DUMMYFUNCTION("""COMPUTED_VALUE"""),"#333")</f>
        <v>#333</v>
      </c>
      <c r="P334" t="str">
        <f>IFERROR(__xludf.DUMMYFUNCTION("""COMPUTED_VALUE"""),"Erwann Binet")</f>
        <v>Erwann Binet</v>
      </c>
      <c r="Q334">
        <f>IFERROR(__xludf.DUMMYFUNCTION("""COMPUTED_VALUE"""),11313.0)</f>
        <v>11313</v>
      </c>
      <c r="R334" t="str">
        <f>IFERROR(__xludf.DUMMYFUNCTION("""COMPUTED_VALUE"""),"-")</f>
        <v>-</v>
      </c>
      <c r="S334" t="str">
        <f>IFERROR(__xludf.DUMMYFUNCTION("""COMPUTED_VALUE"""),"-")</f>
        <v>-</v>
      </c>
      <c r="T334" t="str">
        <f>IFERROR(__xludf.DUMMYFUNCTION("""COMPUTED_VALUE"""),"-")</f>
        <v>-</v>
      </c>
      <c r="U334" t="str">
        <f>IFERROR(__xludf.DUMMYFUNCTION("""COMPUTED_VALUE"""),"-")</f>
        <v>-</v>
      </c>
      <c r="V334" t="str">
        <f>IFERROR(__xludf.DUMMYFUNCTION("""COMPUTED_VALUE"""),"-")</f>
        <v>-</v>
      </c>
      <c r="W334" t="str">
        <f>IFERROR(__xludf.DUMMYFUNCTION("""COMPUTED_VALUE"""),"-")</f>
        <v>-</v>
      </c>
      <c r="X334" t="str">
        <f>IFERROR(__xludf.DUMMYFUNCTION("""COMPUTED_VALUE"""),"-")</f>
        <v>-</v>
      </c>
      <c r="Y334" t="str">
        <f>IFERROR(__xludf.DUMMYFUNCTION("""COMPUTED_VALUE"""),"-")</f>
        <v>-</v>
      </c>
      <c r="Z334" t="str">
        <f>IFERROR(__xludf.DUMMYFUNCTION("""COMPUTED_VALUE"""),"-")</f>
        <v>-</v>
      </c>
      <c r="AA334" t="str">
        <f>IFERROR(__xludf.DUMMYFUNCTION("""COMPUTED_VALUE"""),"-")</f>
        <v>-</v>
      </c>
    </row>
    <row r="335">
      <c r="A335" t="str">
        <f>IFERROR(__xludf.DUMMYFUNCTION("""COMPUTED_VALUE"""),"#334")</f>
        <v>#334</v>
      </c>
      <c r="B335" t="str">
        <f>IFERROR(__xludf.DUMMYFUNCTION("""COMPUTED_VALUE"""),"Frédéric Petit")</f>
        <v>Frédéric Petit</v>
      </c>
      <c r="C335">
        <f>IFERROR(__xludf.DUMMYFUNCTION("""COMPUTED_VALUE"""),11064.0)</f>
        <v>11064</v>
      </c>
      <c r="D335" t="str">
        <f>IFERROR(__xludf.DUMMYFUNCTION("""COMPUTED_VALUE"""),"-")</f>
        <v>-</v>
      </c>
      <c r="E335" t="str">
        <f>IFERROR(__xludf.DUMMYFUNCTION("""COMPUTED_VALUE"""),"-")</f>
        <v>-</v>
      </c>
      <c r="F335" t="str">
        <f>IFERROR(__xludf.DUMMYFUNCTION("""COMPUTED_VALUE"""),"-")</f>
        <v>-</v>
      </c>
      <c r="G335" t="str">
        <f>IFERROR(__xludf.DUMMYFUNCTION("""COMPUTED_VALUE"""),"-")</f>
        <v>-</v>
      </c>
      <c r="H335" t="str">
        <f>IFERROR(__xludf.DUMMYFUNCTION("""COMPUTED_VALUE"""),"-")</f>
        <v>-</v>
      </c>
      <c r="I335" t="str">
        <f>IFERROR(__xludf.DUMMYFUNCTION("""COMPUTED_VALUE"""),"-")</f>
        <v>-</v>
      </c>
      <c r="J335" t="str">
        <f>IFERROR(__xludf.DUMMYFUNCTION("""COMPUTED_VALUE"""),"-")</f>
        <v>-</v>
      </c>
      <c r="K335" t="str">
        <f>IFERROR(__xludf.DUMMYFUNCTION("""COMPUTED_VALUE"""),"-")</f>
        <v>-</v>
      </c>
      <c r="L335" t="str">
        <f>IFERROR(__xludf.DUMMYFUNCTION("""COMPUTED_VALUE"""),"-")</f>
        <v>-</v>
      </c>
      <c r="M335" t="str">
        <f>IFERROR(__xludf.DUMMYFUNCTION("""COMPUTED_VALUE"""),"-")</f>
        <v>-</v>
      </c>
      <c r="O335" t="str">
        <f>IFERROR(__xludf.DUMMYFUNCTION("""COMPUTED_VALUE"""),"#334")</f>
        <v>#334</v>
      </c>
      <c r="P335" t="str">
        <f>IFERROR(__xludf.DUMMYFUNCTION("""COMPUTED_VALUE"""),"Frédéric Petit")</f>
        <v>Frédéric Petit</v>
      </c>
      <c r="Q335">
        <f>IFERROR(__xludf.DUMMYFUNCTION("""COMPUTED_VALUE"""),11064.0)</f>
        <v>11064</v>
      </c>
      <c r="R335" t="str">
        <f>IFERROR(__xludf.DUMMYFUNCTION("""COMPUTED_VALUE"""),"-")</f>
        <v>-</v>
      </c>
      <c r="S335" t="str">
        <f>IFERROR(__xludf.DUMMYFUNCTION("""COMPUTED_VALUE"""),"-")</f>
        <v>-</v>
      </c>
      <c r="T335" t="str">
        <f>IFERROR(__xludf.DUMMYFUNCTION("""COMPUTED_VALUE"""),"-")</f>
        <v>-</v>
      </c>
      <c r="U335" t="str">
        <f>IFERROR(__xludf.DUMMYFUNCTION("""COMPUTED_VALUE"""),"-")</f>
        <v>-</v>
      </c>
      <c r="V335" t="str">
        <f>IFERROR(__xludf.DUMMYFUNCTION("""COMPUTED_VALUE"""),"-")</f>
        <v>-</v>
      </c>
      <c r="W335" t="str">
        <f>IFERROR(__xludf.DUMMYFUNCTION("""COMPUTED_VALUE"""),"-")</f>
        <v>-</v>
      </c>
      <c r="X335" t="str">
        <f>IFERROR(__xludf.DUMMYFUNCTION("""COMPUTED_VALUE"""),"-")</f>
        <v>-</v>
      </c>
      <c r="Y335" t="str">
        <f>IFERROR(__xludf.DUMMYFUNCTION("""COMPUTED_VALUE"""),"-")</f>
        <v>-</v>
      </c>
      <c r="Z335" t="str">
        <f>IFERROR(__xludf.DUMMYFUNCTION("""COMPUTED_VALUE"""),"-")</f>
        <v>-</v>
      </c>
      <c r="AA335" t="str">
        <f>IFERROR(__xludf.DUMMYFUNCTION("""COMPUTED_VALUE"""),"-")</f>
        <v>-</v>
      </c>
    </row>
    <row r="336">
      <c r="A336" t="str">
        <f>IFERROR(__xludf.DUMMYFUNCTION("""COMPUTED_VALUE"""),"#335")</f>
        <v>#335</v>
      </c>
      <c r="B336" t="str">
        <f>IFERROR(__xludf.DUMMYFUNCTION("""COMPUTED_VALUE"""),"Pierre Jouvet")</f>
        <v>Pierre Jouvet</v>
      </c>
      <c r="C336">
        <f>IFERROR(__xludf.DUMMYFUNCTION("""COMPUTED_VALUE"""),10663.0)</f>
        <v>10663</v>
      </c>
      <c r="D336" t="str">
        <f>IFERROR(__xludf.DUMMYFUNCTION("""COMPUTED_VALUE"""),"-")</f>
        <v>-</v>
      </c>
      <c r="E336" t="str">
        <f>IFERROR(__xludf.DUMMYFUNCTION("""COMPUTED_VALUE"""),"-")</f>
        <v>-</v>
      </c>
      <c r="F336" t="str">
        <f>IFERROR(__xludf.DUMMYFUNCTION("""COMPUTED_VALUE"""),"-")</f>
        <v>-</v>
      </c>
      <c r="G336" t="str">
        <f>IFERROR(__xludf.DUMMYFUNCTION("""COMPUTED_VALUE"""),"-")</f>
        <v>-</v>
      </c>
      <c r="H336" t="str">
        <f>IFERROR(__xludf.DUMMYFUNCTION("""COMPUTED_VALUE"""),"-")</f>
        <v>-</v>
      </c>
      <c r="I336" t="str">
        <f>IFERROR(__xludf.DUMMYFUNCTION("""COMPUTED_VALUE"""),"-")</f>
        <v>-</v>
      </c>
      <c r="J336" t="str">
        <f>IFERROR(__xludf.DUMMYFUNCTION("""COMPUTED_VALUE"""),"-")</f>
        <v>-</v>
      </c>
      <c r="K336" t="str">
        <f>IFERROR(__xludf.DUMMYFUNCTION("""COMPUTED_VALUE"""),"-")</f>
        <v>-</v>
      </c>
      <c r="L336" t="str">
        <f>IFERROR(__xludf.DUMMYFUNCTION("""COMPUTED_VALUE"""),"-")</f>
        <v>-</v>
      </c>
      <c r="M336" t="str">
        <f>IFERROR(__xludf.DUMMYFUNCTION("""COMPUTED_VALUE"""),"-")</f>
        <v>-</v>
      </c>
      <c r="O336" t="str">
        <f>IFERROR(__xludf.DUMMYFUNCTION("""COMPUTED_VALUE"""),"#335")</f>
        <v>#335</v>
      </c>
      <c r="P336" t="str">
        <f>IFERROR(__xludf.DUMMYFUNCTION("""COMPUTED_VALUE"""),"Pierre Jouvet")</f>
        <v>Pierre Jouvet</v>
      </c>
      <c r="Q336">
        <f>IFERROR(__xludf.DUMMYFUNCTION("""COMPUTED_VALUE"""),10663.0)</f>
        <v>10663</v>
      </c>
      <c r="R336" t="str">
        <f>IFERROR(__xludf.DUMMYFUNCTION("""COMPUTED_VALUE"""),"-")</f>
        <v>-</v>
      </c>
      <c r="S336" t="str">
        <f>IFERROR(__xludf.DUMMYFUNCTION("""COMPUTED_VALUE"""),"-")</f>
        <v>-</v>
      </c>
      <c r="T336" t="str">
        <f>IFERROR(__xludf.DUMMYFUNCTION("""COMPUTED_VALUE"""),"-")</f>
        <v>-</v>
      </c>
      <c r="U336" t="str">
        <f>IFERROR(__xludf.DUMMYFUNCTION("""COMPUTED_VALUE"""),"-")</f>
        <v>-</v>
      </c>
      <c r="V336" t="str">
        <f>IFERROR(__xludf.DUMMYFUNCTION("""COMPUTED_VALUE"""),"-")</f>
        <v>-</v>
      </c>
      <c r="W336" t="str">
        <f>IFERROR(__xludf.DUMMYFUNCTION("""COMPUTED_VALUE"""),"-")</f>
        <v>-</v>
      </c>
      <c r="X336" t="str">
        <f>IFERROR(__xludf.DUMMYFUNCTION("""COMPUTED_VALUE"""),"-")</f>
        <v>-</v>
      </c>
      <c r="Y336" t="str">
        <f>IFERROR(__xludf.DUMMYFUNCTION("""COMPUTED_VALUE"""),"-")</f>
        <v>-</v>
      </c>
      <c r="Z336" t="str">
        <f>IFERROR(__xludf.DUMMYFUNCTION("""COMPUTED_VALUE"""),"-")</f>
        <v>-</v>
      </c>
      <c r="AA336" t="str">
        <f>IFERROR(__xludf.DUMMYFUNCTION("""COMPUTED_VALUE"""),"-")</f>
        <v>-</v>
      </c>
    </row>
    <row r="337">
      <c r="A337" t="str">
        <f>IFERROR(__xludf.DUMMYFUNCTION("""COMPUTED_VALUE"""),"#336")</f>
        <v>#336</v>
      </c>
      <c r="B337" t="str">
        <f>IFERROR(__xludf.DUMMYFUNCTION("""COMPUTED_VALUE"""),"Anne-Sophie Pelletier")</f>
        <v>Anne-Sophie Pelletier</v>
      </c>
      <c r="C337">
        <f>IFERROR(__xludf.DUMMYFUNCTION("""COMPUTED_VALUE"""),10574.0)</f>
        <v>10574</v>
      </c>
      <c r="D337" t="str">
        <f>IFERROR(__xludf.DUMMYFUNCTION("""COMPUTED_VALUE"""),"-")</f>
        <v>-</v>
      </c>
      <c r="E337" t="str">
        <f>IFERROR(__xludf.DUMMYFUNCTION("""COMPUTED_VALUE"""),"-")</f>
        <v>-</v>
      </c>
      <c r="F337" t="str">
        <f>IFERROR(__xludf.DUMMYFUNCTION("""COMPUTED_VALUE"""),"-")</f>
        <v>-</v>
      </c>
      <c r="G337" t="str">
        <f>IFERROR(__xludf.DUMMYFUNCTION("""COMPUTED_VALUE"""),"-")</f>
        <v>-</v>
      </c>
      <c r="H337" t="str">
        <f>IFERROR(__xludf.DUMMYFUNCTION("""COMPUTED_VALUE"""),"-")</f>
        <v>-</v>
      </c>
      <c r="I337" t="str">
        <f>IFERROR(__xludf.DUMMYFUNCTION("""COMPUTED_VALUE"""),"-")</f>
        <v>-</v>
      </c>
      <c r="J337" t="str">
        <f>IFERROR(__xludf.DUMMYFUNCTION("""COMPUTED_VALUE"""),"-")</f>
        <v>-</v>
      </c>
      <c r="K337" t="str">
        <f>IFERROR(__xludf.DUMMYFUNCTION("""COMPUTED_VALUE"""),"-")</f>
        <v>-</v>
      </c>
      <c r="L337" t="str">
        <f>IFERROR(__xludf.DUMMYFUNCTION("""COMPUTED_VALUE"""),"-")</f>
        <v>-</v>
      </c>
      <c r="M337" t="str">
        <f>IFERROR(__xludf.DUMMYFUNCTION("""COMPUTED_VALUE"""),"-")</f>
        <v>-</v>
      </c>
      <c r="O337" t="str">
        <f>IFERROR(__xludf.DUMMYFUNCTION("""COMPUTED_VALUE"""),"#336")</f>
        <v>#336</v>
      </c>
      <c r="P337" t="str">
        <f>IFERROR(__xludf.DUMMYFUNCTION("""COMPUTED_VALUE"""),"Anne-Sophie Pelletier")</f>
        <v>Anne-Sophie Pelletier</v>
      </c>
      <c r="Q337">
        <f>IFERROR(__xludf.DUMMYFUNCTION("""COMPUTED_VALUE"""),10574.0)</f>
        <v>10574</v>
      </c>
      <c r="R337" t="str">
        <f>IFERROR(__xludf.DUMMYFUNCTION("""COMPUTED_VALUE"""),"-")</f>
        <v>-</v>
      </c>
      <c r="S337" t="str">
        <f>IFERROR(__xludf.DUMMYFUNCTION("""COMPUTED_VALUE"""),"-")</f>
        <v>-</v>
      </c>
      <c r="T337" t="str">
        <f>IFERROR(__xludf.DUMMYFUNCTION("""COMPUTED_VALUE"""),"-")</f>
        <v>-</v>
      </c>
      <c r="U337" t="str">
        <f>IFERROR(__xludf.DUMMYFUNCTION("""COMPUTED_VALUE"""),"-")</f>
        <v>-</v>
      </c>
      <c r="V337" t="str">
        <f>IFERROR(__xludf.DUMMYFUNCTION("""COMPUTED_VALUE"""),"-")</f>
        <v>-</v>
      </c>
      <c r="W337" t="str">
        <f>IFERROR(__xludf.DUMMYFUNCTION("""COMPUTED_VALUE"""),"-")</f>
        <v>-</v>
      </c>
      <c r="X337" t="str">
        <f>IFERROR(__xludf.DUMMYFUNCTION("""COMPUTED_VALUE"""),"-")</f>
        <v>-</v>
      </c>
      <c r="Y337" t="str">
        <f>IFERROR(__xludf.DUMMYFUNCTION("""COMPUTED_VALUE"""),"-")</f>
        <v>-</v>
      </c>
      <c r="Z337" t="str">
        <f>IFERROR(__xludf.DUMMYFUNCTION("""COMPUTED_VALUE"""),"-")</f>
        <v>-</v>
      </c>
      <c r="AA337" t="str">
        <f>IFERROR(__xludf.DUMMYFUNCTION("""COMPUTED_VALUE"""),"-")</f>
        <v>-</v>
      </c>
    </row>
    <row r="338">
      <c r="A338" t="str">
        <f>IFERROR(__xludf.DUMMYFUNCTION("""COMPUTED_VALUE"""),"#337")</f>
        <v>#337</v>
      </c>
      <c r="B338" t="str">
        <f>IFERROR(__xludf.DUMMYFUNCTION("""COMPUTED_VALUE"""),"Michel Sapin")</f>
        <v>Michel Sapin</v>
      </c>
      <c r="C338">
        <f>IFERROR(__xludf.DUMMYFUNCTION("""COMPUTED_VALUE"""),10379.0)</f>
        <v>10379</v>
      </c>
      <c r="D338" t="str">
        <f>IFERROR(__xludf.DUMMYFUNCTION("""COMPUTED_VALUE"""),"-")</f>
        <v>-</v>
      </c>
      <c r="E338" t="str">
        <f>IFERROR(__xludf.DUMMYFUNCTION("""COMPUTED_VALUE"""),"-")</f>
        <v>-</v>
      </c>
      <c r="F338" t="str">
        <f>IFERROR(__xludf.DUMMYFUNCTION("""COMPUTED_VALUE"""),"-")</f>
        <v>-</v>
      </c>
      <c r="G338" t="str">
        <f>IFERROR(__xludf.DUMMYFUNCTION("""COMPUTED_VALUE"""),"-")</f>
        <v>-</v>
      </c>
      <c r="H338" t="str">
        <f>IFERROR(__xludf.DUMMYFUNCTION("""COMPUTED_VALUE"""),"-")</f>
        <v>-</v>
      </c>
      <c r="I338" t="str">
        <f>IFERROR(__xludf.DUMMYFUNCTION("""COMPUTED_VALUE"""),"-")</f>
        <v>-</v>
      </c>
      <c r="J338" t="str">
        <f>IFERROR(__xludf.DUMMYFUNCTION("""COMPUTED_VALUE"""),"-")</f>
        <v>-</v>
      </c>
      <c r="K338" t="str">
        <f>IFERROR(__xludf.DUMMYFUNCTION("""COMPUTED_VALUE"""),"-")</f>
        <v>-</v>
      </c>
      <c r="L338" t="str">
        <f>IFERROR(__xludf.DUMMYFUNCTION("""COMPUTED_VALUE"""),"-")</f>
        <v>-</v>
      </c>
      <c r="M338" t="str">
        <f>IFERROR(__xludf.DUMMYFUNCTION("""COMPUTED_VALUE"""),"-")</f>
        <v>-</v>
      </c>
      <c r="O338" t="str">
        <f>IFERROR(__xludf.DUMMYFUNCTION("""COMPUTED_VALUE"""),"#337")</f>
        <v>#337</v>
      </c>
      <c r="P338" t="str">
        <f>IFERROR(__xludf.DUMMYFUNCTION("""COMPUTED_VALUE"""),"Michel Sapin")</f>
        <v>Michel Sapin</v>
      </c>
      <c r="Q338">
        <f>IFERROR(__xludf.DUMMYFUNCTION("""COMPUTED_VALUE"""),10379.0)</f>
        <v>10379</v>
      </c>
      <c r="R338" t="str">
        <f>IFERROR(__xludf.DUMMYFUNCTION("""COMPUTED_VALUE"""),"-")</f>
        <v>-</v>
      </c>
      <c r="S338" t="str">
        <f>IFERROR(__xludf.DUMMYFUNCTION("""COMPUTED_VALUE"""),"-")</f>
        <v>-</v>
      </c>
      <c r="T338" t="str">
        <f>IFERROR(__xludf.DUMMYFUNCTION("""COMPUTED_VALUE"""),"-")</f>
        <v>-</v>
      </c>
      <c r="U338" t="str">
        <f>IFERROR(__xludf.DUMMYFUNCTION("""COMPUTED_VALUE"""),"-")</f>
        <v>-</v>
      </c>
      <c r="V338" t="str">
        <f>IFERROR(__xludf.DUMMYFUNCTION("""COMPUTED_VALUE"""),"-")</f>
        <v>-</v>
      </c>
      <c r="W338" t="str">
        <f>IFERROR(__xludf.DUMMYFUNCTION("""COMPUTED_VALUE"""),"-")</f>
        <v>-</v>
      </c>
      <c r="X338" t="str">
        <f>IFERROR(__xludf.DUMMYFUNCTION("""COMPUTED_VALUE"""),"-")</f>
        <v>-</v>
      </c>
      <c r="Y338" t="str">
        <f>IFERROR(__xludf.DUMMYFUNCTION("""COMPUTED_VALUE"""),"-")</f>
        <v>-</v>
      </c>
      <c r="Z338" t="str">
        <f>IFERROR(__xludf.DUMMYFUNCTION("""COMPUTED_VALUE"""),"-")</f>
        <v>-</v>
      </c>
      <c r="AA338" t="str">
        <f>IFERROR(__xludf.DUMMYFUNCTION("""COMPUTED_VALUE"""),"-")</f>
        <v>-</v>
      </c>
    </row>
    <row r="339">
      <c r="A339" t="str">
        <f>IFERROR(__xludf.DUMMYFUNCTION("""COMPUTED_VALUE"""),"#338")</f>
        <v>#338</v>
      </c>
      <c r="B339" t="str">
        <f>IFERROR(__xludf.DUMMYFUNCTION("""COMPUTED_VALUE"""),"Jean-luc Bennahmias")</f>
        <v>Jean-luc Bennahmias</v>
      </c>
      <c r="C339">
        <f>IFERROR(__xludf.DUMMYFUNCTION("""COMPUTED_VALUE"""),10111.0)</f>
        <v>10111</v>
      </c>
      <c r="D339" t="str">
        <f>IFERROR(__xludf.DUMMYFUNCTION("""COMPUTED_VALUE"""),"-")</f>
        <v>-</v>
      </c>
      <c r="E339" t="str">
        <f>IFERROR(__xludf.DUMMYFUNCTION("""COMPUTED_VALUE"""),"-")</f>
        <v>-</v>
      </c>
      <c r="F339" t="str">
        <f>IFERROR(__xludf.DUMMYFUNCTION("""COMPUTED_VALUE"""),"-")</f>
        <v>-</v>
      </c>
      <c r="G339" t="str">
        <f>IFERROR(__xludf.DUMMYFUNCTION("""COMPUTED_VALUE"""),"-")</f>
        <v>-</v>
      </c>
      <c r="H339" t="str">
        <f>IFERROR(__xludf.DUMMYFUNCTION("""COMPUTED_VALUE"""),"-")</f>
        <v>-</v>
      </c>
      <c r="I339" t="str">
        <f>IFERROR(__xludf.DUMMYFUNCTION("""COMPUTED_VALUE"""),"-")</f>
        <v>-</v>
      </c>
      <c r="J339" t="str">
        <f>IFERROR(__xludf.DUMMYFUNCTION("""COMPUTED_VALUE"""),"-")</f>
        <v>-</v>
      </c>
      <c r="K339" t="str">
        <f>IFERROR(__xludf.DUMMYFUNCTION("""COMPUTED_VALUE"""),"-")</f>
        <v>-</v>
      </c>
      <c r="L339" t="str">
        <f>IFERROR(__xludf.DUMMYFUNCTION("""COMPUTED_VALUE"""),"-")</f>
        <v>-</v>
      </c>
      <c r="M339" t="str">
        <f>IFERROR(__xludf.DUMMYFUNCTION("""COMPUTED_VALUE"""),"-")</f>
        <v>-</v>
      </c>
      <c r="O339" t="str">
        <f>IFERROR(__xludf.DUMMYFUNCTION("""COMPUTED_VALUE"""),"#338")</f>
        <v>#338</v>
      </c>
      <c r="P339" t="str">
        <f>IFERROR(__xludf.DUMMYFUNCTION("""COMPUTED_VALUE"""),"Jean-luc Bennahmias")</f>
        <v>Jean-luc Bennahmias</v>
      </c>
      <c r="Q339">
        <f>IFERROR(__xludf.DUMMYFUNCTION("""COMPUTED_VALUE"""),10111.0)</f>
        <v>10111</v>
      </c>
      <c r="R339" t="str">
        <f>IFERROR(__xludf.DUMMYFUNCTION("""COMPUTED_VALUE"""),"-")</f>
        <v>-</v>
      </c>
      <c r="S339" t="str">
        <f>IFERROR(__xludf.DUMMYFUNCTION("""COMPUTED_VALUE"""),"-")</f>
        <v>-</v>
      </c>
      <c r="T339" t="str">
        <f>IFERROR(__xludf.DUMMYFUNCTION("""COMPUTED_VALUE"""),"-")</f>
        <v>-</v>
      </c>
      <c r="U339" t="str">
        <f>IFERROR(__xludf.DUMMYFUNCTION("""COMPUTED_VALUE"""),"-")</f>
        <v>-</v>
      </c>
      <c r="V339" t="str">
        <f>IFERROR(__xludf.DUMMYFUNCTION("""COMPUTED_VALUE"""),"-")</f>
        <v>-</v>
      </c>
      <c r="W339" t="str">
        <f>IFERROR(__xludf.DUMMYFUNCTION("""COMPUTED_VALUE"""),"-")</f>
        <v>-</v>
      </c>
      <c r="X339" t="str">
        <f>IFERROR(__xludf.DUMMYFUNCTION("""COMPUTED_VALUE"""),"-")</f>
        <v>-</v>
      </c>
      <c r="Y339" t="str">
        <f>IFERROR(__xludf.DUMMYFUNCTION("""COMPUTED_VALUE"""),"-")</f>
        <v>-</v>
      </c>
      <c r="Z339" t="str">
        <f>IFERROR(__xludf.DUMMYFUNCTION("""COMPUTED_VALUE"""),"-")</f>
        <v>-</v>
      </c>
      <c r="AA339" t="str">
        <f>IFERROR(__xludf.DUMMYFUNCTION("""COMPUTED_VALUE"""),"-")</f>
        <v>-</v>
      </c>
    </row>
    <row r="340">
      <c r="A340" t="str">
        <f>IFERROR(__xludf.DUMMYFUNCTION("""COMPUTED_VALUE"""),"#339")</f>
        <v>#339</v>
      </c>
      <c r="B340" t="str">
        <f>IFERROR(__xludf.DUMMYFUNCTION("""COMPUTED_VALUE"""),"Laurent Hénart")</f>
        <v>Laurent Hénart</v>
      </c>
      <c r="C340">
        <f>IFERROR(__xludf.DUMMYFUNCTION("""COMPUTED_VALUE"""),10097.0)</f>
        <v>10097</v>
      </c>
      <c r="D340" t="str">
        <f>IFERROR(__xludf.DUMMYFUNCTION("""COMPUTED_VALUE"""),"-")</f>
        <v>-</v>
      </c>
      <c r="E340" t="str">
        <f>IFERROR(__xludf.DUMMYFUNCTION("""COMPUTED_VALUE"""),"-")</f>
        <v>-</v>
      </c>
      <c r="F340" t="str">
        <f>IFERROR(__xludf.DUMMYFUNCTION("""COMPUTED_VALUE"""),"-")</f>
        <v>-</v>
      </c>
      <c r="G340" t="str">
        <f>IFERROR(__xludf.DUMMYFUNCTION("""COMPUTED_VALUE"""),"-")</f>
        <v>-</v>
      </c>
      <c r="H340" t="str">
        <f>IFERROR(__xludf.DUMMYFUNCTION("""COMPUTED_VALUE"""),"-")</f>
        <v>-</v>
      </c>
      <c r="I340" t="str">
        <f>IFERROR(__xludf.DUMMYFUNCTION("""COMPUTED_VALUE"""),"-")</f>
        <v>-</v>
      </c>
      <c r="J340" t="str">
        <f>IFERROR(__xludf.DUMMYFUNCTION("""COMPUTED_VALUE"""),"-")</f>
        <v>-</v>
      </c>
      <c r="K340" t="str">
        <f>IFERROR(__xludf.DUMMYFUNCTION("""COMPUTED_VALUE"""),"-")</f>
        <v>-</v>
      </c>
      <c r="L340" t="str">
        <f>IFERROR(__xludf.DUMMYFUNCTION("""COMPUTED_VALUE"""),"-")</f>
        <v>-</v>
      </c>
      <c r="M340" t="str">
        <f>IFERROR(__xludf.DUMMYFUNCTION("""COMPUTED_VALUE"""),"-")</f>
        <v>-</v>
      </c>
      <c r="O340" t="str">
        <f>IFERROR(__xludf.DUMMYFUNCTION("""COMPUTED_VALUE"""),"#339")</f>
        <v>#339</v>
      </c>
      <c r="P340" t="str">
        <f>IFERROR(__xludf.DUMMYFUNCTION("""COMPUTED_VALUE"""),"Laurent Hénart")</f>
        <v>Laurent Hénart</v>
      </c>
      <c r="Q340">
        <f>IFERROR(__xludf.DUMMYFUNCTION("""COMPUTED_VALUE"""),10097.0)</f>
        <v>10097</v>
      </c>
      <c r="R340" t="str">
        <f>IFERROR(__xludf.DUMMYFUNCTION("""COMPUTED_VALUE"""),"-")</f>
        <v>-</v>
      </c>
      <c r="S340" t="str">
        <f>IFERROR(__xludf.DUMMYFUNCTION("""COMPUTED_VALUE"""),"-")</f>
        <v>-</v>
      </c>
      <c r="T340" t="str">
        <f>IFERROR(__xludf.DUMMYFUNCTION("""COMPUTED_VALUE"""),"-")</f>
        <v>-</v>
      </c>
      <c r="U340" t="str">
        <f>IFERROR(__xludf.DUMMYFUNCTION("""COMPUTED_VALUE"""),"-")</f>
        <v>-</v>
      </c>
      <c r="V340" t="str">
        <f>IFERROR(__xludf.DUMMYFUNCTION("""COMPUTED_VALUE"""),"-")</f>
        <v>-</v>
      </c>
      <c r="W340" t="str">
        <f>IFERROR(__xludf.DUMMYFUNCTION("""COMPUTED_VALUE"""),"-")</f>
        <v>-</v>
      </c>
      <c r="X340" t="str">
        <f>IFERROR(__xludf.DUMMYFUNCTION("""COMPUTED_VALUE"""),"-")</f>
        <v>-</v>
      </c>
      <c r="Y340" t="str">
        <f>IFERROR(__xludf.DUMMYFUNCTION("""COMPUTED_VALUE"""),"-")</f>
        <v>-</v>
      </c>
      <c r="Z340" t="str">
        <f>IFERROR(__xludf.DUMMYFUNCTION("""COMPUTED_VALUE"""),"-")</f>
        <v>-</v>
      </c>
      <c r="AA340" t="str">
        <f>IFERROR(__xludf.DUMMYFUNCTION("""COMPUTED_VALUE"""),"-")</f>
        <v>-</v>
      </c>
    </row>
    <row r="341">
      <c r="A341" t="str">
        <f>IFERROR(__xludf.DUMMYFUNCTION("""COMPUTED_VALUE"""),"#340")</f>
        <v>#340</v>
      </c>
      <c r="B341" t="str">
        <f>IFERROR(__xludf.DUMMYFUNCTION("""COMPUTED_VALUE"""),"Barbara Romagnan")</f>
        <v>Barbara Romagnan</v>
      </c>
      <c r="C341">
        <f>IFERROR(__xludf.DUMMYFUNCTION("""COMPUTED_VALUE"""),10031.0)</f>
        <v>10031</v>
      </c>
      <c r="D341" t="str">
        <f>IFERROR(__xludf.DUMMYFUNCTION("""COMPUTED_VALUE"""),"-")</f>
        <v>-</v>
      </c>
      <c r="E341" t="str">
        <f>IFERROR(__xludf.DUMMYFUNCTION("""COMPUTED_VALUE"""),"-")</f>
        <v>-</v>
      </c>
      <c r="F341" t="str">
        <f>IFERROR(__xludf.DUMMYFUNCTION("""COMPUTED_VALUE"""),"-")</f>
        <v>-</v>
      </c>
      <c r="G341" t="str">
        <f>IFERROR(__xludf.DUMMYFUNCTION("""COMPUTED_VALUE"""),"-")</f>
        <v>-</v>
      </c>
      <c r="H341" t="str">
        <f>IFERROR(__xludf.DUMMYFUNCTION("""COMPUTED_VALUE"""),"-")</f>
        <v>-</v>
      </c>
      <c r="I341" t="str">
        <f>IFERROR(__xludf.DUMMYFUNCTION("""COMPUTED_VALUE"""),"-")</f>
        <v>-</v>
      </c>
      <c r="J341" t="str">
        <f>IFERROR(__xludf.DUMMYFUNCTION("""COMPUTED_VALUE"""),"-")</f>
        <v>-</v>
      </c>
      <c r="K341" t="str">
        <f>IFERROR(__xludf.DUMMYFUNCTION("""COMPUTED_VALUE"""),"-")</f>
        <v>-</v>
      </c>
      <c r="L341" t="str">
        <f>IFERROR(__xludf.DUMMYFUNCTION("""COMPUTED_VALUE"""),"-")</f>
        <v>-</v>
      </c>
      <c r="M341" t="str">
        <f>IFERROR(__xludf.DUMMYFUNCTION("""COMPUTED_VALUE"""),"-")</f>
        <v>-</v>
      </c>
      <c r="O341" t="str">
        <f>IFERROR(__xludf.DUMMYFUNCTION("""COMPUTED_VALUE"""),"#340")</f>
        <v>#340</v>
      </c>
      <c r="P341" t="str">
        <f>IFERROR(__xludf.DUMMYFUNCTION("""COMPUTED_VALUE"""),"Barbara Romagnan")</f>
        <v>Barbara Romagnan</v>
      </c>
      <c r="Q341">
        <f>IFERROR(__xludf.DUMMYFUNCTION("""COMPUTED_VALUE"""),10031.0)</f>
        <v>10031</v>
      </c>
      <c r="R341" t="str">
        <f>IFERROR(__xludf.DUMMYFUNCTION("""COMPUTED_VALUE"""),"-")</f>
        <v>-</v>
      </c>
      <c r="S341" t="str">
        <f>IFERROR(__xludf.DUMMYFUNCTION("""COMPUTED_VALUE"""),"-")</f>
        <v>-</v>
      </c>
      <c r="T341" t="str">
        <f>IFERROR(__xludf.DUMMYFUNCTION("""COMPUTED_VALUE"""),"-")</f>
        <v>-</v>
      </c>
      <c r="U341" t="str">
        <f>IFERROR(__xludf.DUMMYFUNCTION("""COMPUTED_VALUE"""),"-")</f>
        <v>-</v>
      </c>
      <c r="V341" t="str">
        <f>IFERROR(__xludf.DUMMYFUNCTION("""COMPUTED_VALUE"""),"-")</f>
        <v>-</v>
      </c>
      <c r="W341" t="str">
        <f>IFERROR(__xludf.DUMMYFUNCTION("""COMPUTED_VALUE"""),"-")</f>
        <v>-</v>
      </c>
      <c r="X341" t="str">
        <f>IFERROR(__xludf.DUMMYFUNCTION("""COMPUTED_VALUE"""),"-")</f>
        <v>-</v>
      </c>
      <c r="Y341" t="str">
        <f>IFERROR(__xludf.DUMMYFUNCTION("""COMPUTED_VALUE"""),"-")</f>
        <v>-</v>
      </c>
      <c r="Z341" t="str">
        <f>IFERROR(__xludf.DUMMYFUNCTION("""COMPUTED_VALUE"""),"-")</f>
        <v>-</v>
      </c>
      <c r="AA341" t="str">
        <f>IFERROR(__xludf.DUMMYFUNCTION("""COMPUTED_VALUE"""),"-")</f>
        <v>-</v>
      </c>
    </row>
    <row r="342">
      <c r="A342" t="str">
        <f>IFERROR(__xludf.DUMMYFUNCTION("""COMPUTED_VALUE"""),"#341")</f>
        <v>#341</v>
      </c>
      <c r="B342" t="str">
        <f>IFERROR(__xludf.DUMMYFUNCTION("""COMPUTED_VALUE"""),"Christian Eckert")</f>
        <v>Christian Eckert</v>
      </c>
      <c r="C342">
        <f>IFERROR(__xludf.DUMMYFUNCTION("""COMPUTED_VALUE"""),9950.0)</f>
        <v>9950</v>
      </c>
      <c r="D342" t="str">
        <f>IFERROR(__xludf.DUMMYFUNCTION("""COMPUTED_VALUE"""),"-")</f>
        <v>-</v>
      </c>
      <c r="E342" t="str">
        <f>IFERROR(__xludf.DUMMYFUNCTION("""COMPUTED_VALUE"""),"-")</f>
        <v>-</v>
      </c>
      <c r="F342" t="str">
        <f>IFERROR(__xludf.DUMMYFUNCTION("""COMPUTED_VALUE"""),"-")</f>
        <v>-</v>
      </c>
      <c r="G342" t="str">
        <f>IFERROR(__xludf.DUMMYFUNCTION("""COMPUTED_VALUE"""),"-")</f>
        <v>-</v>
      </c>
      <c r="H342" t="str">
        <f>IFERROR(__xludf.DUMMYFUNCTION("""COMPUTED_VALUE"""),"-")</f>
        <v>-</v>
      </c>
      <c r="I342" t="str">
        <f>IFERROR(__xludf.DUMMYFUNCTION("""COMPUTED_VALUE"""),"-")</f>
        <v>-</v>
      </c>
      <c r="J342" t="str">
        <f>IFERROR(__xludf.DUMMYFUNCTION("""COMPUTED_VALUE"""),"-")</f>
        <v>-</v>
      </c>
      <c r="K342" t="str">
        <f>IFERROR(__xludf.DUMMYFUNCTION("""COMPUTED_VALUE"""),"-")</f>
        <v>-</v>
      </c>
      <c r="L342" t="str">
        <f>IFERROR(__xludf.DUMMYFUNCTION("""COMPUTED_VALUE"""),"-")</f>
        <v>-</v>
      </c>
      <c r="M342" t="str">
        <f>IFERROR(__xludf.DUMMYFUNCTION("""COMPUTED_VALUE"""),"-")</f>
        <v>-</v>
      </c>
      <c r="O342" t="str">
        <f>IFERROR(__xludf.DUMMYFUNCTION("""COMPUTED_VALUE"""),"#341")</f>
        <v>#341</v>
      </c>
      <c r="P342" t="str">
        <f>IFERROR(__xludf.DUMMYFUNCTION("""COMPUTED_VALUE"""),"Christian Eckert")</f>
        <v>Christian Eckert</v>
      </c>
      <c r="Q342">
        <f>IFERROR(__xludf.DUMMYFUNCTION("""COMPUTED_VALUE"""),9950.0)</f>
        <v>9950</v>
      </c>
      <c r="R342" t="str">
        <f>IFERROR(__xludf.DUMMYFUNCTION("""COMPUTED_VALUE"""),"-")</f>
        <v>-</v>
      </c>
      <c r="S342" t="str">
        <f>IFERROR(__xludf.DUMMYFUNCTION("""COMPUTED_VALUE"""),"-")</f>
        <v>-</v>
      </c>
      <c r="T342" t="str">
        <f>IFERROR(__xludf.DUMMYFUNCTION("""COMPUTED_VALUE"""),"-")</f>
        <v>-</v>
      </c>
      <c r="U342" t="str">
        <f>IFERROR(__xludf.DUMMYFUNCTION("""COMPUTED_VALUE"""),"-")</f>
        <v>-</v>
      </c>
      <c r="V342" t="str">
        <f>IFERROR(__xludf.DUMMYFUNCTION("""COMPUTED_VALUE"""),"-")</f>
        <v>-</v>
      </c>
      <c r="W342" t="str">
        <f>IFERROR(__xludf.DUMMYFUNCTION("""COMPUTED_VALUE"""),"-")</f>
        <v>-</v>
      </c>
      <c r="X342" t="str">
        <f>IFERROR(__xludf.DUMMYFUNCTION("""COMPUTED_VALUE"""),"-")</f>
        <v>-</v>
      </c>
      <c r="Y342" t="str">
        <f>IFERROR(__xludf.DUMMYFUNCTION("""COMPUTED_VALUE"""),"-")</f>
        <v>-</v>
      </c>
      <c r="Z342" t="str">
        <f>IFERROR(__xludf.DUMMYFUNCTION("""COMPUTED_VALUE"""),"-")</f>
        <v>-</v>
      </c>
      <c r="AA342" t="str">
        <f>IFERROR(__xludf.DUMMYFUNCTION("""COMPUTED_VALUE"""),"-")</f>
        <v>-</v>
      </c>
    </row>
    <row r="343">
      <c r="A343" t="str">
        <f>IFERROR(__xludf.DUMMYFUNCTION("""COMPUTED_VALUE"""),"#342")</f>
        <v>#342</v>
      </c>
      <c r="B343" t="str">
        <f>IFERROR(__xludf.DUMMYFUNCTION("""COMPUTED_VALUE"""),"Agnès Thill")</f>
        <v>Agnès Thill</v>
      </c>
      <c r="C343">
        <f>IFERROR(__xludf.DUMMYFUNCTION("""COMPUTED_VALUE"""),9887.0)</f>
        <v>9887</v>
      </c>
      <c r="D343" t="str">
        <f>IFERROR(__xludf.DUMMYFUNCTION("""COMPUTED_VALUE"""),"-")</f>
        <v>-</v>
      </c>
      <c r="E343" t="str">
        <f>IFERROR(__xludf.DUMMYFUNCTION("""COMPUTED_VALUE"""),"-")</f>
        <v>-</v>
      </c>
      <c r="F343" t="str">
        <f>IFERROR(__xludf.DUMMYFUNCTION("""COMPUTED_VALUE"""),"-")</f>
        <v>-</v>
      </c>
      <c r="G343" t="str">
        <f>IFERROR(__xludf.DUMMYFUNCTION("""COMPUTED_VALUE"""),"-")</f>
        <v>-</v>
      </c>
      <c r="H343" t="str">
        <f>IFERROR(__xludf.DUMMYFUNCTION("""COMPUTED_VALUE"""),"-")</f>
        <v>-</v>
      </c>
      <c r="I343" t="str">
        <f>IFERROR(__xludf.DUMMYFUNCTION("""COMPUTED_VALUE"""),"-")</f>
        <v>-</v>
      </c>
      <c r="J343" t="str">
        <f>IFERROR(__xludf.DUMMYFUNCTION("""COMPUTED_VALUE"""),"-")</f>
        <v>-</v>
      </c>
      <c r="K343" t="str">
        <f>IFERROR(__xludf.DUMMYFUNCTION("""COMPUTED_VALUE"""),"-")</f>
        <v>-</v>
      </c>
      <c r="L343" t="str">
        <f>IFERROR(__xludf.DUMMYFUNCTION("""COMPUTED_VALUE"""),"-")</f>
        <v>-</v>
      </c>
      <c r="M343" t="str">
        <f>IFERROR(__xludf.DUMMYFUNCTION("""COMPUTED_VALUE"""),"-")</f>
        <v>-</v>
      </c>
      <c r="O343" t="str">
        <f>IFERROR(__xludf.DUMMYFUNCTION("""COMPUTED_VALUE"""),"#342")</f>
        <v>#342</v>
      </c>
      <c r="P343" t="str">
        <f>IFERROR(__xludf.DUMMYFUNCTION("""COMPUTED_VALUE"""),"Agnès Thill")</f>
        <v>Agnès Thill</v>
      </c>
      <c r="Q343">
        <f>IFERROR(__xludf.DUMMYFUNCTION("""COMPUTED_VALUE"""),9887.0)</f>
        <v>9887</v>
      </c>
      <c r="R343" t="str">
        <f>IFERROR(__xludf.DUMMYFUNCTION("""COMPUTED_VALUE"""),"-")</f>
        <v>-</v>
      </c>
      <c r="S343" t="str">
        <f>IFERROR(__xludf.DUMMYFUNCTION("""COMPUTED_VALUE"""),"-")</f>
        <v>-</v>
      </c>
      <c r="T343" t="str">
        <f>IFERROR(__xludf.DUMMYFUNCTION("""COMPUTED_VALUE"""),"-")</f>
        <v>-</v>
      </c>
      <c r="U343" t="str">
        <f>IFERROR(__xludf.DUMMYFUNCTION("""COMPUTED_VALUE"""),"-")</f>
        <v>-</v>
      </c>
      <c r="V343" t="str">
        <f>IFERROR(__xludf.DUMMYFUNCTION("""COMPUTED_VALUE"""),"-")</f>
        <v>-</v>
      </c>
      <c r="W343" t="str">
        <f>IFERROR(__xludf.DUMMYFUNCTION("""COMPUTED_VALUE"""),"-")</f>
        <v>-</v>
      </c>
      <c r="X343" t="str">
        <f>IFERROR(__xludf.DUMMYFUNCTION("""COMPUTED_VALUE"""),"-")</f>
        <v>-</v>
      </c>
      <c r="Y343" t="str">
        <f>IFERROR(__xludf.DUMMYFUNCTION("""COMPUTED_VALUE"""),"-")</f>
        <v>-</v>
      </c>
      <c r="Z343" t="str">
        <f>IFERROR(__xludf.DUMMYFUNCTION("""COMPUTED_VALUE"""),"-")</f>
        <v>-</v>
      </c>
      <c r="AA343" t="str">
        <f>IFERROR(__xludf.DUMMYFUNCTION("""COMPUTED_VALUE"""),"-")</f>
        <v>-</v>
      </c>
    </row>
    <row r="344">
      <c r="A344" t="str">
        <f>IFERROR(__xludf.DUMMYFUNCTION("""COMPUTED_VALUE"""),"#343")</f>
        <v>#343</v>
      </c>
      <c r="B344" t="str">
        <f>IFERROR(__xludf.DUMMYFUNCTION("""COMPUTED_VALUE"""),"Sophie Taillé-Polian")</f>
        <v>Sophie Taillé-Polian</v>
      </c>
      <c r="C344">
        <f>IFERROR(__xludf.DUMMYFUNCTION("""COMPUTED_VALUE"""),9828.0)</f>
        <v>9828</v>
      </c>
      <c r="D344" t="str">
        <f>IFERROR(__xludf.DUMMYFUNCTION("""COMPUTED_VALUE"""),"-")</f>
        <v>-</v>
      </c>
      <c r="E344" t="str">
        <f>IFERROR(__xludf.DUMMYFUNCTION("""COMPUTED_VALUE"""),"-")</f>
        <v>-</v>
      </c>
      <c r="F344" t="str">
        <f>IFERROR(__xludf.DUMMYFUNCTION("""COMPUTED_VALUE"""),"-")</f>
        <v>-</v>
      </c>
      <c r="G344" t="str">
        <f>IFERROR(__xludf.DUMMYFUNCTION("""COMPUTED_VALUE"""),"-")</f>
        <v>-</v>
      </c>
      <c r="H344" t="str">
        <f>IFERROR(__xludf.DUMMYFUNCTION("""COMPUTED_VALUE"""),"-")</f>
        <v>-</v>
      </c>
      <c r="I344" t="str">
        <f>IFERROR(__xludf.DUMMYFUNCTION("""COMPUTED_VALUE"""),"-")</f>
        <v>-</v>
      </c>
      <c r="J344" t="str">
        <f>IFERROR(__xludf.DUMMYFUNCTION("""COMPUTED_VALUE"""),"-")</f>
        <v>-</v>
      </c>
      <c r="K344" t="str">
        <f>IFERROR(__xludf.DUMMYFUNCTION("""COMPUTED_VALUE"""),"-")</f>
        <v>-</v>
      </c>
      <c r="L344" t="str">
        <f>IFERROR(__xludf.DUMMYFUNCTION("""COMPUTED_VALUE"""),"-")</f>
        <v>-</v>
      </c>
      <c r="M344" t="str">
        <f>IFERROR(__xludf.DUMMYFUNCTION("""COMPUTED_VALUE"""),"-")</f>
        <v>-</v>
      </c>
      <c r="O344" t="str">
        <f>IFERROR(__xludf.DUMMYFUNCTION("""COMPUTED_VALUE"""),"#343")</f>
        <v>#343</v>
      </c>
      <c r="P344" t="str">
        <f>IFERROR(__xludf.DUMMYFUNCTION("""COMPUTED_VALUE"""),"Sophie Taillé-Polian")</f>
        <v>Sophie Taillé-Polian</v>
      </c>
      <c r="Q344">
        <f>IFERROR(__xludf.DUMMYFUNCTION("""COMPUTED_VALUE"""),9828.0)</f>
        <v>9828</v>
      </c>
      <c r="R344" t="str">
        <f>IFERROR(__xludf.DUMMYFUNCTION("""COMPUTED_VALUE"""),"-")</f>
        <v>-</v>
      </c>
      <c r="S344" t="str">
        <f>IFERROR(__xludf.DUMMYFUNCTION("""COMPUTED_VALUE"""),"-")</f>
        <v>-</v>
      </c>
      <c r="T344" t="str">
        <f>IFERROR(__xludf.DUMMYFUNCTION("""COMPUTED_VALUE"""),"-")</f>
        <v>-</v>
      </c>
      <c r="U344" t="str">
        <f>IFERROR(__xludf.DUMMYFUNCTION("""COMPUTED_VALUE"""),"-")</f>
        <v>-</v>
      </c>
      <c r="V344" t="str">
        <f>IFERROR(__xludf.DUMMYFUNCTION("""COMPUTED_VALUE"""),"-")</f>
        <v>-</v>
      </c>
      <c r="W344" t="str">
        <f>IFERROR(__xludf.DUMMYFUNCTION("""COMPUTED_VALUE"""),"-")</f>
        <v>-</v>
      </c>
      <c r="X344" t="str">
        <f>IFERROR(__xludf.DUMMYFUNCTION("""COMPUTED_VALUE"""),"-")</f>
        <v>-</v>
      </c>
      <c r="Y344" t="str">
        <f>IFERROR(__xludf.DUMMYFUNCTION("""COMPUTED_VALUE"""),"-")</f>
        <v>-</v>
      </c>
      <c r="Z344" t="str">
        <f>IFERROR(__xludf.DUMMYFUNCTION("""COMPUTED_VALUE"""),"-")</f>
        <v>-</v>
      </c>
      <c r="AA344" t="str">
        <f>IFERROR(__xludf.DUMMYFUNCTION("""COMPUTED_VALUE"""),"-")</f>
        <v>-</v>
      </c>
    </row>
    <row r="345">
      <c r="A345" t="str">
        <f>IFERROR(__xludf.DUMMYFUNCTION("""COMPUTED_VALUE"""),"#344")</f>
        <v>#344</v>
      </c>
      <c r="B345" t="str">
        <f>IFERROR(__xludf.DUMMYFUNCTION("""COMPUTED_VALUE"""),"Delphine O")</f>
        <v>Delphine O</v>
      </c>
      <c r="C345">
        <f>IFERROR(__xludf.DUMMYFUNCTION("""COMPUTED_VALUE"""),9747.0)</f>
        <v>9747</v>
      </c>
      <c r="D345" t="str">
        <f>IFERROR(__xludf.DUMMYFUNCTION("""COMPUTED_VALUE"""),"-")</f>
        <v>-</v>
      </c>
      <c r="E345" t="str">
        <f>IFERROR(__xludf.DUMMYFUNCTION("""COMPUTED_VALUE"""),"-")</f>
        <v>-</v>
      </c>
      <c r="F345" t="str">
        <f>IFERROR(__xludf.DUMMYFUNCTION("""COMPUTED_VALUE"""),"-")</f>
        <v>-</v>
      </c>
      <c r="G345" t="str">
        <f>IFERROR(__xludf.DUMMYFUNCTION("""COMPUTED_VALUE"""),"-")</f>
        <v>-</v>
      </c>
      <c r="H345" t="str">
        <f>IFERROR(__xludf.DUMMYFUNCTION("""COMPUTED_VALUE"""),"-")</f>
        <v>-</v>
      </c>
      <c r="I345" t="str">
        <f>IFERROR(__xludf.DUMMYFUNCTION("""COMPUTED_VALUE"""),"-")</f>
        <v>-</v>
      </c>
      <c r="J345" t="str">
        <f>IFERROR(__xludf.DUMMYFUNCTION("""COMPUTED_VALUE"""),"-")</f>
        <v>-</v>
      </c>
      <c r="K345" t="str">
        <f>IFERROR(__xludf.DUMMYFUNCTION("""COMPUTED_VALUE"""),"-")</f>
        <v>-</v>
      </c>
      <c r="L345" t="str">
        <f>IFERROR(__xludf.DUMMYFUNCTION("""COMPUTED_VALUE"""),"-")</f>
        <v>-</v>
      </c>
      <c r="M345" t="str">
        <f>IFERROR(__xludf.DUMMYFUNCTION("""COMPUTED_VALUE"""),"-")</f>
        <v>-</v>
      </c>
      <c r="O345" t="str">
        <f>IFERROR(__xludf.DUMMYFUNCTION("""COMPUTED_VALUE"""),"#344")</f>
        <v>#344</v>
      </c>
      <c r="P345" t="str">
        <f>IFERROR(__xludf.DUMMYFUNCTION("""COMPUTED_VALUE"""),"Delphine O")</f>
        <v>Delphine O</v>
      </c>
      <c r="Q345">
        <f>IFERROR(__xludf.DUMMYFUNCTION("""COMPUTED_VALUE"""),9747.0)</f>
        <v>9747</v>
      </c>
      <c r="R345" t="str">
        <f>IFERROR(__xludf.DUMMYFUNCTION("""COMPUTED_VALUE"""),"-")</f>
        <v>-</v>
      </c>
      <c r="S345" t="str">
        <f>IFERROR(__xludf.DUMMYFUNCTION("""COMPUTED_VALUE"""),"-")</f>
        <v>-</v>
      </c>
      <c r="T345" t="str">
        <f>IFERROR(__xludf.DUMMYFUNCTION("""COMPUTED_VALUE"""),"-")</f>
        <v>-</v>
      </c>
      <c r="U345" t="str">
        <f>IFERROR(__xludf.DUMMYFUNCTION("""COMPUTED_VALUE"""),"-")</f>
        <v>-</v>
      </c>
      <c r="V345" t="str">
        <f>IFERROR(__xludf.DUMMYFUNCTION("""COMPUTED_VALUE"""),"-")</f>
        <v>-</v>
      </c>
      <c r="W345" t="str">
        <f>IFERROR(__xludf.DUMMYFUNCTION("""COMPUTED_VALUE"""),"-")</f>
        <v>-</v>
      </c>
      <c r="X345" t="str">
        <f>IFERROR(__xludf.DUMMYFUNCTION("""COMPUTED_VALUE"""),"-")</f>
        <v>-</v>
      </c>
      <c r="Y345" t="str">
        <f>IFERROR(__xludf.DUMMYFUNCTION("""COMPUTED_VALUE"""),"-")</f>
        <v>-</v>
      </c>
      <c r="Z345" t="str">
        <f>IFERROR(__xludf.DUMMYFUNCTION("""COMPUTED_VALUE"""),"-")</f>
        <v>-</v>
      </c>
      <c r="AA345" t="str">
        <f>IFERROR(__xludf.DUMMYFUNCTION("""COMPUTED_VALUE"""),"-")</f>
        <v>-</v>
      </c>
    </row>
    <row r="346">
      <c r="A346" t="str">
        <f>IFERROR(__xludf.DUMMYFUNCTION("""COMPUTED_VALUE"""),"#345")</f>
        <v>#345</v>
      </c>
      <c r="B346" t="str">
        <f>IFERROR(__xludf.DUMMYFUNCTION("""COMPUTED_VALUE"""),"Laura Slimani")</f>
        <v>Laura Slimani</v>
      </c>
      <c r="C346">
        <f>IFERROR(__xludf.DUMMYFUNCTION("""COMPUTED_VALUE"""),9702.0)</f>
        <v>9702</v>
      </c>
      <c r="D346" t="str">
        <f>IFERROR(__xludf.DUMMYFUNCTION("""COMPUTED_VALUE"""),"-")</f>
        <v>-</v>
      </c>
      <c r="E346" t="str">
        <f>IFERROR(__xludf.DUMMYFUNCTION("""COMPUTED_VALUE"""),"-")</f>
        <v>-</v>
      </c>
      <c r="F346" t="str">
        <f>IFERROR(__xludf.DUMMYFUNCTION("""COMPUTED_VALUE"""),"-")</f>
        <v>-</v>
      </c>
      <c r="G346" t="str">
        <f>IFERROR(__xludf.DUMMYFUNCTION("""COMPUTED_VALUE"""),"-")</f>
        <v>-</v>
      </c>
      <c r="H346" t="str">
        <f>IFERROR(__xludf.DUMMYFUNCTION("""COMPUTED_VALUE"""),"-")</f>
        <v>-</v>
      </c>
      <c r="I346" t="str">
        <f>IFERROR(__xludf.DUMMYFUNCTION("""COMPUTED_VALUE"""),"-")</f>
        <v>-</v>
      </c>
      <c r="J346" t="str">
        <f>IFERROR(__xludf.DUMMYFUNCTION("""COMPUTED_VALUE"""),"-")</f>
        <v>-</v>
      </c>
      <c r="K346" t="str">
        <f>IFERROR(__xludf.DUMMYFUNCTION("""COMPUTED_VALUE"""),"-")</f>
        <v>-</v>
      </c>
      <c r="L346" t="str">
        <f>IFERROR(__xludf.DUMMYFUNCTION("""COMPUTED_VALUE"""),"-")</f>
        <v>-</v>
      </c>
      <c r="M346" t="str">
        <f>IFERROR(__xludf.DUMMYFUNCTION("""COMPUTED_VALUE"""),"-")</f>
        <v>-</v>
      </c>
      <c r="O346" t="str">
        <f>IFERROR(__xludf.DUMMYFUNCTION("""COMPUTED_VALUE"""),"#345")</f>
        <v>#345</v>
      </c>
      <c r="P346" t="str">
        <f>IFERROR(__xludf.DUMMYFUNCTION("""COMPUTED_VALUE"""),"Laura Slimani")</f>
        <v>Laura Slimani</v>
      </c>
      <c r="Q346">
        <f>IFERROR(__xludf.DUMMYFUNCTION("""COMPUTED_VALUE"""),9702.0)</f>
        <v>9702</v>
      </c>
      <c r="R346" t="str">
        <f>IFERROR(__xludf.DUMMYFUNCTION("""COMPUTED_VALUE"""),"-")</f>
        <v>-</v>
      </c>
      <c r="S346" t="str">
        <f>IFERROR(__xludf.DUMMYFUNCTION("""COMPUTED_VALUE"""),"-")</f>
        <v>-</v>
      </c>
      <c r="T346" t="str">
        <f>IFERROR(__xludf.DUMMYFUNCTION("""COMPUTED_VALUE"""),"-")</f>
        <v>-</v>
      </c>
      <c r="U346" t="str">
        <f>IFERROR(__xludf.DUMMYFUNCTION("""COMPUTED_VALUE"""),"-")</f>
        <v>-</v>
      </c>
      <c r="V346" t="str">
        <f>IFERROR(__xludf.DUMMYFUNCTION("""COMPUTED_VALUE"""),"-")</f>
        <v>-</v>
      </c>
      <c r="W346" t="str">
        <f>IFERROR(__xludf.DUMMYFUNCTION("""COMPUTED_VALUE"""),"-")</f>
        <v>-</v>
      </c>
      <c r="X346" t="str">
        <f>IFERROR(__xludf.DUMMYFUNCTION("""COMPUTED_VALUE"""),"-")</f>
        <v>-</v>
      </c>
      <c r="Y346" t="str">
        <f>IFERROR(__xludf.DUMMYFUNCTION("""COMPUTED_VALUE"""),"-")</f>
        <v>-</v>
      </c>
      <c r="Z346" t="str">
        <f>IFERROR(__xludf.DUMMYFUNCTION("""COMPUTED_VALUE"""),"-")</f>
        <v>-</v>
      </c>
      <c r="AA346" t="str">
        <f>IFERROR(__xludf.DUMMYFUNCTION("""COMPUTED_VALUE"""),"-")</f>
        <v>-</v>
      </c>
    </row>
    <row r="347">
      <c r="A347" t="str">
        <f>IFERROR(__xludf.DUMMYFUNCTION("""COMPUTED_VALUE"""),"#346")</f>
        <v>#346</v>
      </c>
      <c r="B347" t="str">
        <f>IFERROR(__xludf.DUMMYFUNCTION("""COMPUTED_VALUE"""),"Catherine Griset")</f>
        <v>Catherine Griset</v>
      </c>
      <c r="C347">
        <f>IFERROR(__xludf.DUMMYFUNCTION("""COMPUTED_VALUE"""),9637.0)</f>
        <v>9637</v>
      </c>
      <c r="D347" t="str">
        <f>IFERROR(__xludf.DUMMYFUNCTION("""COMPUTED_VALUE"""),"-")</f>
        <v>-</v>
      </c>
      <c r="E347" t="str">
        <f>IFERROR(__xludf.DUMMYFUNCTION("""COMPUTED_VALUE"""),"-")</f>
        <v>-</v>
      </c>
      <c r="F347" t="str">
        <f>IFERROR(__xludf.DUMMYFUNCTION("""COMPUTED_VALUE"""),"-")</f>
        <v>-</v>
      </c>
      <c r="G347" t="str">
        <f>IFERROR(__xludf.DUMMYFUNCTION("""COMPUTED_VALUE"""),"-")</f>
        <v>-</v>
      </c>
      <c r="H347" t="str">
        <f>IFERROR(__xludf.DUMMYFUNCTION("""COMPUTED_VALUE"""),"-")</f>
        <v>-</v>
      </c>
      <c r="I347" t="str">
        <f>IFERROR(__xludf.DUMMYFUNCTION("""COMPUTED_VALUE"""),"-")</f>
        <v>-</v>
      </c>
      <c r="J347" t="str">
        <f>IFERROR(__xludf.DUMMYFUNCTION("""COMPUTED_VALUE"""),"-")</f>
        <v>-</v>
      </c>
      <c r="K347" t="str">
        <f>IFERROR(__xludf.DUMMYFUNCTION("""COMPUTED_VALUE"""),"-")</f>
        <v>-</v>
      </c>
      <c r="L347" t="str">
        <f>IFERROR(__xludf.DUMMYFUNCTION("""COMPUTED_VALUE"""),"-")</f>
        <v>-</v>
      </c>
      <c r="M347" t="str">
        <f>IFERROR(__xludf.DUMMYFUNCTION("""COMPUTED_VALUE"""),"-")</f>
        <v>-</v>
      </c>
      <c r="O347" t="str">
        <f>IFERROR(__xludf.DUMMYFUNCTION("""COMPUTED_VALUE"""),"#346")</f>
        <v>#346</v>
      </c>
      <c r="P347" t="str">
        <f>IFERROR(__xludf.DUMMYFUNCTION("""COMPUTED_VALUE"""),"Catherine Griset")</f>
        <v>Catherine Griset</v>
      </c>
      <c r="Q347">
        <f>IFERROR(__xludf.DUMMYFUNCTION("""COMPUTED_VALUE"""),9637.0)</f>
        <v>9637</v>
      </c>
      <c r="R347" t="str">
        <f>IFERROR(__xludf.DUMMYFUNCTION("""COMPUTED_VALUE"""),"-")</f>
        <v>-</v>
      </c>
      <c r="S347" t="str">
        <f>IFERROR(__xludf.DUMMYFUNCTION("""COMPUTED_VALUE"""),"-")</f>
        <v>-</v>
      </c>
      <c r="T347" t="str">
        <f>IFERROR(__xludf.DUMMYFUNCTION("""COMPUTED_VALUE"""),"-")</f>
        <v>-</v>
      </c>
      <c r="U347" t="str">
        <f>IFERROR(__xludf.DUMMYFUNCTION("""COMPUTED_VALUE"""),"-")</f>
        <v>-</v>
      </c>
      <c r="V347" t="str">
        <f>IFERROR(__xludf.DUMMYFUNCTION("""COMPUTED_VALUE"""),"-")</f>
        <v>-</v>
      </c>
      <c r="W347" t="str">
        <f>IFERROR(__xludf.DUMMYFUNCTION("""COMPUTED_VALUE"""),"-")</f>
        <v>-</v>
      </c>
      <c r="X347" t="str">
        <f>IFERROR(__xludf.DUMMYFUNCTION("""COMPUTED_VALUE"""),"-")</f>
        <v>-</v>
      </c>
      <c r="Y347" t="str">
        <f>IFERROR(__xludf.DUMMYFUNCTION("""COMPUTED_VALUE"""),"-")</f>
        <v>-</v>
      </c>
      <c r="Z347" t="str">
        <f>IFERROR(__xludf.DUMMYFUNCTION("""COMPUTED_VALUE"""),"-")</f>
        <v>-</v>
      </c>
      <c r="AA347" t="str">
        <f>IFERROR(__xludf.DUMMYFUNCTION("""COMPUTED_VALUE"""),"-")</f>
        <v>-</v>
      </c>
    </row>
    <row r="348">
      <c r="A348" t="str">
        <f>IFERROR(__xludf.DUMMYFUNCTION("""COMPUTED_VALUE"""),"#347")</f>
        <v>#347</v>
      </c>
      <c r="B348" t="str">
        <f>IFERROR(__xludf.DUMMYFUNCTION("""COMPUTED_VALUE"""),"Catherine Morin-Desailly")</f>
        <v>Catherine Morin-Desailly</v>
      </c>
      <c r="C348">
        <f>IFERROR(__xludf.DUMMYFUNCTION("""COMPUTED_VALUE"""),9595.0)</f>
        <v>9595</v>
      </c>
      <c r="D348" t="str">
        <f>IFERROR(__xludf.DUMMYFUNCTION("""COMPUTED_VALUE"""),"-")</f>
        <v>-</v>
      </c>
      <c r="E348" t="str">
        <f>IFERROR(__xludf.DUMMYFUNCTION("""COMPUTED_VALUE"""),"-")</f>
        <v>-</v>
      </c>
      <c r="F348" t="str">
        <f>IFERROR(__xludf.DUMMYFUNCTION("""COMPUTED_VALUE"""),"-")</f>
        <v>-</v>
      </c>
      <c r="G348" t="str">
        <f>IFERROR(__xludf.DUMMYFUNCTION("""COMPUTED_VALUE"""),"-")</f>
        <v>-</v>
      </c>
      <c r="H348" t="str">
        <f>IFERROR(__xludf.DUMMYFUNCTION("""COMPUTED_VALUE"""),"-")</f>
        <v>-</v>
      </c>
      <c r="I348" t="str">
        <f>IFERROR(__xludf.DUMMYFUNCTION("""COMPUTED_VALUE"""),"-")</f>
        <v>-</v>
      </c>
      <c r="J348" t="str">
        <f>IFERROR(__xludf.DUMMYFUNCTION("""COMPUTED_VALUE"""),"-")</f>
        <v>-</v>
      </c>
      <c r="K348" t="str">
        <f>IFERROR(__xludf.DUMMYFUNCTION("""COMPUTED_VALUE"""),"-")</f>
        <v>-</v>
      </c>
      <c r="L348" t="str">
        <f>IFERROR(__xludf.DUMMYFUNCTION("""COMPUTED_VALUE"""),"-")</f>
        <v>-</v>
      </c>
      <c r="M348" t="str">
        <f>IFERROR(__xludf.DUMMYFUNCTION("""COMPUTED_VALUE"""),"-")</f>
        <v>-</v>
      </c>
      <c r="O348" t="str">
        <f>IFERROR(__xludf.DUMMYFUNCTION("""COMPUTED_VALUE"""),"#347")</f>
        <v>#347</v>
      </c>
      <c r="P348" t="str">
        <f>IFERROR(__xludf.DUMMYFUNCTION("""COMPUTED_VALUE"""),"Catherine Morin-Desailly")</f>
        <v>Catherine Morin-Desailly</v>
      </c>
      <c r="Q348">
        <f>IFERROR(__xludf.DUMMYFUNCTION("""COMPUTED_VALUE"""),9595.0)</f>
        <v>9595</v>
      </c>
      <c r="R348" t="str">
        <f>IFERROR(__xludf.DUMMYFUNCTION("""COMPUTED_VALUE"""),"-")</f>
        <v>-</v>
      </c>
      <c r="S348" t="str">
        <f>IFERROR(__xludf.DUMMYFUNCTION("""COMPUTED_VALUE"""),"-")</f>
        <v>-</v>
      </c>
      <c r="T348" t="str">
        <f>IFERROR(__xludf.DUMMYFUNCTION("""COMPUTED_VALUE"""),"-")</f>
        <v>-</v>
      </c>
      <c r="U348" t="str">
        <f>IFERROR(__xludf.DUMMYFUNCTION("""COMPUTED_VALUE"""),"-")</f>
        <v>-</v>
      </c>
      <c r="V348" t="str">
        <f>IFERROR(__xludf.DUMMYFUNCTION("""COMPUTED_VALUE"""),"-")</f>
        <v>-</v>
      </c>
      <c r="W348" t="str">
        <f>IFERROR(__xludf.DUMMYFUNCTION("""COMPUTED_VALUE"""),"-")</f>
        <v>-</v>
      </c>
      <c r="X348" t="str">
        <f>IFERROR(__xludf.DUMMYFUNCTION("""COMPUTED_VALUE"""),"-")</f>
        <v>-</v>
      </c>
      <c r="Y348" t="str">
        <f>IFERROR(__xludf.DUMMYFUNCTION("""COMPUTED_VALUE"""),"-")</f>
        <v>-</v>
      </c>
      <c r="Z348" t="str">
        <f>IFERROR(__xludf.DUMMYFUNCTION("""COMPUTED_VALUE"""),"-")</f>
        <v>-</v>
      </c>
      <c r="AA348" t="str">
        <f>IFERROR(__xludf.DUMMYFUNCTION("""COMPUTED_VALUE"""),"-")</f>
        <v>-</v>
      </c>
    </row>
    <row r="349">
      <c r="A349" t="str">
        <f>IFERROR(__xludf.DUMMYFUNCTION("""COMPUTED_VALUE"""),"#348")</f>
        <v>#348</v>
      </c>
      <c r="B349" t="str">
        <f>IFERROR(__xludf.DUMMYFUNCTION("""COMPUTED_VALUE"""),"Nora Berra")</f>
        <v>Nora Berra</v>
      </c>
      <c r="C349">
        <f>IFERROR(__xludf.DUMMYFUNCTION("""COMPUTED_VALUE"""),9589.0)</f>
        <v>9589</v>
      </c>
      <c r="D349" t="str">
        <f>IFERROR(__xludf.DUMMYFUNCTION("""COMPUTED_VALUE"""),"-")</f>
        <v>-</v>
      </c>
      <c r="E349" t="str">
        <f>IFERROR(__xludf.DUMMYFUNCTION("""COMPUTED_VALUE"""),"-")</f>
        <v>-</v>
      </c>
      <c r="F349" t="str">
        <f>IFERROR(__xludf.DUMMYFUNCTION("""COMPUTED_VALUE"""),"-")</f>
        <v>-</v>
      </c>
      <c r="G349" t="str">
        <f>IFERROR(__xludf.DUMMYFUNCTION("""COMPUTED_VALUE"""),"-")</f>
        <v>-</v>
      </c>
      <c r="H349" t="str">
        <f>IFERROR(__xludf.DUMMYFUNCTION("""COMPUTED_VALUE"""),"-")</f>
        <v>-</v>
      </c>
      <c r="I349" t="str">
        <f>IFERROR(__xludf.DUMMYFUNCTION("""COMPUTED_VALUE"""),"-")</f>
        <v>-</v>
      </c>
      <c r="J349" t="str">
        <f>IFERROR(__xludf.DUMMYFUNCTION("""COMPUTED_VALUE"""),"-")</f>
        <v>-</v>
      </c>
      <c r="K349" t="str">
        <f>IFERROR(__xludf.DUMMYFUNCTION("""COMPUTED_VALUE"""),"-")</f>
        <v>-</v>
      </c>
      <c r="L349" t="str">
        <f>IFERROR(__xludf.DUMMYFUNCTION("""COMPUTED_VALUE"""),"-")</f>
        <v>-</v>
      </c>
      <c r="M349" t="str">
        <f>IFERROR(__xludf.DUMMYFUNCTION("""COMPUTED_VALUE"""),"-")</f>
        <v>-</v>
      </c>
      <c r="O349" t="str">
        <f>IFERROR(__xludf.DUMMYFUNCTION("""COMPUTED_VALUE"""),"#348")</f>
        <v>#348</v>
      </c>
      <c r="P349" t="str">
        <f>IFERROR(__xludf.DUMMYFUNCTION("""COMPUTED_VALUE"""),"Nora Berra")</f>
        <v>Nora Berra</v>
      </c>
      <c r="Q349">
        <f>IFERROR(__xludf.DUMMYFUNCTION("""COMPUTED_VALUE"""),9589.0)</f>
        <v>9589</v>
      </c>
      <c r="R349" t="str">
        <f>IFERROR(__xludf.DUMMYFUNCTION("""COMPUTED_VALUE"""),"-")</f>
        <v>-</v>
      </c>
      <c r="S349" t="str">
        <f>IFERROR(__xludf.DUMMYFUNCTION("""COMPUTED_VALUE"""),"-")</f>
        <v>-</v>
      </c>
      <c r="T349" t="str">
        <f>IFERROR(__xludf.DUMMYFUNCTION("""COMPUTED_VALUE"""),"-")</f>
        <v>-</v>
      </c>
      <c r="U349" t="str">
        <f>IFERROR(__xludf.DUMMYFUNCTION("""COMPUTED_VALUE"""),"-")</f>
        <v>-</v>
      </c>
      <c r="V349" t="str">
        <f>IFERROR(__xludf.DUMMYFUNCTION("""COMPUTED_VALUE"""),"-")</f>
        <v>-</v>
      </c>
      <c r="W349" t="str">
        <f>IFERROR(__xludf.DUMMYFUNCTION("""COMPUTED_VALUE"""),"-")</f>
        <v>-</v>
      </c>
      <c r="X349" t="str">
        <f>IFERROR(__xludf.DUMMYFUNCTION("""COMPUTED_VALUE"""),"-")</f>
        <v>-</v>
      </c>
      <c r="Y349" t="str">
        <f>IFERROR(__xludf.DUMMYFUNCTION("""COMPUTED_VALUE"""),"-")</f>
        <v>-</v>
      </c>
      <c r="Z349" t="str">
        <f>IFERROR(__xludf.DUMMYFUNCTION("""COMPUTED_VALUE"""),"-")</f>
        <v>-</v>
      </c>
      <c r="AA349" t="str">
        <f>IFERROR(__xludf.DUMMYFUNCTION("""COMPUTED_VALUE"""),"-")</f>
        <v>-</v>
      </c>
    </row>
    <row r="350">
      <c r="A350" t="str">
        <f>IFERROR(__xludf.DUMMYFUNCTION("""COMPUTED_VALUE"""),"#349")</f>
        <v>#349</v>
      </c>
      <c r="B350" t="str">
        <f>IFERROR(__xludf.DUMMYFUNCTION("""COMPUTED_VALUE"""),"Liêm Hoang Ngoc")</f>
        <v>Liêm Hoang Ngoc</v>
      </c>
      <c r="C350">
        <f>IFERROR(__xludf.DUMMYFUNCTION("""COMPUTED_VALUE"""),9533.0)</f>
        <v>9533</v>
      </c>
      <c r="D350" t="str">
        <f>IFERROR(__xludf.DUMMYFUNCTION("""COMPUTED_VALUE"""),"-")</f>
        <v>-</v>
      </c>
      <c r="E350" t="str">
        <f>IFERROR(__xludf.DUMMYFUNCTION("""COMPUTED_VALUE"""),"-")</f>
        <v>-</v>
      </c>
      <c r="F350" t="str">
        <f>IFERROR(__xludf.DUMMYFUNCTION("""COMPUTED_VALUE"""),"-")</f>
        <v>-</v>
      </c>
      <c r="G350" t="str">
        <f>IFERROR(__xludf.DUMMYFUNCTION("""COMPUTED_VALUE"""),"-")</f>
        <v>-</v>
      </c>
      <c r="H350" t="str">
        <f>IFERROR(__xludf.DUMMYFUNCTION("""COMPUTED_VALUE"""),"-")</f>
        <v>-</v>
      </c>
      <c r="I350" t="str">
        <f>IFERROR(__xludf.DUMMYFUNCTION("""COMPUTED_VALUE"""),"-")</f>
        <v>-</v>
      </c>
      <c r="J350" t="str">
        <f>IFERROR(__xludf.DUMMYFUNCTION("""COMPUTED_VALUE"""),"-")</f>
        <v>-</v>
      </c>
      <c r="K350" t="str">
        <f>IFERROR(__xludf.DUMMYFUNCTION("""COMPUTED_VALUE"""),"-")</f>
        <v>-</v>
      </c>
      <c r="L350" t="str">
        <f>IFERROR(__xludf.DUMMYFUNCTION("""COMPUTED_VALUE"""),"-")</f>
        <v>-</v>
      </c>
      <c r="M350" t="str">
        <f>IFERROR(__xludf.DUMMYFUNCTION("""COMPUTED_VALUE"""),"-")</f>
        <v>-</v>
      </c>
      <c r="O350" t="str">
        <f>IFERROR(__xludf.DUMMYFUNCTION("""COMPUTED_VALUE"""),"#349")</f>
        <v>#349</v>
      </c>
      <c r="P350" t="str">
        <f>IFERROR(__xludf.DUMMYFUNCTION("""COMPUTED_VALUE"""),"Liêm Hoang Ngoc")</f>
        <v>Liêm Hoang Ngoc</v>
      </c>
      <c r="Q350">
        <f>IFERROR(__xludf.DUMMYFUNCTION("""COMPUTED_VALUE"""),9533.0)</f>
        <v>9533</v>
      </c>
      <c r="R350" t="str">
        <f>IFERROR(__xludf.DUMMYFUNCTION("""COMPUTED_VALUE"""),"-")</f>
        <v>-</v>
      </c>
      <c r="S350" t="str">
        <f>IFERROR(__xludf.DUMMYFUNCTION("""COMPUTED_VALUE"""),"-")</f>
        <v>-</v>
      </c>
      <c r="T350" t="str">
        <f>IFERROR(__xludf.DUMMYFUNCTION("""COMPUTED_VALUE"""),"-")</f>
        <v>-</v>
      </c>
      <c r="U350" t="str">
        <f>IFERROR(__xludf.DUMMYFUNCTION("""COMPUTED_VALUE"""),"-")</f>
        <v>-</v>
      </c>
      <c r="V350" t="str">
        <f>IFERROR(__xludf.DUMMYFUNCTION("""COMPUTED_VALUE"""),"-")</f>
        <v>-</v>
      </c>
      <c r="W350" t="str">
        <f>IFERROR(__xludf.DUMMYFUNCTION("""COMPUTED_VALUE"""),"-")</f>
        <v>-</v>
      </c>
      <c r="X350" t="str">
        <f>IFERROR(__xludf.DUMMYFUNCTION("""COMPUTED_VALUE"""),"-")</f>
        <v>-</v>
      </c>
      <c r="Y350" t="str">
        <f>IFERROR(__xludf.DUMMYFUNCTION("""COMPUTED_VALUE"""),"-")</f>
        <v>-</v>
      </c>
      <c r="Z350" t="str">
        <f>IFERROR(__xludf.DUMMYFUNCTION("""COMPUTED_VALUE"""),"-")</f>
        <v>-</v>
      </c>
      <c r="AA350" t="str">
        <f>IFERROR(__xludf.DUMMYFUNCTION("""COMPUTED_VALUE"""),"-")</f>
        <v>-</v>
      </c>
    </row>
    <row r="351">
      <c r="A351" t="str">
        <f>IFERROR(__xludf.DUMMYFUNCTION("""COMPUTED_VALUE"""),"#350")</f>
        <v>#350</v>
      </c>
      <c r="B351" t="str">
        <f>IFERROR(__xludf.DUMMYFUNCTION("""COMPUTED_VALUE"""),"François Cocq")</f>
        <v>François Cocq</v>
      </c>
      <c r="C351">
        <f>IFERROR(__xludf.DUMMYFUNCTION("""COMPUTED_VALUE"""),9525.0)</f>
        <v>9525</v>
      </c>
      <c r="D351" t="str">
        <f>IFERROR(__xludf.DUMMYFUNCTION("""COMPUTED_VALUE"""),"-")</f>
        <v>-</v>
      </c>
      <c r="E351" t="str">
        <f>IFERROR(__xludf.DUMMYFUNCTION("""COMPUTED_VALUE"""),"-")</f>
        <v>-</v>
      </c>
      <c r="F351" t="str">
        <f>IFERROR(__xludf.DUMMYFUNCTION("""COMPUTED_VALUE"""),"-")</f>
        <v>-</v>
      </c>
      <c r="G351" t="str">
        <f>IFERROR(__xludf.DUMMYFUNCTION("""COMPUTED_VALUE"""),"-")</f>
        <v>-</v>
      </c>
      <c r="H351" t="str">
        <f>IFERROR(__xludf.DUMMYFUNCTION("""COMPUTED_VALUE"""),"-")</f>
        <v>-</v>
      </c>
      <c r="I351" t="str">
        <f>IFERROR(__xludf.DUMMYFUNCTION("""COMPUTED_VALUE"""),"-")</f>
        <v>-</v>
      </c>
      <c r="J351" t="str">
        <f>IFERROR(__xludf.DUMMYFUNCTION("""COMPUTED_VALUE"""),"-")</f>
        <v>-</v>
      </c>
      <c r="K351" t="str">
        <f>IFERROR(__xludf.DUMMYFUNCTION("""COMPUTED_VALUE"""),"-")</f>
        <v>-</v>
      </c>
      <c r="L351" t="str">
        <f>IFERROR(__xludf.DUMMYFUNCTION("""COMPUTED_VALUE"""),"-")</f>
        <v>-</v>
      </c>
      <c r="M351" t="str">
        <f>IFERROR(__xludf.DUMMYFUNCTION("""COMPUTED_VALUE"""),"-")</f>
        <v>-</v>
      </c>
      <c r="O351" t="str">
        <f>IFERROR(__xludf.DUMMYFUNCTION("""COMPUTED_VALUE"""),"#350")</f>
        <v>#350</v>
      </c>
      <c r="P351" t="str">
        <f>IFERROR(__xludf.DUMMYFUNCTION("""COMPUTED_VALUE"""),"François Cocq")</f>
        <v>François Cocq</v>
      </c>
      <c r="Q351">
        <f>IFERROR(__xludf.DUMMYFUNCTION("""COMPUTED_VALUE"""),9525.0)</f>
        <v>9525</v>
      </c>
      <c r="R351" t="str">
        <f>IFERROR(__xludf.DUMMYFUNCTION("""COMPUTED_VALUE"""),"-")</f>
        <v>-</v>
      </c>
      <c r="S351" t="str">
        <f>IFERROR(__xludf.DUMMYFUNCTION("""COMPUTED_VALUE"""),"-")</f>
        <v>-</v>
      </c>
      <c r="T351" t="str">
        <f>IFERROR(__xludf.DUMMYFUNCTION("""COMPUTED_VALUE"""),"-")</f>
        <v>-</v>
      </c>
      <c r="U351" t="str">
        <f>IFERROR(__xludf.DUMMYFUNCTION("""COMPUTED_VALUE"""),"-")</f>
        <v>-</v>
      </c>
      <c r="V351" t="str">
        <f>IFERROR(__xludf.DUMMYFUNCTION("""COMPUTED_VALUE"""),"-")</f>
        <v>-</v>
      </c>
      <c r="W351" t="str">
        <f>IFERROR(__xludf.DUMMYFUNCTION("""COMPUTED_VALUE"""),"-")</f>
        <v>-</v>
      </c>
      <c r="X351" t="str">
        <f>IFERROR(__xludf.DUMMYFUNCTION("""COMPUTED_VALUE"""),"-")</f>
        <v>-</v>
      </c>
      <c r="Y351" t="str">
        <f>IFERROR(__xludf.DUMMYFUNCTION("""COMPUTED_VALUE"""),"-")</f>
        <v>-</v>
      </c>
      <c r="Z351" t="str">
        <f>IFERROR(__xludf.DUMMYFUNCTION("""COMPUTED_VALUE"""),"-")</f>
        <v>-</v>
      </c>
      <c r="AA351" t="str">
        <f>IFERROR(__xludf.DUMMYFUNCTION("""COMPUTED_VALUE"""),"-")</f>
        <v>-</v>
      </c>
    </row>
    <row r="352">
      <c r="A352" t="str">
        <f>IFERROR(__xludf.DUMMYFUNCTION("""COMPUTED_VALUE"""),"#351")</f>
        <v>#351</v>
      </c>
      <c r="B352" t="str">
        <f>IFERROR(__xludf.DUMMYFUNCTION("""COMPUTED_VALUE"""),"Jean-Claude Mailly")</f>
        <v>Jean-Claude Mailly</v>
      </c>
      <c r="C352">
        <f>IFERROR(__xludf.DUMMYFUNCTION("""COMPUTED_VALUE"""),9235.0)</f>
        <v>9235</v>
      </c>
      <c r="D352" t="str">
        <f>IFERROR(__xludf.DUMMYFUNCTION("""COMPUTED_VALUE"""),"-")</f>
        <v>-</v>
      </c>
      <c r="E352" t="str">
        <f>IFERROR(__xludf.DUMMYFUNCTION("""COMPUTED_VALUE"""),"-")</f>
        <v>-</v>
      </c>
      <c r="F352" t="str">
        <f>IFERROR(__xludf.DUMMYFUNCTION("""COMPUTED_VALUE"""),"-")</f>
        <v>-</v>
      </c>
      <c r="G352" t="str">
        <f>IFERROR(__xludf.DUMMYFUNCTION("""COMPUTED_VALUE"""),"-")</f>
        <v>-</v>
      </c>
      <c r="H352" t="str">
        <f>IFERROR(__xludf.DUMMYFUNCTION("""COMPUTED_VALUE"""),"-")</f>
        <v>-</v>
      </c>
      <c r="I352" t="str">
        <f>IFERROR(__xludf.DUMMYFUNCTION("""COMPUTED_VALUE"""),"-")</f>
        <v>-</v>
      </c>
      <c r="J352" t="str">
        <f>IFERROR(__xludf.DUMMYFUNCTION("""COMPUTED_VALUE"""),"-")</f>
        <v>-</v>
      </c>
      <c r="K352" t="str">
        <f>IFERROR(__xludf.DUMMYFUNCTION("""COMPUTED_VALUE"""),"-")</f>
        <v>-</v>
      </c>
      <c r="L352" t="str">
        <f>IFERROR(__xludf.DUMMYFUNCTION("""COMPUTED_VALUE"""),"-")</f>
        <v>-</v>
      </c>
      <c r="M352" t="str">
        <f>IFERROR(__xludf.DUMMYFUNCTION("""COMPUTED_VALUE"""),"-")</f>
        <v>-</v>
      </c>
      <c r="O352" t="str">
        <f>IFERROR(__xludf.DUMMYFUNCTION("""COMPUTED_VALUE"""),"#351")</f>
        <v>#351</v>
      </c>
      <c r="P352" t="str">
        <f>IFERROR(__xludf.DUMMYFUNCTION("""COMPUTED_VALUE"""),"Jean-Claude Mailly")</f>
        <v>Jean-Claude Mailly</v>
      </c>
      <c r="Q352">
        <f>IFERROR(__xludf.DUMMYFUNCTION("""COMPUTED_VALUE"""),9235.0)</f>
        <v>9235</v>
      </c>
      <c r="R352" t="str">
        <f>IFERROR(__xludf.DUMMYFUNCTION("""COMPUTED_VALUE"""),"-")</f>
        <v>-</v>
      </c>
      <c r="S352" t="str">
        <f>IFERROR(__xludf.DUMMYFUNCTION("""COMPUTED_VALUE"""),"-")</f>
        <v>-</v>
      </c>
      <c r="T352" t="str">
        <f>IFERROR(__xludf.DUMMYFUNCTION("""COMPUTED_VALUE"""),"-")</f>
        <v>-</v>
      </c>
      <c r="U352" t="str">
        <f>IFERROR(__xludf.DUMMYFUNCTION("""COMPUTED_VALUE"""),"-")</f>
        <v>-</v>
      </c>
      <c r="V352" t="str">
        <f>IFERROR(__xludf.DUMMYFUNCTION("""COMPUTED_VALUE"""),"-")</f>
        <v>-</v>
      </c>
      <c r="W352" t="str">
        <f>IFERROR(__xludf.DUMMYFUNCTION("""COMPUTED_VALUE"""),"-")</f>
        <v>-</v>
      </c>
      <c r="X352" t="str">
        <f>IFERROR(__xludf.DUMMYFUNCTION("""COMPUTED_VALUE"""),"-")</f>
        <v>-</v>
      </c>
      <c r="Y352" t="str">
        <f>IFERROR(__xludf.DUMMYFUNCTION("""COMPUTED_VALUE"""),"-")</f>
        <v>-</v>
      </c>
      <c r="Z352" t="str">
        <f>IFERROR(__xludf.DUMMYFUNCTION("""COMPUTED_VALUE"""),"-")</f>
        <v>-</v>
      </c>
      <c r="AA352" t="str">
        <f>IFERROR(__xludf.DUMMYFUNCTION("""COMPUTED_VALUE"""),"-")</f>
        <v>-</v>
      </c>
    </row>
    <row r="353">
      <c r="A353" t="str">
        <f>IFERROR(__xludf.DUMMYFUNCTION("""COMPUTED_VALUE"""),"#352")</f>
        <v>#352</v>
      </c>
      <c r="B353" t="str">
        <f>IFERROR(__xludf.DUMMYFUNCTION("""COMPUTED_VALUE"""),"Bruno Gilles")</f>
        <v>Bruno Gilles</v>
      </c>
      <c r="C353">
        <f>IFERROR(__xludf.DUMMYFUNCTION("""COMPUTED_VALUE"""),9234.0)</f>
        <v>9234</v>
      </c>
      <c r="D353" t="str">
        <f>IFERROR(__xludf.DUMMYFUNCTION("""COMPUTED_VALUE"""),"-")</f>
        <v>-</v>
      </c>
      <c r="E353" t="str">
        <f>IFERROR(__xludf.DUMMYFUNCTION("""COMPUTED_VALUE"""),"-")</f>
        <v>-</v>
      </c>
      <c r="F353" t="str">
        <f>IFERROR(__xludf.DUMMYFUNCTION("""COMPUTED_VALUE"""),"-")</f>
        <v>-</v>
      </c>
      <c r="G353" t="str">
        <f>IFERROR(__xludf.DUMMYFUNCTION("""COMPUTED_VALUE"""),"-")</f>
        <v>-</v>
      </c>
      <c r="H353" t="str">
        <f>IFERROR(__xludf.DUMMYFUNCTION("""COMPUTED_VALUE"""),"-")</f>
        <v>-</v>
      </c>
      <c r="I353" t="str">
        <f>IFERROR(__xludf.DUMMYFUNCTION("""COMPUTED_VALUE"""),"-")</f>
        <v>-</v>
      </c>
      <c r="J353" t="str">
        <f>IFERROR(__xludf.DUMMYFUNCTION("""COMPUTED_VALUE"""),"-")</f>
        <v>-</v>
      </c>
      <c r="K353" t="str">
        <f>IFERROR(__xludf.DUMMYFUNCTION("""COMPUTED_VALUE"""),"-")</f>
        <v>-</v>
      </c>
      <c r="L353" t="str">
        <f>IFERROR(__xludf.DUMMYFUNCTION("""COMPUTED_VALUE"""),"-")</f>
        <v>-</v>
      </c>
      <c r="M353" t="str">
        <f>IFERROR(__xludf.DUMMYFUNCTION("""COMPUTED_VALUE"""),"-")</f>
        <v>-</v>
      </c>
      <c r="O353" t="str">
        <f>IFERROR(__xludf.DUMMYFUNCTION("""COMPUTED_VALUE"""),"#352")</f>
        <v>#352</v>
      </c>
      <c r="P353" t="str">
        <f>IFERROR(__xludf.DUMMYFUNCTION("""COMPUTED_VALUE"""),"Bruno Gilles")</f>
        <v>Bruno Gilles</v>
      </c>
      <c r="Q353">
        <f>IFERROR(__xludf.DUMMYFUNCTION("""COMPUTED_VALUE"""),9234.0)</f>
        <v>9234</v>
      </c>
      <c r="R353" t="str">
        <f>IFERROR(__xludf.DUMMYFUNCTION("""COMPUTED_VALUE"""),"-")</f>
        <v>-</v>
      </c>
      <c r="S353" t="str">
        <f>IFERROR(__xludf.DUMMYFUNCTION("""COMPUTED_VALUE"""),"-")</f>
        <v>-</v>
      </c>
      <c r="T353" t="str">
        <f>IFERROR(__xludf.DUMMYFUNCTION("""COMPUTED_VALUE"""),"-")</f>
        <v>-</v>
      </c>
      <c r="U353" t="str">
        <f>IFERROR(__xludf.DUMMYFUNCTION("""COMPUTED_VALUE"""),"-")</f>
        <v>-</v>
      </c>
      <c r="V353" t="str">
        <f>IFERROR(__xludf.DUMMYFUNCTION("""COMPUTED_VALUE"""),"-")</f>
        <v>-</v>
      </c>
      <c r="W353" t="str">
        <f>IFERROR(__xludf.DUMMYFUNCTION("""COMPUTED_VALUE"""),"-")</f>
        <v>-</v>
      </c>
      <c r="X353" t="str">
        <f>IFERROR(__xludf.DUMMYFUNCTION("""COMPUTED_VALUE"""),"-")</f>
        <v>-</v>
      </c>
      <c r="Y353" t="str">
        <f>IFERROR(__xludf.DUMMYFUNCTION("""COMPUTED_VALUE"""),"-")</f>
        <v>-</v>
      </c>
      <c r="Z353" t="str">
        <f>IFERROR(__xludf.DUMMYFUNCTION("""COMPUTED_VALUE"""),"-")</f>
        <v>-</v>
      </c>
      <c r="AA353" t="str">
        <f>IFERROR(__xludf.DUMMYFUNCTION("""COMPUTED_VALUE"""),"-")</f>
        <v>-</v>
      </c>
    </row>
    <row r="354">
      <c r="A354" t="str">
        <f>IFERROR(__xludf.DUMMYFUNCTION("""COMPUTED_VALUE"""),"#353")</f>
        <v>#353</v>
      </c>
      <c r="B354" t="str">
        <f>IFERROR(__xludf.DUMMYFUNCTION("""COMPUTED_VALUE"""),"Jacques Bompard")</f>
        <v>Jacques Bompard</v>
      </c>
      <c r="C354">
        <f>IFERROR(__xludf.DUMMYFUNCTION("""COMPUTED_VALUE"""),9109.0)</f>
        <v>9109</v>
      </c>
      <c r="D354" t="str">
        <f>IFERROR(__xludf.DUMMYFUNCTION("""COMPUTED_VALUE"""),"-")</f>
        <v>-</v>
      </c>
      <c r="E354" t="str">
        <f>IFERROR(__xludf.DUMMYFUNCTION("""COMPUTED_VALUE"""),"-")</f>
        <v>-</v>
      </c>
      <c r="F354" t="str">
        <f>IFERROR(__xludf.DUMMYFUNCTION("""COMPUTED_VALUE"""),"-")</f>
        <v>-</v>
      </c>
      <c r="G354" t="str">
        <f>IFERROR(__xludf.DUMMYFUNCTION("""COMPUTED_VALUE"""),"-")</f>
        <v>-</v>
      </c>
      <c r="H354" t="str">
        <f>IFERROR(__xludf.DUMMYFUNCTION("""COMPUTED_VALUE"""),"-")</f>
        <v>-</v>
      </c>
      <c r="I354" t="str">
        <f>IFERROR(__xludf.DUMMYFUNCTION("""COMPUTED_VALUE"""),"-")</f>
        <v>-</v>
      </c>
      <c r="J354" t="str">
        <f>IFERROR(__xludf.DUMMYFUNCTION("""COMPUTED_VALUE"""),"-")</f>
        <v>-</v>
      </c>
      <c r="K354" t="str">
        <f>IFERROR(__xludf.DUMMYFUNCTION("""COMPUTED_VALUE"""),"-")</f>
        <v>-</v>
      </c>
      <c r="L354" t="str">
        <f>IFERROR(__xludf.DUMMYFUNCTION("""COMPUTED_VALUE"""),"-")</f>
        <v>-</v>
      </c>
      <c r="M354" t="str">
        <f>IFERROR(__xludf.DUMMYFUNCTION("""COMPUTED_VALUE"""),"-")</f>
        <v>-</v>
      </c>
      <c r="O354" t="str">
        <f>IFERROR(__xludf.DUMMYFUNCTION("""COMPUTED_VALUE"""),"#353")</f>
        <v>#353</v>
      </c>
      <c r="P354" t="str">
        <f>IFERROR(__xludf.DUMMYFUNCTION("""COMPUTED_VALUE"""),"Jacques Bompard")</f>
        <v>Jacques Bompard</v>
      </c>
      <c r="Q354">
        <f>IFERROR(__xludf.DUMMYFUNCTION("""COMPUTED_VALUE"""),9109.0)</f>
        <v>9109</v>
      </c>
      <c r="R354" t="str">
        <f>IFERROR(__xludf.DUMMYFUNCTION("""COMPUTED_VALUE"""),"-")</f>
        <v>-</v>
      </c>
      <c r="S354" t="str">
        <f>IFERROR(__xludf.DUMMYFUNCTION("""COMPUTED_VALUE"""),"-")</f>
        <v>-</v>
      </c>
      <c r="T354" t="str">
        <f>IFERROR(__xludf.DUMMYFUNCTION("""COMPUTED_VALUE"""),"-")</f>
        <v>-</v>
      </c>
      <c r="U354" t="str">
        <f>IFERROR(__xludf.DUMMYFUNCTION("""COMPUTED_VALUE"""),"-")</f>
        <v>-</v>
      </c>
      <c r="V354" t="str">
        <f>IFERROR(__xludf.DUMMYFUNCTION("""COMPUTED_VALUE"""),"-")</f>
        <v>-</v>
      </c>
      <c r="W354" t="str">
        <f>IFERROR(__xludf.DUMMYFUNCTION("""COMPUTED_VALUE"""),"-")</f>
        <v>-</v>
      </c>
      <c r="X354" t="str">
        <f>IFERROR(__xludf.DUMMYFUNCTION("""COMPUTED_VALUE"""),"-")</f>
        <v>-</v>
      </c>
      <c r="Y354" t="str">
        <f>IFERROR(__xludf.DUMMYFUNCTION("""COMPUTED_VALUE"""),"-")</f>
        <v>-</v>
      </c>
      <c r="Z354" t="str">
        <f>IFERROR(__xludf.DUMMYFUNCTION("""COMPUTED_VALUE"""),"-")</f>
        <v>-</v>
      </c>
      <c r="AA354" t="str">
        <f>IFERROR(__xludf.DUMMYFUNCTION("""COMPUTED_VALUE"""),"-")</f>
        <v>-</v>
      </c>
    </row>
    <row r="355">
      <c r="A355" t="str">
        <f>IFERROR(__xludf.DUMMYFUNCTION("""COMPUTED_VALUE"""),"#354")</f>
        <v>#354</v>
      </c>
      <c r="B355" t="str">
        <f>IFERROR(__xludf.DUMMYFUNCTION("""COMPUTED_VALUE"""),"Vincent Brousseau")</f>
        <v>Vincent Brousseau</v>
      </c>
      <c r="C355">
        <f>IFERROR(__xludf.DUMMYFUNCTION("""COMPUTED_VALUE"""),9102.0)</f>
        <v>9102</v>
      </c>
      <c r="D355" t="str">
        <f>IFERROR(__xludf.DUMMYFUNCTION("""COMPUTED_VALUE"""),"-")</f>
        <v>-</v>
      </c>
      <c r="E355" t="str">
        <f>IFERROR(__xludf.DUMMYFUNCTION("""COMPUTED_VALUE"""),"-")</f>
        <v>-</v>
      </c>
      <c r="F355" t="str">
        <f>IFERROR(__xludf.DUMMYFUNCTION("""COMPUTED_VALUE"""),"-")</f>
        <v>-</v>
      </c>
      <c r="G355" t="str">
        <f>IFERROR(__xludf.DUMMYFUNCTION("""COMPUTED_VALUE"""),"-")</f>
        <v>-</v>
      </c>
      <c r="H355" t="str">
        <f>IFERROR(__xludf.DUMMYFUNCTION("""COMPUTED_VALUE"""),"-")</f>
        <v>-</v>
      </c>
      <c r="I355" t="str">
        <f>IFERROR(__xludf.DUMMYFUNCTION("""COMPUTED_VALUE"""),"-")</f>
        <v>-</v>
      </c>
      <c r="J355" t="str">
        <f>IFERROR(__xludf.DUMMYFUNCTION("""COMPUTED_VALUE"""),"-")</f>
        <v>-</v>
      </c>
      <c r="K355" t="str">
        <f>IFERROR(__xludf.DUMMYFUNCTION("""COMPUTED_VALUE"""),"-")</f>
        <v>-</v>
      </c>
      <c r="L355" t="str">
        <f>IFERROR(__xludf.DUMMYFUNCTION("""COMPUTED_VALUE"""),"-")</f>
        <v>-</v>
      </c>
      <c r="M355" t="str">
        <f>IFERROR(__xludf.DUMMYFUNCTION("""COMPUTED_VALUE"""),"-")</f>
        <v>-</v>
      </c>
      <c r="O355" t="str">
        <f>IFERROR(__xludf.DUMMYFUNCTION("""COMPUTED_VALUE"""),"#354")</f>
        <v>#354</v>
      </c>
      <c r="P355" t="str">
        <f>IFERROR(__xludf.DUMMYFUNCTION("""COMPUTED_VALUE"""),"Vincent Brousseau")</f>
        <v>Vincent Brousseau</v>
      </c>
      <c r="Q355">
        <f>IFERROR(__xludf.DUMMYFUNCTION("""COMPUTED_VALUE"""),9102.0)</f>
        <v>9102</v>
      </c>
      <c r="R355" t="str">
        <f>IFERROR(__xludf.DUMMYFUNCTION("""COMPUTED_VALUE"""),"-")</f>
        <v>-</v>
      </c>
      <c r="S355" t="str">
        <f>IFERROR(__xludf.DUMMYFUNCTION("""COMPUTED_VALUE"""),"-")</f>
        <v>-</v>
      </c>
      <c r="T355" t="str">
        <f>IFERROR(__xludf.DUMMYFUNCTION("""COMPUTED_VALUE"""),"-")</f>
        <v>-</v>
      </c>
      <c r="U355" t="str">
        <f>IFERROR(__xludf.DUMMYFUNCTION("""COMPUTED_VALUE"""),"-")</f>
        <v>-</v>
      </c>
      <c r="V355" t="str">
        <f>IFERROR(__xludf.DUMMYFUNCTION("""COMPUTED_VALUE"""),"-")</f>
        <v>-</v>
      </c>
      <c r="W355" t="str">
        <f>IFERROR(__xludf.DUMMYFUNCTION("""COMPUTED_VALUE"""),"-")</f>
        <v>-</v>
      </c>
      <c r="X355" t="str">
        <f>IFERROR(__xludf.DUMMYFUNCTION("""COMPUTED_VALUE"""),"-")</f>
        <v>-</v>
      </c>
      <c r="Y355" t="str">
        <f>IFERROR(__xludf.DUMMYFUNCTION("""COMPUTED_VALUE"""),"-")</f>
        <v>-</v>
      </c>
      <c r="Z355" t="str">
        <f>IFERROR(__xludf.DUMMYFUNCTION("""COMPUTED_VALUE"""),"-")</f>
        <v>-</v>
      </c>
      <c r="AA355" t="str">
        <f>IFERROR(__xludf.DUMMYFUNCTION("""COMPUTED_VALUE"""),"-")</f>
        <v>-</v>
      </c>
    </row>
    <row r="356">
      <c r="A356" t="str">
        <f>IFERROR(__xludf.DUMMYFUNCTION("""COMPUTED_VALUE"""),"#355")</f>
        <v>#355</v>
      </c>
      <c r="B356" t="str">
        <f>IFERROR(__xludf.DUMMYFUNCTION("""COMPUTED_VALUE"""),"Guillaume De Longeville")</f>
        <v>Guillaume De Longeville</v>
      </c>
      <c r="C356">
        <f>IFERROR(__xludf.DUMMYFUNCTION("""COMPUTED_VALUE"""),9037.0)</f>
        <v>9037</v>
      </c>
      <c r="D356" t="str">
        <f>IFERROR(__xludf.DUMMYFUNCTION("""COMPUTED_VALUE"""),"-")</f>
        <v>-</v>
      </c>
      <c r="E356" t="str">
        <f>IFERROR(__xludf.DUMMYFUNCTION("""COMPUTED_VALUE"""),"-")</f>
        <v>-</v>
      </c>
      <c r="F356" t="str">
        <f>IFERROR(__xludf.DUMMYFUNCTION("""COMPUTED_VALUE"""),"-")</f>
        <v>-</v>
      </c>
      <c r="G356" t="str">
        <f>IFERROR(__xludf.DUMMYFUNCTION("""COMPUTED_VALUE"""),"-")</f>
        <v>-</v>
      </c>
      <c r="H356" t="str">
        <f>IFERROR(__xludf.DUMMYFUNCTION("""COMPUTED_VALUE"""),"-")</f>
        <v>-</v>
      </c>
      <c r="I356" t="str">
        <f>IFERROR(__xludf.DUMMYFUNCTION("""COMPUTED_VALUE"""),"-")</f>
        <v>-</v>
      </c>
      <c r="J356" t="str">
        <f>IFERROR(__xludf.DUMMYFUNCTION("""COMPUTED_VALUE"""),"-")</f>
        <v>-</v>
      </c>
      <c r="K356" t="str">
        <f>IFERROR(__xludf.DUMMYFUNCTION("""COMPUTED_VALUE"""),"-")</f>
        <v>-</v>
      </c>
      <c r="L356" t="str">
        <f>IFERROR(__xludf.DUMMYFUNCTION("""COMPUTED_VALUE"""),"-")</f>
        <v>-</v>
      </c>
      <c r="M356" t="str">
        <f>IFERROR(__xludf.DUMMYFUNCTION("""COMPUTED_VALUE"""),"-")</f>
        <v>-</v>
      </c>
      <c r="O356" t="str">
        <f>IFERROR(__xludf.DUMMYFUNCTION("""COMPUTED_VALUE"""),"#355")</f>
        <v>#355</v>
      </c>
      <c r="P356" t="str">
        <f>IFERROR(__xludf.DUMMYFUNCTION("""COMPUTED_VALUE"""),"Guillaume De Longeville")</f>
        <v>Guillaume De Longeville</v>
      </c>
      <c r="Q356">
        <f>IFERROR(__xludf.DUMMYFUNCTION("""COMPUTED_VALUE"""),9037.0)</f>
        <v>9037</v>
      </c>
      <c r="R356" t="str">
        <f>IFERROR(__xludf.DUMMYFUNCTION("""COMPUTED_VALUE"""),"-")</f>
        <v>-</v>
      </c>
      <c r="S356" t="str">
        <f>IFERROR(__xludf.DUMMYFUNCTION("""COMPUTED_VALUE"""),"-")</f>
        <v>-</v>
      </c>
      <c r="T356" t="str">
        <f>IFERROR(__xludf.DUMMYFUNCTION("""COMPUTED_VALUE"""),"-")</f>
        <v>-</v>
      </c>
      <c r="U356" t="str">
        <f>IFERROR(__xludf.DUMMYFUNCTION("""COMPUTED_VALUE"""),"-")</f>
        <v>-</v>
      </c>
      <c r="V356" t="str">
        <f>IFERROR(__xludf.DUMMYFUNCTION("""COMPUTED_VALUE"""),"-")</f>
        <v>-</v>
      </c>
      <c r="W356" t="str">
        <f>IFERROR(__xludf.DUMMYFUNCTION("""COMPUTED_VALUE"""),"-")</f>
        <v>-</v>
      </c>
      <c r="X356" t="str">
        <f>IFERROR(__xludf.DUMMYFUNCTION("""COMPUTED_VALUE"""),"-")</f>
        <v>-</v>
      </c>
      <c r="Y356" t="str">
        <f>IFERROR(__xludf.DUMMYFUNCTION("""COMPUTED_VALUE"""),"-")</f>
        <v>-</v>
      </c>
      <c r="Z356" t="str">
        <f>IFERROR(__xludf.DUMMYFUNCTION("""COMPUTED_VALUE"""),"-")</f>
        <v>-</v>
      </c>
      <c r="AA356" t="str">
        <f>IFERROR(__xludf.DUMMYFUNCTION("""COMPUTED_VALUE"""),"-")</f>
        <v>-</v>
      </c>
    </row>
    <row r="357">
      <c r="A357" t="str">
        <f>IFERROR(__xludf.DUMMYFUNCTION("""COMPUTED_VALUE"""),"#356")</f>
        <v>#356</v>
      </c>
      <c r="B357" t="str">
        <f>IFERROR(__xludf.DUMMYFUNCTION("""COMPUTED_VALUE"""),"Charlotte Marchandise-Franquet")</f>
        <v>Charlotte Marchandise-Franquet</v>
      </c>
      <c r="C357">
        <f>IFERROR(__xludf.DUMMYFUNCTION("""COMPUTED_VALUE"""),8987.0)</f>
        <v>8987</v>
      </c>
      <c r="D357" t="str">
        <f>IFERROR(__xludf.DUMMYFUNCTION("""COMPUTED_VALUE"""),"-")</f>
        <v>-</v>
      </c>
      <c r="E357" t="str">
        <f>IFERROR(__xludf.DUMMYFUNCTION("""COMPUTED_VALUE"""),"-")</f>
        <v>-</v>
      </c>
      <c r="F357" t="str">
        <f>IFERROR(__xludf.DUMMYFUNCTION("""COMPUTED_VALUE"""),"-")</f>
        <v>-</v>
      </c>
      <c r="G357" t="str">
        <f>IFERROR(__xludf.DUMMYFUNCTION("""COMPUTED_VALUE"""),"-")</f>
        <v>-</v>
      </c>
      <c r="H357" t="str">
        <f>IFERROR(__xludf.DUMMYFUNCTION("""COMPUTED_VALUE"""),"-")</f>
        <v>-</v>
      </c>
      <c r="I357" t="str">
        <f>IFERROR(__xludf.DUMMYFUNCTION("""COMPUTED_VALUE"""),"-")</f>
        <v>-</v>
      </c>
      <c r="J357" t="str">
        <f>IFERROR(__xludf.DUMMYFUNCTION("""COMPUTED_VALUE"""),"-")</f>
        <v>-</v>
      </c>
      <c r="K357" t="str">
        <f>IFERROR(__xludf.DUMMYFUNCTION("""COMPUTED_VALUE"""),"-")</f>
        <v>-</v>
      </c>
      <c r="L357" t="str">
        <f>IFERROR(__xludf.DUMMYFUNCTION("""COMPUTED_VALUE"""),"-")</f>
        <v>-</v>
      </c>
      <c r="M357" t="str">
        <f>IFERROR(__xludf.DUMMYFUNCTION("""COMPUTED_VALUE"""),"-")</f>
        <v>-</v>
      </c>
      <c r="O357" t="str">
        <f>IFERROR(__xludf.DUMMYFUNCTION("""COMPUTED_VALUE"""),"#356")</f>
        <v>#356</v>
      </c>
      <c r="P357" t="str">
        <f>IFERROR(__xludf.DUMMYFUNCTION("""COMPUTED_VALUE"""),"Charlotte Marchandise-Franquet")</f>
        <v>Charlotte Marchandise-Franquet</v>
      </c>
      <c r="Q357">
        <f>IFERROR(__xludf.DUMMYFUNCTION("""COMPUTED_VALUE"""),8987.0)</f>
        <v>8987</v>
      </c>
      <c r="R357" t="str">
        <f>IFERROR(__xludf.DUMMYFUNCTION("""COMPUTED_VALUE"""),"-")</f>
        <v>-</v>
      </c>
      <c r="S357" t="str">
        <f>IFERROR(__xludf.DUMMYFUNCTION("""COMPUTED_VALUE"""),"-")</f>
        <v>-</v>
      </c>
      <c r="T357" t="str">
        <f>IFERROR(__xludf.DUMMYFUNCTION("""COMPUTED_VALUE"""),"-")</f>
        <v>-</v>
      </c>
      <c r="U357" t="str">
        <f>IFERROR(__xludf.DUMMYFUNCTION("""COMPUTED_VALUE"""),"-")</f>
        <v>-</v>
      </c>
      <c r="V357" t="str">
        <f>IFERROR(__xludf.DUMMYFUNCTION("""COMPUTED_VALUE"""),"-")</f>
        <v>-</v>
      </c>
      <c r="W357" t="str">
        <f>IFERROR(__xludf.DUMMYFUNCTION("""COMPUTED_VALUE"""),"-")</f>
        <v>-</v>
      </c>
      <c r="X357" t="str">
        <f>IFERROR(__xludf.DUMMYFUNCTION("""COMPUTED_VALUE"""),"-")</f>
        <v>-</v>
      </c>
      <c r="Y357" t="str">
        <f>IFERROR(__xludf.DUMMYFUNCTION("""COMPUTED_VALUE"""),"-")</f>
        <v>-</v>
      </c>
      <c r="Z357" t="str">
        <f>IFERROR(__xludf.DUMMYFUNCTION("""COMPUTED_VALUE"""),"-")</f>
        <v>-</v>
      </c>
      <c r="AA357" t="str">
        <f>IFERROR(__xludf.DUMMYFUNCTION("""COMPUTED_VALUE"""),"-")</f>
        <v>-</v>
      </c>
    </row>
    <row r="358">
      <c r="A358" t="str">
        <f>IFERROR(__xludf.DUMMYFUNCTION("""COMPUTED_VALUE"""),"#357")</f>
        <v>#357</v>
      </c>
      <c r="B358" t="str">
        <f>IFERROR(__xludf.DUMMYFUNCTION("""COMPUTED_VALUE"""),"Bruno Lervoire")</f>
        <v>Bruno Lervoire</v>
      </c>
      <c r="C358">
        <f>IFERROR(__xludf.DUMMYFUNCTION("""COMPUTED_VALUE"""),8959.0)</f>
        <v>8959</v>
      </c>
      <c r="D358" t="str">
        <f>IFERROR(__xludf.DUMMYFUNCTION("""COMPUTED_VALUE"""),"-")</f>
        <v>-</v>
      </c>
      <c r="E358" t="str">
        <f>IFERROR(__xludf.DUMMYFUNCTION("""COMPUTED_VALUE"""),"-")</f>
        <v>-</v>
      </c>
      <c r="F358" t="str">
        <f>IFERROR(__xludf.DUMMYFUNCTION("""COMPUTED_VALUE"""),"-")</f>
        <v>-</v>
      </c>
      <c r="G358" t="str">
        <f>IFERROR(__xludf.DUMMYFUNCTION("""COMPUTED_VALUE"""),"-")</f>
        <v>-</v>
      </c>
      <c r="H358" t="str">
        <f>IFERROR(__xludf.DUMMYFUNCTION("""COMPUTED_VALUE"""),"-")</f>
        <v>-</v>
      </c>
      <c r="I358" t="str">
        <f>IFERROR(__xludf.DUMMYFUNCTION("""COMPUTED_VALUE"""),"-")</f>
        <v>-</v>
      </c>
      <c r="J358" t="str">
        <f>IFERROR(__xludf.DUMMYFUNCTION("""COMPUTED_VALUE"""),"-")</f>
        <v>-</v>
      </c>
      <c r="K358" t="str">
        <f>IFERROR(__xludf.DUMMYFUNCTION("""COMPUTED_VALUE"""),"-")</f>
        <v>-</v>
      </c>
      <c r="L358" t="str">
        <f>IFERROR(__xludf.DUMMYFUNCTION("""COMPUTED_VALUE"""),"-")</f>
        <v>-</v>
      </c>
      <c r="M358" t="str">
        <f>IFERROR(__xludf.DUMMYFUNCTION("""COMPUTED_VALUE"""),"-")</f>
        <v>-</v>
      </c>
      <c r="O358" t="str">
        <f>IFERROR(__xludf.DUMMYFUNCTION("""COMPUTED_VALUE"""),"#357")</f>
        <v>#357</v>
      </c>
      <c r="P358" t="str">
        <f>IFERROR(__xludf.DUMMYFUNCTION("""COMPUTED_VALUE"""),"Bruno Lervoire")</f>
        <v>Bruno Lervoire</v>
      </c>
      <c r="Q358">
        <f>IFERROR(__xludf.DUMMYFUNCTION("""COMPUTED_VALUE"""),8959.0)</f>
        <v>8959</v>
      </c>
      <c r="R358" t="str">
        <f>IFERROR(__xludf.DUMMYFUNCTION("""COMPUTED_VALUE"""),"-")</f>
        <v>-</v>
      </c>
      <c r="S358" t="str">
        <f>IFERROR(__xludf.DUMMYFUNCTION("""COMPUTED_VALUE"""),"-")</f>
        <v>-</v>
      </c>
      <c r="T358" t="str">
        <f>IFERROR(__xludf.DUMMYFUNCTION("""COMPUTED_VALUE"""),"-")</f>
        <v>-</v>
      </c>
      <c r="U358" t="str">
        <f>IFERROR(__xludf.DUMMYFUNCTION("""COMPUTED_VALUE"""),"-")</f>
        <v>-</v>
      </c>
      <c r="V358" t="str">
        <f>IFERROR(__xludf.DUMMYFUNCTION("""COMPUTED_VALUE"""),"-")</f>
        <v>-</v>
      </c>
      <c r="W358" t="str">
        <f>IFERROR(__xludf.DUMMYFUNCTION("""COMPUTED_VALUE"""),"-")</f>
        <v>-</v>
      </c>
      <c r="X358" t="str">
        <f>IFERROR(__xludf.DUMMYFUNCTION("""COMPUTED_VALUE"""),"-")</f>
        <v>-</v>
      </c>
      <c r="Y358" t="str">
        <f>IFERROR(__xludf.DUMMYFUNCTION("""COMPUTED_VALUE"""),"-")</f>
        <v>-</v>
      </c>
      <c r="Z358" t="str">
        <f>IFERROR(__xludf.DUMMYFUNCTION("""COMPUTED_VALUE"""),"-")</f>
        <v>-</v>
      </c>
      <c r="AA358" t="str">
        <f>IFERROR(__xludf.DUMMYFUNCTION("""COMPUTED_VALUE"""),"-")</f>
        <v>-</v>
      </c>
    </row>
    <row r="359">
      <c r="A359" t="str">
        <f>IFERROR(__xludf.DUMMYFUNCTION("""COMPUTED_VALUE"""),"#358")</f>
        <v>#358</v>
      </c>
      <c r="B359" t="str">
        <f>IFERROR(__xludf.DUMMYFUNCTION("""COMPUTED_VALUE"""),"Maurice Leroy")</f>
        <v>Maurice Leroy</v>
      </c>
      <c r="C359">
        <f>IFERROR(__xludf.DUMMYFUNCTION("""COMPUTED_VALUE"""),8927.0)</f>
        <v>8927</v>
      </c>
      <c r="D359" t="str">
        <f>IFERROR(__xludf.DUMMYFUNCTION("""COMPUTED_VALUE"""),"-")</f>
        <v>-</v>
      </c>
      <c r="E359" t="str">
        <f>IFERROR(__xludf.DUMMYFUNCTION("""COMPUTED_VALUE"""),"-")</f>
        <v>-</v>
      </c>
      <c r="F359" t="str">
        <f>IFERROR(__xludf.DUMMYFUNCTION("""COMPUTED_VALUE"""),"-")</f>
        <v>-</v>
      </c>
      <c r="G359" t="str">
        <f>IFERROR(__xludf.DUMMYFUNCTION("""COMPUTED_VALUE"""),"-")</f>
        <v>-</v>
      </c>
      <c r="H359" t="str">
        <f>IFERROR(__xludf.DUMMYFUNCTION("""COMPUTED_VALUE"""),"-")</f>
        <v>-</v>
      </c>
      <c r="I359" t="str">
        <f>IFERROR(__xludf.DUMMYFUNCTION("""COMPUTED_VALUE"""),"-")</f>
        <v>-</v>
      </c>
      <c r="J359" t="str">
        <f>IFERROR(__xludf.DUMMYFUNCTION("""COMPUTED_VALUE"""),"-")</f>
        <v>-</v>
      </c>
      <c r="K359" t="str">
        <f>IFERROR(__xludf.DUMMYFUNCTION("""COMPUTED_VALUE"""),"-")</f>
        <v>-</v>
      </c>
      <c r="L359" t="str">
        <f>IFERROR(__xludf.DUMMYFUNCTION("""COMPUTED_VALUE"""),"-")</f>
        <v>-</v>
      </c>
      <c r="M359" t="str">
        <f>IFERROR(__xludf.DUMMYFUNCTION("""COMPUTED_VALUE"""),"-")</f>
        <v>-</v>
      </c>
      <c r="O359" t="str">
        <f>IFERROR(__xludf.DUMMYFUNCTION("""COMPUTED_VALUE"""),"#358")</f>
        <v>#358</v>
      </c>
      <c r="P359" t="str">
        <f>IFERROR(__xludf.DUMMYFUNCTION("""COMPUTED_VALUE"""),"Maurice Leroy")</f>
        <v>Maurice Leroy</v>
      </c>
      <c r="Q359">
        <f>IFERROR(__xludf.DUMMYFUNCTION("""COMPUTED_VALUE"""),8927.0)</f>
        <v>8927</v>
      </c>
      <c r="R359" t="str">
        <f>IFERROR(__xludf.DUMMYFUNCTION("""COMPUTED_VALUE"""),"-")</f>
        <v>-</v>
      </c>
      <c r="S359" t="str">
        <f>IFERROR(__xludf.DUMMYFUNCTION("""COMPUTED_VALUE"""),"-")</f>
        <v>-</v>
      </c>
      <c r="T359" t="str">
        <f>IFERROR(__xludf.DUMMYFUNCTION("""COMPUTED_VALUE"""),"-")</f>
        <v>-</v>
      </c>
      <c r="U359" t="str">
        <f>IFERROR(__xludf.DUMMYFUNCTION("""COMPUTED_VALUE"""),"-")</f>
        <v>-</v>
      </c>
      <c r="V359" t="str">
        <f>IFERROR(__xludf.DUMMYFUNCTION("""COMPUTED_VALUE"""),"-")</f>
        <v>-</v>
      </c>
      <c r="W359" t="str">
        <f>IFERROR(__xludf.DUMMYFUNCTION("""COMPUTED_VALUE"""),"-")</f>
        <v>-</v>
      </c>
      <c r="X359" t="str">
        <f>IFERROR(__xludf.DUMMYFUNCTION("""COMPUTED_VALUE"""),"-")</f>
        <v>-</v>
      </c>
      <c r="Y359" t="str">
        <f>IFERROR(__xludf.DUMMYFUNCTION("""COMPUTED_VALUE"""),"-")</f>
        <v>-</v>
      </c>
      <c r="Z359" t="str">
        <f>IFERROR(__xludf.DUMMYFUNCTION("""COMPUTED_VALUE"""),"-")</f>
        <v>-</v>
      </c>
      <c r="AA359" t="str">
        <f>IFERROR(__xludf.DUMMYFUNCTION("""COMPUTED_VALUE"""),"-")</f>
        <v>-</v>
      </c>
    </row>
    <row r="360">
      <c r="A360" t="str">
        <f>IFERROR(__xludf.DUMMYFUNCTION("""COMPUTED_VALUE"""),"#359")</f>
        <v>#359</v>
      </c>
      <c r="B360" t="str">
        <f>IFERROR(__xludf.DUMMYFUNCTION("""COMPUTED_VALUE"""),"Isabelle Thomas")</f>
        <v>Isabelle Thomas</v>
      </c>
      <c r="C360">
        <f>IFERROR(__xludf.DUMMYFUNCTION("""COMPUTED_VALUE"""),8897.0)</f>
        <v>8897</v>
      </c>
      <c r="D360" t="str">
        <f>IFERROR(__xludf.DUMMYFUNCTION("""COMPUTED_VALUE"""),"-")</f>
        <v>-</v>
      </c>
      <c r="E360" t="str">
        <f>IFERROR(__xludf.DUMMYFUNCTION("""COMPUTED_VALUE"""),"-")</f>
        <v>-</v>
      </c>
      <c r="F360" t="str">
        <f>IFERROR(__xludf.DUMMYFUNCTION("""COMPUTED_VALUE"""),"-")</f>
        <v>-</v>
      </c>
      <c r="G360" t="str">
        <f>IFERROR(__xludf.DUMMYFUNCTION("""COMPUTED_VALUE"""),"-")</f>
        <v>-</v>
      </c>
      <c r="H360" t="str">
        <f>IFERROR(__xludf.DUMMYFUNCTION("""COMPUTED_VALUE"""),"-")</f>
        <v>-</v>
      </c>
      <c r="I360" t="str">
        <f>IFERROR(__xludf.DUMMYFUNCTION("""COMPUTED_VALUE"""),"-")</f>
        <v>-</v>
      </c>
      <c r="J360" t="str">
        <f>IFERROR(__xludf.DUMMYFUNCTION("""COMPUTED_VALUE"""),"-")</f>
        <v>-</v>
      </c>
      <c r="K360" t="str">
        <f>IFERROR(__xludf.DUMMYFUNCTION("""COMPUTED_VALUE"""),"-")</f>
        <v>-</v>
      </c>
      <c r="L360" t="str">
        <f>IFERROR(__xludf.DUMMYFUNCTION("""COMPUTED_VALUE"""),"-")</f>
        <v>-</v>
      </c>
      <c r="M360" t="str">
        <f>IFERROR(__xludf.DUMMYFUNCTION("""COMPUTED_VALUE"""),"-")</f>
        <v>-</v>
      </c>
      <c r="O360" t="str">
        <f>IFERROR(__xludf.DUMMYFUNCTION("""COMPUTED_VALUE"""),"#359")</f>
        <v>#359</v>
      </c>
      <c r="P360" t="str">
        <f>IFERROR(__xludf.DUMMYFUNCTION("""COMPUTED_VALUE"""),"Isabelle Thomas")</f>
        <v>Isabelle Thomas</v>
      </c>
      <c r="Q360">
        <f>IFERROR(__xludf.DUMMYFUNCTION("""COMPUTED_VALUE"""),8897.0)</f>
        <v>8897</v>
      </c>
      <c r="R360" t="str">
        <f>IFERROR(__xludf.DUMMYFUNCTION("""COMPUTED_VALUE"""),"-")</f>
        <v>-</v>
      </c>
      <c r="S360" t="str">
        <f>IFERROR(__xludf.DUMMYFUNCTION("""COMPUTED_VALUE"""),"-")</f>
        <v>-</v>
      </c>
      <c r="T360" t="str">
        <f>IFERROR(__xludf.DUMMYFUNCTION("""COMPUTED_VALUE"""),"-")</f>
        <v>-</v>
      </c>
      <c r="U360" t="str">
        <f>IFERROR(__xludf.DUMMYFUNCTION("""COMPUTED_VALUE"""),"-")</f>
        <v>-</v>
      </c>
      <c r="V360" t="str">
        <f>IFERROR(__xludf.DUMMYFUNCTION("""COMPUTED_VALUE"""),"-")</f>
        <v>-</v>
      </c>
      <c r="W360" t="str">
        <f>IFERROR(__xludf.DUMMYFUNCTION("""COMPUTED_VALUE"""),"-")</f>
        <v>-</v>
      </c>
      <c r="X360" t="str">
        <f>IFERROR(__xludf.DUMMYFUNCTION("""COMPUTED_VALUE"""),"-")</f>
        <v>-</v>
      </c>
      <c r="Y360" t="str">
        <f>IFERROR(__xludf.DUMMYFUNCTION("""COMPUTED_VALUE"""),"-")</f>
        <v>-</v>
      </c>
      <c r="Z360" t="str">
        <f>IFERROR(__xludf.DUMMYFUNCTION("""COMPUTED_VALUE"""),"-")</f>
        <v>-</v>
      </c>
      <c r="AA360" t="str">
        <f>IFERROR(__xludf.DUMMYFUNCTION("""COMPUTED_VALUE"""),"-")</f>
        <v>-</v>
      </c>
    </row>
    <row r="361">
      <c r="A361" t="str">
        <f>IFERROR(__xludf.DUMMYFUNCTION("""COMPUTED_VALUE"""),"#360")</f>
        <v>#360</v>
      </c>
      <c r="B361" t="str">
        <f>IFERROR(__xludf.DUMMYFUNCTION("""COMPUTED_VALUE"""),"Antoine Mellies")</f>
        <v>Antoine Mellies</v>
      </c>
      <c r="C361">
        <f>IFERROR(__xludf.DUMMYFUNCTION("""COMPUTED_VALUE"""),8780.0)</f>
        <v>8780</v>
      </c>
      <c r="D361" t="str">
        <f>IFERROR(__xludf.DUMMYFUNCTION("""COMPUTED_VALUE"""),"-")</f>
        <v>-</v>
      </c>
      <c r="E361" t="str">
        <f>IFERROR(__xludf.DUMMYFUNCTION("""COMPUTED_VALUE"""),"-")</f>
        <v>-</v>
      </c>
      <c r="F361" t="str">
        <f>IFERROR(__xludf.DUMMYFUNCTION("""COMPUTED_VALUE"""),"-")</f>
        <v>-</v>
      </c>
      <c r="G361" t="str">
        <f>IFERROR(__xludf.DUMMYFUNCTION("""COMPUTED_VALUE"""),"-")</f>
        <v>-</v>
      </c>
      <c r="H361" t="str">
        <f>IFERROR(__xludf.DUMMYFUNCTION("""COMPUTED_VALUE"""),"-")</f>
        <v>-</v>
      </c>
      <c r="I361" t="str">
        <f>IFERROR(__xludf.DUMMYFUNCTION("""COMPUTED_VALUE"""),"-")</f>
        <v>-</v>
      </c>
      <c r="J361" t="str">
        <f>IFERROR(__xludf.DUMMYFUNCTION("""COMPUTED_VALUE"""),"-")</f>
        <v>-</v>
      </c>
      <c r="K361" t="str">
        <f>IFERROR(__xludf.DUMMYFUNCTION("""COMPUTED_VALUE"""),"-")</f>
        <v>-</v>
      </c>
      <c r="L361" t="str">
        <f>IFERROR(__xludf.DUMMYFUNCTION("""COMPUTED_VALUE"""),"-")</f>
        <v>-</v>
      </c>
      <c r="M361" t="str">
        <f>IFERROR(__xludf.DUMMYFUNCTION("""COMPUTED_VALUE"""),"-")</f>
        <v>-</v>
      </c>
      <c r="O361" t="str">
        <f>IFERROR(__xludf.DUMMYFUNCTION("""COMPUTED_VALUE"""),"#360")</f>
        <v>#360</v>
      </c>
      <c r="P361" t="str">
        <f>IFERROR(__xludf.DUMMYFUNCTION("""COMPUTED_VALUE"""),"Antoine Mellies")</f>
        <v>Antoine Mellies</v>
      </c>
      <c r="Q361">
        <f>IFERROR(__xludf.DUMMYFUNCTION("""COMPUTED_VALUE"""),8780.0)</f>
        <v>8780</v>
      </c>
      <c r="R361" t="str">
        <f>IFERROR(__xludf.DUMMYFUNCTION("""COMPUTED_VALUE"""),"-")</f>
        <v>-</v>
      </c>
      <c r="S361" t="str">
        <f>IFERROR(__xludf.DUMMYFUNCTION("""COMPUTED_VALUE"""),"-")</f>
        <v>-</v>
      </c>
      <c r="T361" t="str">
        <f>IFERROR(__xludf.DUMMYFUNCTION("""COMPUTED_VALUE"""),"-")</f>
        <v>-</v>
      </c>
      <c r="U361" t="str">
        <f>IFERROR(__xludf.DUMMYFUNCTION("""COMPUTED_VALUE"""),"-")</f>
        <v>-</v>
      </c>
      <c r="V361" t="str">
        <f>IFERROR(__xludf.DUMMYFUNCTION("""COMPUTED_VALUE"""),"-")</f>
        <v>-</v>
      </c>
      <c r="W361" t="str">
        <f>IFERROR(__xludf.DUMMYFUNCTION("""COMPUTED_VALUE"""),"-")</f>
        <v>-</v>
      </c>
      <c r="X361" t="str">
        <f>IFERROR(__xludf.DUMMYFUNCTION("""COMPUTED_VALUE"""),"-")</f>
        <v>-</v>
      </c>
      <c r="Y361" t="str">
        <f>IFERROR(__xludf.DUMMYFUNCTION("""COMPUTED_VALUE"""),"-")</f>
        <v>-</v>
      </c>
      <c r="Z361" t="str">
        <f>IFERROR(__xludf.DUMMYFUNCTION("""COMPUTED_VALUE"""),"-")</f>
        <v>-</v>
      </c>
      <c r="AA361" t="str">
        <f>IFERROR(__xludf.DUMMYFUNCTION("""COMPUTED_VALUE"""),"-")</f>
        <v>-</v>
      </c>
    </row>
    <row r="362">
      <c r="A362" t="str">
        <f>IFERROR(__xludf.DUMMYFUNCTION("""COMPUTED_VALUE"""),"#361")</f>
        <v>#361</v>
      </c>
      <c r="B362" t="str">
        <f>IFERROR(__xludf.DUMMYFUNCTION("""COMPUTED_VALUE"""),"Matthias Tavel")</f>
        <v>Matthias Tavel</v>
      </c>
      <c r="C362">
        <f>IFERROR(__xludf.DUMMYFUNCTION("""COMPUTED_VALUE"""),8747.0)</f>
        <v>8747</v>
      </c>
      <c r="D362" t="str">
        <f>IFERROR(__xludf.DUMMYFUNCTION("""COMPUTED_VALUE"""),"-")</f>
        <v>-</v>
      </c>
      <c r="E362" t="str">
        <f>IFERROR(__xludf.DUMMYFUNCTION("""COMPUTED_VALUE"""),"-")</f>
        <v>-</v>
      </c>
      <c r="F362" t="str">
        <f>IFERROR(__xludf.DUMMYFUNCTION("""COMPUTED_VALUE"""),"-")</f>
        <v>-</v>
      </c>
      <c r="G362" t="str">
        <f>IFERROR(__xludf.DUMMYFUNCTION("""COMPUTED_VALUE"""),"-")</f>
        <v>-</v>
      </c>
      <c r="H362" t="str">
        <f>IFERROR(__xludf.DUMMYFUNCTION("""COMPUTED_VALUE"""),"-")</f>
        <v>-</v>
      </c>
      <c r="I362" t="str">
        <f>IFERROR(__xludf.DUMMYFUNCTION("""COMPUTED_VALUE"""),"-")</f>
        <v>-</v>
      </c>
      <c r="J362" t="str">
        <f>IFERROR(__xludf.DUMMYFUNCTION("""COMPUTED_VALUE"""),"-")</f>
        <v>-</v>
      </c>
      <c r="K362" t="str">
        <f>IFERROR(__xludf.DUMMYFUNCTION("""COMPUTED_VALUE"""),"-")</f>
        <v>-</v>
      </c>
      <c r="L362" t="str">
        <f>IFERROR(__xludf.DUMMYFUNCTION("""COMPUTED_VALUE"""),"-")</f>
        <v>-</v>
      </c>
      <c r="M362" t="str">
        <f>IFERROR(__xludf.DUMMYFUNCTION("""COMPUTED_VALUE"""),"-")</f>
        <v>-</v>
      </c>
      <c r="O362" t="str">
        <f>IFERROR(__xludf.DUMMYFUNCTION("""COMPUTED_VALUE"""),"#361")</f>
        <v>#361</v>
      </c>
      <c r="P362" t="str">
        <f>IFERROR(__xludf.DUMMYFUNCTION("""COMPUTED_VALUE"""),"Matthias Tavel")</f>
        <v>Matthias Tavel</v>
      </c>
      <c r="Q362">
        <f>IFERROR(__xludf.DUMMYFUNCTION("""COMPUTED_VALUE"""),8747.0)</f>
        <v>8747</v>
      </c>
      <c r="R362" t="str">
        <f>IFERROR(__xludf.DUMMYFUNCTION("""COMPUTED_VALUE"""),"-")</f>
        <v>-</v>
      </c>
      <c r="S362" t="str">
        <f>IFERROR(__xludf.DUMMYFUNCTION("""COMPUTED_VALUE"""),"-")</f>
        <v>-</v>
      </c>
      <c r="T362" t="str">
        <f>IFERROR(__xludf.DUMMYFUNCTION("""COMPUTED_VALUE"""),"-")</f>
        <v>-</v>
      </c>
      <c r="U362" t="str">
        <f>IFERROR(__xludf.DUMMYFUNCTION("""COMPUTED_VALUE"""),"-")</f>
        <v>-</v>
      </c>
      <c r="V362" t="str">
        <f>IFERROR(__xludf.DUMMYFUNCTION("""COMPUTED_VALUE"""),"-")</f>
        <v>-</v>
      </c>
      <c r="W362" t="str">
        <f>IFERROR(__xludf.DUMMYFUNCTION("""COMPUTED_VALUE"""),"-")</f>
        <v>-</v>
      </c>
      <c r="X362" t="str">
        <f>IFERROR(__xludf.DUMMYFUNCTION("""COMPUTED_VALUE"""),"-")</f>
        <v>-</v>
      </c>
      <c r="Y362" t="str">
        <f>IFERROR(__xludf.DUMMYFUNCTION("""COMPUTED_VALUE"""),"-")</f>
        <v>-</v>
      </c>
      <c r="Z362" t="str">
        <f>IFERROR(__xludf.DUMMYFUNCTION("""COMPUTED_VALUE"""),"-")</f>
        <v>-</v>
      </c>
      <c r="AA362" t="str">
        <f>IFERROR(__xludf.DUMMYFUNCTION("""COMPUTED_VALUE"""),"-")</f>
        <v>-</v>
      </c>
    </row>
    <row r="363">
      <c r="A363" t="str">
        <f>IFERROR(__xludf.DUMMYFUNCTION("""COMPUTED_VALUE"""),"#362")</f>
        <v>#362</v>
      </c>
      <c r="B363" t="str">
        <f>IFERROR(__xludf.DUMMYFUNCTION("""COMPUTED_VALUE"""),"Carine Petit")</f>
        <v>Carine Petit</v>
      </c>
      <c r="C363">
        <f>IFERROR(__xludf.DUMMYFUNCTION("""COMPUTED_VALUE"""),8743.0)</f>
        <v>8743</v>
      </c>
      <c r="D363" t="str">
        <f>IFERROR(__xludf.DUMMYFUNCTION("""COMPUTED_VALUE"""),"-")</f>
        <v>-</v>
      </c>
      <c r="E363" t="str">
        <f>IFERROR(__xludf.DUMMYFUNCTION("""COMPUTED_VALUE"""),"-")</f>
        <v>-</v>
      </c>
      <c r="F363" t="str">
        <f>IFERROR(__xludf.DUMMYFUNCTION("""COMPUTED_VALUE"""),"-")</f>
        <v>-</v>
      </c>
      <c r="G363" t="str">
        <f>IFERROR(__xludf.DUMMYFUNCTION("""COMPUTED_VALUE"""),"-")</f>
        <v>-</v>
      </c>
      <c r="H363" t="str">
        <f>IFERROR(__xludf.DUMMYFUNCTION("""COMPUTED_VALUE"""),"-")</f>
        <v>-</v>
      </c>
      <c r="I363" t="str">
        <f>IFERROR(__xludf.DUMMYFUNCTION("""COMPUTED_VALUE"""),"-")</f>
        <v>-</v>
      </c>
      <c r="J363" t="str">
        <f>IFERROR(__xludf.DUMMYFUNCTION("""COMPUTED_VALUE"""),"-")</f>
        <v>-</v>
      </c>
      <c r="K363" t="str">
        <f>IFERROR(__xludf.DUMMYFUNCTION("""COMPUTED_VALUE"""),"-")</f>
        <v>-</v>
      </c>
      <c r="L363" t="str">
        <f>IFERROR(__xludf.DUMMYFUNCTION("""COMPUTED_VALUE"""),"-")</f>
        <v>-</v>
      </c>
      <c r="M363" t="str">
        <f>IFERROR(__xludf.DUMMYFUNCTION("""COMPUTED_VALUE"""),"-")</f>
        <v>-</v>
      </c>
      <c r="O363" t="str">
        <f>IFERROR(__xludf.DUMMYFUNCTION("""COMPUTED_VALUE"""),"#362")</f>
        <v>#362</v>
      </c>
      <c r="P363" t="str">
        <f>IFERROR(__xludf.DUMMYFUNCTION("""COMPUTED_VALUE"""),"Carine Petit")</f>
        <v>Carine Petit</v>
      </c>
      <c r="Q363">
        <f>IFERROR(__xludf.DUMMYFUNCTION("""COMPUTED_VALUE"""),8743.0)</f>
        <v>8743</v>
      </c>
      <c r="R363" t="str">
        <f>IFERROR(__xludf.DUMMYFUNCTION("""COMPUTED_VALUE"""),"-")</f>
        <v>-</v>
      </c>
      <c r="S363" t="str">
        <f>IFERROR(__xludf.DUMMYFUNCTION("""COMPUTED_VALUE"""),"-")</f>
        <v>-</v>
      </c>
      <c r="T363" t="str">
        <f>IFERROR(__xludf.DUMMYFUNCTION("""COMPUTED_VALUE"""),"-")</f>
        <v>-</v>
      </c>
      <c r="U363" t="str">
        <f>IFERROR(__xludf.DUMMYFUNCTION("""COMPUTED_VALUE"""),"-")</f>
        <v>-</v>
      </c>
      <c r="V363" t="str">
        <f>IFERROR(__xludf.DUMMYFUNCTION("""COMPUTED_VALUE"""),"-")</f>
        <v>-</v>
      </c>
      <c r="W363" t="str">
        <f>IFERROR(__xludf.DUMMYFUNCTION("""COMPUTED_VALUE"""),"-")</f>
        <v>-</v>
      </c>
      <c r="X363" t="str">
        <f>IFERROR(__xludf.DUMMYFUNCTION("""COMPUTED_VALUE"""),"-")</f>
        <v>-</v>
      </c>
      <c r="Y363" t="str">
        <f>IFERROR(__xludf.DUMMYFUNCTION("""COMPUTED_VALUE"""),"-")</f>
        <v>-</v>
      </c>
      <c r="Z363" t="str">
        <f>IFERROR(__xludf.DUMMYFUNCTION("""COMPUTED_VALUE"""),"-")</f>
        <v>-</v>
      </c>
      <c r="AA363" t="str">
        <f>IFERROR(__xludf.DUMMYFUNCTION("""COMPUTED_VALUE"""),"-")</f>
        <v>-</v>
      </c>
    </row>
    <row r="364">
      <c r="A364" t="str">
        <f>IFERROR(__xludf.DUMMYFUNCTION("""COMPUTED_VALUE"""),"#363")</f>
        <v>#363</v>
      </c>
      <c r="B364" t="str">
        <f>IFERROR(__xludf.DUMMYFUNCTION("""COMPUTED_VALUE"""),"François Durovray")</f>
        <v>François Durovray</v>
      </c>
      <c r="C364">
        <f>IFERROR(__xludf.DUMMYFUNCTION("""COMPUTED_VALUE"""),8696.0)</f>
        <v>8696</v>
      </c>
      <c r="D364" t="str">
        <f>IFERROR(__xludf.DUMMYFUNCTION("""COMPUTED_VALUE"""),"-")</f>
        <v>-</v>
      </c>
      <c r="E364" t="str">
        <f>IFERROR(__xludf.DUMMYFUNCTION("""COMPUTED_VALUE"""),"-")</f>
        <v>-</v>
      </c>
      <c r="F364" t="str">
        <f>IFERROR(__xludf.DUMMYFUNCTION("""COMPUTED_VALUE"""),"-")</f>
        <v>-</v>
      </c>
      <c r="G364" t="str">
        <f>IFERROR(__xludf.DUMMYFUNCTION("""COMPUTED_VALUE"""),"-")</f>
        <v>-</v>
      </c>
      <c r="H364" t="str">
        <f>IFERROR(__xludf.DUMMYFUNCTION("""COMPUTED_VALUE"""),"-")</f>
        <v>-</v>
      </c>
      <c r="I364" t="str">
        <f>IFERROR(__xludf.DUMMYFUNCTION("""COMPUTED_VALUE"""),"-")</f>
        <v>-</v>
      </c>
      <c r="J364" t="str">
        <f>IFERROR(__xludf.DUMMYFUNCTION("""COMPUTED_VALUE"""),"-")</f>
        <v>-</v>
      </c>
      <c r="K364" t="str">
        <f>IFERROR(__xludf.DUMMYFUNCTION("""COMPUTED_VALUE"""),"-")</f>
        <v>-</v>
      </c>
      <c r="L364" t="str">
        <f>IFERROR(__xludf.DUMMYFUNCTION("""COMPUTED_VALUE"""),"-")</f>
        <v>-</v>
      </c>
      <c r="M364" t="str">
        <f>IFERROR(__xludf.DUMMYFUNCTION("""COMPUTED_VALUE"""),"-")</f>
        <v>-</v>
      </c>
      <c r="O364" t="str">
        <f>IFERROR(__xludf.DUMMYFUNCTION("""COMPUTED_VALUE"""),"#363")</f>
        <v>#363</v>
      </c>
      <c r="P364" t="str">
        <f>IFERROR(__xludf.DUMMYFUNCTION("""COMPUTED_VALUE"""),"François Durovray")</f>
        <v>François Durovray</v>
      </c>
      <c r="Q364">
        <f>IFERROR(__xludf.DUMMYFUNCTION("""COMPUTED_VALUE"""),8696.0)</f>
        <v>8696</v>
      </c>
      <c r="R364" t="str">
        <f>IFERROR(__xludf.DUMMYFUNCTION("""COMPUTED_VALUE"""),"-")</f>
        <v>-</v>
      </c>
      <c r="S364" t="str">
        <f>IFERROR(__xludf.DUMMYFUNCTION("""COMPUTED_VALUE"""),"-")</f>
        <v>-</v>
      </c>
      <c r="T364" t="str">
        <f>IFERROR(__xludf.DUMMYFUNCTION("""COMPUTED_VALUE"""),"-")</f>
        <v>-</v>
      </c>
      <c r="U364" t="str">
        <f>IFERROR(__xludf.DUMMYFUNCTION("""COMPUTED_VALUE"""),"-")</f>
        <v>-</v>
      </c>
      <c r="V364" t="str">
        <f>IFERROR(__xludf.DUMMYFUNCTION("""COMPUTED_VALUE"""),"-")</f>
        <v>-</v>
      </c>
      <c r="W364" t="str">
        <f>IFERROR(__xludf.DUMMYFUNCTION("""COMPUTED_VALUE"""),"-")</f>
        <v>-</v>
      </c>
      <c r="X364" t="str">
        <f>IFERROR(__xludf.DUMMYFUNCTION("""COMPUTED_VALUE"""),"-")</f>
        <v>-</v>
      </c>
      <c r="Y364" t="str">
        <f>IFERROR(__xludf.DUMMYFUNCTION("""COMPUTED_VALUE"""),"-")</f>
        <v>-</v>
      </c>
      <c r="Z364" t="str">
        <f>IFERROR(__xludf.DUMMYFUNCTION("""COMPUTED_VALUE"""),"-")</f>
        <v>-</v>
      </c>
      <c r="AA364" t="str">
        <f>IFERROR(__xludf.DUMMYFUNCTION("""COMPUTED_VALUE"""),"-")</f>
        <v>-</v>
      </c>
    </row>
    <row r="365">
      <c r="A365" t="str">
        <f>IFERROR(__xludf.DUMMYFUNCTION("""COMPUTED_VALUE"""),"#364")</f>
        <v>#364</v>
      </c>
      <c r="B365" t="str">
        <f>IFERROR(__xludf.DUMMYFUNCTION("""COMPUTED_VALUE"""),"Hélène Geoffroy")</f>
        <v>Hélène Geoffroy</v>
      </c>
      <c r="C365">
        <f>IFERROR(__xludf.DUMMYFUNCTION("""COMPUTED_VALUE"""),8690.0)</f>
        <v>8690</v>
      </c>
      <c r="D365" t="str">
        <f>IFERROR(__xludf.DUMMYFUNCTION("""COMPUTED_VALUE"""),"-")</f>
        <v>-</v>
      </c>
      <c r="E365" t="str">
        <f>IFERROR(__xludf.DUMMYFUNCTION("""COMPUTED_VALUE"""),"-")</f>
        <v>-</v>
      </c>
      <c r="F365" t="str">
        <f>IFERROR(__xludf.DUMMYFUNCTION("""COMPUTED_VALUE"""),"-")</f>
        <v>-</v>
      </c>
      <c r="G365" t="str">
        <f>IFERROR(__xludf.DUMMYFUNCTION("""COMPUTED_VALUE"""),"-")</f>
        <v>-</v>
      </c>
      <c r="H365" t="str">
        <f>IFERROR(__xludf.DUMMYFUNCTION("""COMPUTED_VALUE"""),"-")</f>
        <v>-</v>
      </c>
      <c r="I365" t="str">
        <f>IFERROR(__xludf.DUMMYFUNCTION("""COMPUTED_VALUE"""),"-")</f>
        <v>-</v>
      </c>
      <c r="J365" t="str">
        <f>IFERROR(__xludf.DUMMYFUNCTION("""COMPUTED_VALUE"""),"-")</f>
        <v>-</v>
      </c>
      <c r="K365" t="str">
        <f>IFERROR(__xludf.DUMMYFUNCTION("""COMPUTED_VALUE"""),"-")</f>
        <v>-</v>
      </c>
      <c r="L365" t="str">
        <f>IFERROR(__xludf.DUMMYFUNCTION("""COMPUTED_VALUE"""),"-")</f>
        <v>-</v>
      </c>
      <c r="M365" t="str">
        <f>IFERROR(__xludf.DUMMYFUNCTION("""COMPUTED_VALUE"""),"-")</f>
        <v>-</v>
      </c>
      <c r="O365" t="str">
        <f>IFERROR(__xludf.DUMMYFUNCTION("""COMPUTED_VALUE"""),"#364")</f>
        <v>#364</v>
      </c>
      <c r="P365" t="str">
        <f>IFERROR(__xludf.DUMMYFUNCTION("""COMPUTED_VALUE"""),"Hélène Geoffroy")</f>
        <v>Hélène Geoffroy</v>
      </c>
      <c r="Q365">
        <f>IFERROR(__xludf.DUMMYFUNCTION("""COMPUTED_VALUE"""),8690.0)</f>
        <v>8690</v>
      </c>
      <c r="R365" t="str">
        <f>IFERROR(__xludf.DUMMYFUNCTION("""COMPUTED_VALUE"""),"-")</f>
        <v>-</v>
      </c>
      <c r="S365" t="str">
        <f>IFERROR(__xludf.DUMMYFUNCTION("""COMPUTED_VALUE"""),"-")</f>
        <v>-</v>
      </c>
      <c r="T365" t="str">
        <f>IFERROR(__xludf.DUMMYFUNCTION("""COMPUTED_VALUE"""),"-")</f>
        <v>-</v>
      </c>
      <c r="U365" t="str">
        <f>IFERROR(__xludf.DUMMYFUNCTION("""COMPUTED_VALUE"""),"-")</f>
        <v>-</v>
      </c>
      <c r="V365" t="str">
        <f>IFERROR(__xludf.DUMMYFUNCTION("""COMPUTED_VALUE"""),"-")</f>
        <v>-</v>
      </c>
      <c r="W365" t="str">
        <f>IFERROR(__xludf.DUMMYFUNCTION("""COMPUTED_VALUE"""),"-")</f>
        <v>-</v>
      </c>
      <c r="X365" t="str">
        <f>IFERROR(__xludf.DUMMYFUNCTION("""COMPUTED_VALUE"""),"-")</f>
        <v>-</v>
      </c>
      <c r="Y365" t="str">
        <f>IFERROR(__xludf.DUMMYFUNCTION("""COMPUTED_VALUE"""),"-")</f>
        <v>-</v>
      </c>
      <c r="Z365" t="str">
        <f>IFERROR(__xludf.DUMMYFUNCTION("""COMPUTED_VALUE"""),"-")</f>
        <v>-</v>
      </c>
      <c r="AA365" t="str">
        <f>IFERROR(__xludf.DUMMYFUNCTION("""COMPUTED_VALUE"""),"-")</f>
        <v>-</v>
      </c>
    </row>
    <row r="366">
      <c r="A366" t="str">
        <f>IFERROR(__xludf.DUMMYFUNCTION("""COMPUTED_VALUE"""),"#365")</f>
        <v>#365</v>
      </c>
      <c r="B366" t="str">
        <f>IFERROR(__xludf.DUMMYFUNCTION("""COMPUTED_VALUE"""),"Frédéric Boccaletti")</f>
        <v>Frédéric Boccaletti</v>
      </c>
      <c r="C366">
        <f>IFERROR(__xludf.DUMMYFUNCTION("""COMPUTED_VALUE"""),8678.0)</f>
        <v>8678</v>
      </c>
      <c r="D366" t="str">
        <f>IFERROR(__xludf.DUMMYFUNCTION("""COMPUTED_VALUE"""),"-")</f>
        <v>-</v>
      </c>
      <c r="E366" t="str">
        <f>IFERROR(__xludf.DUMMYFUNCTION("""COMPUTED_VALUE"""),"-")</f>
        <v>-</v>
      </c>
      <c r="F366" t="str">
        <f>IFERROR(__xludf.DUMMYFUNCTION("""COMPUTED_VALUE"""),"-")</f>
        <v>-</v>
      </c>
      <c r="G366" t="str">
        <f>IFERROR(__xludf.DUMMYFUNCTION("""COMPUTED_VALUE"""),"-")</f>
        <v>-</v>
      </c>
      <c r="H366" t="str">
        <f>IFERROR(__xludf.DUMMYFUNCTION("""COMPUTED_VALUE"""),"-")</f>
        <v>-</v>
      </c>
      <c r="I366" t="str">
        <f>IFERROR(__xludf.DUMMYFUNCTION("""COMPUTED_VALUE"""),"-")</f>
        <v>-</v>
      </c>
      <c r="J366" t="str">
        <f>IFERROR(__xludf.DUMMYFUNCTION("""COMPUTED_VALUE"""),"-")</f>
        <v>-</v>
      </c>
      <c r="K366" t="str">
        <f>IFERROR(__xludf.DUMMYFUNCTION("""COMPUTED_VALUE"""),"-")</f>
        <v>-</v>
      </c>
      <c r="L366" t="str">
        <f>IFERROR(__xludf.DUMMYFUNCTION("""COMPUTED_VALUE"""),"-")</f>
        <v>-</v>
      </c>
      <c r="M366" t="str">
        <f>IFERROR(__xludf.DUMMYFUNCTION("""COMPUTED_VALUE"""),"-")</f>
        <v>-</v>
      </c>
      <c r="O366" t="str">
        <f>IFERROR(__xludf.DUMMYFUNCTION("""COMPUTED_VALUE"""),"#365")</f>
        <v>#365</v>
      </c>
      <c r="P366" t="str">
        <f>IFERROR(__xludf.DUMMYFUNCTION("""COMPUTED_VALUE"""),"Frédéric Boccaletti")</f>
        <v>Frédéric Boccaletti</v>
      </c>
      <c r="Q366">
        <f>IFERROR(__xludf.DUMMYFUNCTION("""COMPUTED_VALUE"""),8678.0)</f>
        <v>8678</v>
      </c>
      <c r="R366" t="str">
        <f>IFERROR(__xludf.DUMMYFUNCTION("""COMPUTED_VALUE"""),"-")</f>
        <v>-</v>
      </c>
      <c r="S366" t="str">
        <f>IFERROR(__xludf.DUMMYFUNCTION("""COMPUTED_VALUE"""),"-")</f>
        <v>-</v>
      </c>
      <c r="T366" t="str">
        <f>IFERROR(__xludf.DUMMYFUNCTION("""COMPUTED_VALUE"""),"-")</f>
        <v>-</v>
      </c>
      <c r="U366" t="str">
        <f>IFERROR(__xludf.DUMMYFUNCTION("""COMPUTED_VALUE"""),"-")</f>
        <v>-</v>
      </c>
      <c r="V366" t="str">
        <f>IFERROR(__xludf.DUMMYFUNCTION("""COMPUTED_VALUE"""),"-")</f>
        <v>-</v>
      </c>
      <c r="W366" t="str">
        <f>IFERROR(__xludf.DUMMYFUNCTION("""COMPUTED_VALUE"""),"-")</f>
        <v>-</v>
      </c>
      <c r="X366" t="str">
        <f>IFERROR(__xludf.DUMMYFUNCTION("""COMPUTED_VALUE"""),"-")</f>
        <v>-</v>
      </c>
      <c r="Y366" t="str">
        <f>IFERROR(__xludf.DUMMYFUNCTION("""COMPUTED_VALUE"""),"-")</f>
        <v>-</v>
      </c>
      <c r="Z366" t="str">
        <f>IFERROR(__xludf.DUMMYFUNCTION("""COMPUTED_VALUE"""),"-")</f>
        <v>-</v>
      </c>
      <c r="AA366" t="str">
        <f>IFERROR(__xludf.DUMMYFUNCTION("""COMPUTED_VALUE"""),"-")</f>
        <v>-</v>
      </c>
    </row>
    <row r="367">
      <c r="A367" t="str">
        <f>IFERROR(__xludf.DUMMYFUNCTION("""COMPUTED_VALUE"""),"#366")</f>
        <v>#366</v>
      </c>
      <c r="B367" t="str">
        <f>IFERROR(__xludf.DUMMYFUNCTION("""COMPUTED_VALUE"""),"Caroline Pozmentier-Sportich")</f>
        <v>Caroline Pozmentier-Sportich</v>
      </c>
      <c r="C367">
        <f>IFERROR(__xludf.DUMMYFUNCTION("""COMPUTED_VALUE"""),8665.0)</f>
        <v>8665</v>
      </c>
      <c r="D367" t="str">
        <f>IFERROR(__xludf.DUMMYFUNCTION("""COMPUTED_VALUE"""),"-")</f>
        <v>-</v>
      </c>
      <c r="E367" t="str">
        <f>IFERROR(__xludf.DUMMYFUNCTION("""COMPUTED_VALUE"""),"-")</f>
        <v>-</v>
      </c>
      <c r="F367" t="str">
        <f>IFERROR(__xludf.DUMMYFUNCTION("""COMPUTED_VALUE"""),"-")</f>
        <v>-</v>
      </c>
      <c r="G367" t="str">
        <f>IFERROR(__xludf.DUMMYFUNCTION("""COMPUTED_VALUE"""),"-")</f>
        <v>-</v>
      </c>
      <c r="H367" t="str">
        <f>IFERROR(__xludf.DUMMYFUNCTION("""COMPUTED_VALUE"""),"-")</f>
        <v>-</v>
      </c>
      <c r="I367" t="str">
        <f>IFERROR(__xludf.DUMMYFUNCTION("""COMPUTED_VALUE"""),"-")</f>
        <v>-</v>
      </c>
      <c r="J367" t="str">
        <f>IFERROR(__xludf.DUMMYFUNCTION("""COMPUTED_VALUE"""),"-")</f>
        <v>-</v>
      </c>
      <c r="K367" t="str">
        <f>IFERROR(__xludf.DUMMYFUNCTION("""COMPUTED_VALUE"""),"-")</f>
        <v>-</v>
      </c>
      <c r="L367" t="str">
        <f>IFERROR(__xludf.DUMMYFUNCTION("""COMPUTED_VALUE"""),"-")</f>
        <v>-</v>
      </c>
      <c r="M367" t="str">
        <f>IFERROR(__xludf.DUMMYFUNCTION("""COMPUTED_VALUE"""),"-")</f>
        <v>-</v>
      </c>
      <c r="O367" t="str">
        <f>IFERROR(__xludf.DUMMYFUNCTION("""COMPUTED_VALUE"""),"#366")</f>
        <v>#366</v>
      </c>
      <c r="P367" t="str">
        <f>IFERROR(__xludf.DUMMYFUNCTION("""COMPUTED_VALUE"""),"Caroline Pozmentier-Sportich")</f>
        <v>Caroline Pozmentier-Sportich</v>
      </c>
      <c r="Q367">
        <f>IFERROR(__xludf.DUMMYFUNCTION("""COMPUTED_VALUE"""),8665.0)</f>
        <v>8665</v>
      </c>
      <c r="R367" t="str">
        <f>IFERROR(__xludf.DUMMYFUNCTION("""COMPUTED_VALUE"""),"-")</f>
        <v>-</v>
      </c>
      <c r="S367" t="str">
        <f>IFERROR(__xludf.DUMMYFUNCTION("""COMPUTED_VALUE"""),"-")</f>
        <v>-</v>
      </c>
      <c r="T367" t="str">
        <f>IFERROR(__xludf.DUMMYFUNCTION("""COMPUTED_VALUE"""),"-")</f>
        <v>-</v>
      </c>
      <c r="U367" t="str">
        <f>IFERROR(__xludf.DUMMYFUNCTION("""COMPUTED_VALUE"""),"-")</f>
        <v>-</v>
      </c>
      <c r="V367" t="str">
        <f>IFERROR(__xludf.DUMMYFUNCTION("""COMPUTED_VALUE"""),"-")</f>
        <v>-</v>
      </c>
      <c r="W367" t="str">
        <f>IFERROR(__xludf.DUMMYFUNCTION("""COMPUTED_VALUE"""),"-")</f>
        <v>-</v>
      </c>
      <c r="X367" t="str">
        <f>IFERROR(__xludf.DUMMYFUNCTION("""COMPUTED_VALUE"""),"-")</f>
        <v>-</v>
      </c>
      <c r="Y367" t="str">
        <f>IFERROR(__xludf.DUMMYFUNCTION("""COMPUTED_VALUE"""),"-")</f>
        <v>-</v>
      </c>
      <c r="Z367" t="str">
        <f>IFERROR(__xludf.DUMMYFUNCTION("""COMPUTED_VALUE"""),"-")</f>
        <v>-</v>
      </c>
      <c r="AA367" t="str">
        <f>IFERROR(__xludf.DUMMYFUNCTION("""COMPUTED_VALUE"""),"-")</f>
        <v>-</v>
      </c>
    </row>
    <row r="368">
      <c r="A368" t="str">
        <f>IFERROR(__xludf.DUMMYFUNCTION("""COMPUTED_VALUE"""),"#367")</f>
        <v>#367</v>
      </c>
      <c r="B368" t="str">
        <f>IFERROR(__xludf.DUMMYFUNCTION("""COMPUTED_VALUE"""),"Christophe Clergeau")</f>
        <v>Christophe Clergeau</v>
      </c>
      <c r="C368">
        <f>IFERROR(__xludf.DUMMYFUNCTION("""COMPUTED_VALUE"""),8646.0)</f>
        <v>8646</v>
      </c>
      <c r="D368" t="str">
        <f>IFERROR(__xludf.DUMMYFUNCTION("""COMPUTED_VALUE"""),"-")</f>
        <v>-</v>
      </c>
      <c r="E368" t="str">
        <f>IFERROR(__xludf.DUMMYFUNCTION("""COMPUTED_VALUE"""),"-")</f>
        <v>-</v>
      </c>
      <c r="F368" t="str">
        <f>IFERROR(__xludf.DUMMYFUNCTION("""COMPUTED_VALUE"""),"-")</f>
        <v>-</v>
      </c>
      <c r="G368" t="str">
        <f>IFERROR(__xludf.DUMMYFUNCTION("""COMPUTED_VALUE"""),"-")</f>
        <v>-</v>
      </c>
      <c r="H368" t="str">
        <f>IFERROR(__xludf.DUMMYFUNCTION("""COMPUTED_VALUE"""),"-")</f>
        <v>-</v>
      </c>
      <c r="I368" t="str">
        <f>IFERROR(__xludf.DUMMYFUNCTION("""COMPUTED_VALUE"""),"-")</f>
        <v>-</v>
      </c>
      <c r="J368" t="str">
        <f>IFERROR(__xludf.DUMMYFUNCTION("""COMPUTED_VALUE"""),"-")</f>
        <v>-</v>
      </c>
      <c r="K368" t="str">
        <f>IFERROR(__xludf.DUMMYFUNCTION("""COMPUTED_VALUE"""),"-")</f>
        <v>-</v>
      </c>
      <c r="L368" t="str">
        <f>IFERROR(__xludf.DUMMYFUNCTION("""COMPUTED_VALUE"""),"-")</f>
        <v>-</v>
      </c>
      <c r="M368" t="str">
        <f>IFERROR(__xludf.DUMMYFUNCTION("""COMPUTED_VALUE"""),"-")</f>
        <v>-</v>
      </c>
      <c r="O368" t="str">
        <f>IFERROR(__xludf.DUMMYFUNCTION("""COMPUTED_VALUE"""),"#367")</f>
        <v>#367</v>
      </c>
      <c r="P368" t="str">
        <f>IFERROR(__xludf.DUMMYFUNCTION("""COMPUTED_VALUE"""),"Christophe Clergeau")</f>
        <v>Christophe Clergeau</v>
      </c>
      <c r="Q368">
        <f>IFERROR(__xludf.DUMMYFUNCTION("""COMPUTED_VALUE"""),8646.0)</f>
        <v>8646</v>
      </c>
      <c r="R368" t="str">
        <f>IFERROR(__xludf.DUMMYFUNCTION("""COMPUTED_VALUE"""),"-")</f>
        <v>-</v>
      </c>
      <c r="S368" t="str">
        <f>IFERROR(__xludf.DUMMYFUNCTION("""COMPUTED_VALUE"""),"-")</f>
        <v>-</v>
      </c>
      <c r="T368" t="str">
        <f>IFERROR(__xludf.DUMMYFUNCTION("""COMPUTED_VALUE"""),"-")</f>
        <v>-</v>
      </c>
      <c r="U368" t="str">
        <f>IFERROR(__xludf.DUMMYFUNCTION("""COMPUTED_VALUE"""),"-")</f>
        <v>-</v>
      </c>
      <c r="V368" t="str">
        <f>IFERROR(__xludf.DUMMYFUNCTION("""COMPUTED_VALUE"""),"-")</f>
        <v>-</v>
      </c>
      <c r="W368" t="str">
        <f>IFERROR(__xludf.DUMMYFUNCTION("""COMPUTED_VALUE"""),"-")</f>
        <v>-</v>
      </c>
      <c r="X368" t="str">
        <f>IFERROR(__xludf.DUMMYFUNCTION("""COMPUTED_VALUE"""),"-")</f>
        <v>-</v>
      </c>
      <c r="Y368" t="str">
        <f>IFERROR(__xludf.DUMMYFUNCTION("""COMPUTED_VALUE"""),"-")</f>
        <v>-</v>
      </c>
      <c r="Z368" t="str">
        <f>IFERROR(__xludf.DUMMYFUNCTION("""COMPUTED_VALUE"""),"-")</f>
        <v>-</v>
      </c>
      <c r="AA368" t="str">
        <f>IFERROR(__xludf.DUMMYFUNCTION("""COMPUTED_VALUE"""),"-")</f>
        <v>-</v>
      </c>
    </row>
    <row r="369">
      <c r="A369" t="str">
        <f>IFERROR(__xludf.DUMMYFUNCTION("""COMPUTED_VALUE"""),"#368")</f>
        <v>#368</v>
      </c>
      <c r="B369" t="str">
        <f>IFERROR(__xludf.DUMMYFUNCTION("""COMPUTED_VALUE"""),"Francis Lalanne")</f>
        <v>Francis Lalanne</v>
      </c>
      <c r="C369">
        <f>IFERROR(__xludf.DUMMYFUNCTION("""COMPUTED_VALUE"""),8620.0)</f>
        <v>8620</v>
      </c>
      <c r="D369" t="str">
        <f>IFERROR(__xludf.DUMMYFUNCTION("""COMPUTED_VALUE"""),"-")</f>
        <v>-</v>
      </c>
      <c r="E369" t="str">
        <f>IFERROR(__xludf.DUMMYFUNCTION("""COMPUTED_VALUE"""),"-")</f>
        <v>-</v>
      </c>
      <c r="F369" t="str">
        <f>IFERROR(__xludf.DUMMYFUNCTION("""COMPUTED_VALUE"""),"-")</f>
        <v>-</v>
      </c>
      <c r="G369" t="str">
        <f>IFERROR(__xludf.DUMMYFUNCTION("""COMPUTED_VALUE"""),"-")</f>
        <v>-</v>
      </c>
      <c r="H369" t="str">
        <f>IFERROR(__xludf.DUMMYFUNCTION("""COMPUTED_VALUE"""),"-")</f>
        <v>-</v>
      </c>
      <c r="I369" t="str">
        <f>IFERROR(__xludf.DUMMYFUNCTION("""COMPUTED_VALUE"""),"-")</f>
        <v>-</v>
      </c>
      <c r="J369" t="str">
        <f>IFERROR(__xludf.DUMMYFUNCTION("""COMPUTED_VALUE"""),"-")</f>
        <v>-</v>
      </c>
      <c r="K369" t="str">
        <f>IFERROR(__xludf.DUMMYFUNCTION("""COMPUTED_VALUE"""),"-")</f>
        <v>-</v>
      </c>
      <c r="L369" t="str">
        <f>IFERROR(__xludf.DUMMYFUNCTION("""COMPUTED_VALUE"""),"-")</f>
        <v>-</v>
      </c>
      <c r="M369" t="str">
        <f>IFERROR(__xludf.DUMMYFUNCTION("""COMPUTED_VALUE"""),"-")</f>
        <v>-</v>
      </c>
      <c r="O369" t="str">
        <f>IFERROR(__xludf.DUMMYFUNCTION("""COMPUTED_VALUE"""),"#368")</f>
        <v>#368</v>
      </c>
      <c r="P369" t="str">
        <f>IFERROR(__xludf.DUMMYFUNCTION("""COMPUTED_VALUE"""),"Francis Lalanne")</f>
        <v>Francis Lalanne</v>
      </c>
      <c r="Q369">
        <f>IFERROR(__xludf.DUMMYFUNCTION("""COMPUTED_VALUE"""),8620.0)</f>
        <v>8620</v>
      </c>
      <c r="R369" t="str">
        <f>IFERROR(__xludf.DUMMYFUNCTION("""COMPUTED_VALUE"""),"-")</f>
        <v>-</v>
      </c>
      <c r="S369" t="str">
        <f>IFERROR(__xludf.DUMMYFUNCTION("""COMPUTED_VALUE"""),"-")</f>
        <v>-</v>
      </c>
      <c r="T369" t="str">
        <f>IFERROR(__xludf.DUMMYFUNCTION("""COMPUTED_VALUE"""),"-")</f>
        <v>-</v>
      </c>
      <c r="U369" t="str">
        <f>IFERROR(__xludf.DUMMYFUNCTION("""COMPUTED_VALUE"""),"-")</f>
        <v>-</v>
      </c>
      <c r="V369" t="str">
        <f>IFERROR(__xludf.DUMMYFUNCTION("""COMPUTED_VALUE"""),"-")</f>
        <v>-</v>
      </c>
      <c r="W369" t="str">
        <f>IFERROR(__xludf.DUMMYFUNCTION("""COMPUTED_VALUE"""),"-")</f>
        <v>-</v>
      </c>
      <c r="X369" t="str">
        <f>IFERROR(__xludf.DUMMYFUNCTION("""COMPUTED_VALUE"""),"-")</f>
        <v>-</v>
      </c>
      <c r="Y369" t="str">
        <f>IFERROR(__xludf.DUMMYFUNCTION("""COMPUTED_VALUE"""),"-")</f>
        <v>-</v>
      </c>
      <c r="Z369" t="str">
        <f>IFERROR(__xludf.DUMMYFUNCTION("""COMPUTED_VALUE"""),"-")</f>
        <v>-</v>
      </c>
      <c r="AA369" t="str">
        <f>IFERROR(__xludf.DUMMYFUNCTION("""COMPUTED_VALUE"""),"-")</f>
        <v>-</v>
      </c>
    </row>
    <row r="370">
      <c r="A370" t="str">
        <f>IFERROR(__xludf.DUMMYFUNCTION("""COMPUTED_VALUE"""),"#369")</f>
        <v>#369</v>
      </c>
      <c r="B370" t="str">
        <f>IFERROR(__xludf.DUMMYFUNCTION("""COMPUTED_VALUE"""),"Joël Labbé")</f>
        <v>Joël Labbé</v>
      </c>
      <c r="C370">
        <f>IFERROR(__xludf.DUMMYFUNCTION("""COMPUTED_VALUE"""),8249.0)</f>
        <v>8249</v>
      </c>
      <c r="D370" t="str">
        <f>IFERROR(__xludf.DUMMYFUNCTION("""COMPUTED_VALUE"""),"-")</f>
        <v>-</v>
      </c>
      <c r="E370" t="str">
        <f>IFERROR(__xludf.DUMMYFUNCTION("""COMPUTED_VALUE"""),"-")</f>
        <v>-</v>
      </c>
      <c r="F370" t="str">
        <f>IFERROR(__xludf.DUMMYFUNCTION("""COMPUTED_VALUE"""),"-")</f>
        <v>-</v>
      </c>
      <c r="G370" t="str">
        <f>IFERROR(__xludf.DUMMYFUNCTION("""COMPUTED_VALUE"""),"-")</f>
        <v>-</v>
      </c>
      <c r="H370" t="str">
        <f>IFERROR(__xludf.DUMMYFUNCTION("""COMPUTED_VALUE"""),"-")</f>
        <v>-</v>
      </c>
      <c r="I370" t="str">
        <f>IFERROR(__xludf.DUMMYFUNCTION("""COMPUTED_VALUE"""),"-")</f>
        <v>-</v>
      </c>
      <c r="J370" t="str">
        <f>IFERROR(__xludf.DUMMYFUNCTION("""COMPUTED_VALUE"""),"-")</f>
        <v>-</v>
      </c>
      <c r="K370" t="str">
        <f>IFERROR(__xludf.DUMMYFUNCTION("""COMPUTED_VALUE"""),"-")</f>
        <v>-</v>
      </c>
      <c r="L370" t="str">
        <f>IFERROR(__xludf.DUMMYFUNCTION("""COMPUTED_VALUE"""),"-")</f>
        <v>-</v>
      </c>
      <c r="M370" t="str">
        <f>IFERROR(__xludf.DUMMYFUNCTION("""COMPUTED_VALUE"""),"-")</f>
        <v>-</v>
      </c>
      <c r="O370" t="str">
        <f>IFERROR(__xludf.DUMMYFUNCTION("""COMPUTED_VALUE"""),"#369")</f>
        <v>#369</v>
      </c>
      <c r="P370" t="str">
        <f>IFERROR(__xludf.DUMMYFUNCTION("""COMPUTED_VALUE"""),"Joël Labbé")</f>
        <v>Joël Labbé</v>
      </c>
      <c r="Q370">
        <f>IFERROR(__xludf.DUMMYFUNCTION("""COMPUTED_VALUE"""),8249.0)</f>
        <v>8249</v>
      </c>
      <c r="R370" t="str">
        <f>IFERROR(__xludf.DUMMYFUNCTION("""COMPUTED_VALUE"""),"-")</f>
        <v>-</v>
      </c>
      <c r="S370" t="str">
        <f>IFERROR(__xludf.DUMMYFUNCTION("""COMPUTED_VALUE"""),"-")</f>
        <v>-</v>
      </c>
      <c r="T370" t="str">
        <f>IFERROR(__xludf.DUMMYFUNCTION("""COMPUTED_VALUE"""),"-")</f>
        <v>-</v>
      </c>
      <c r="U370" t="str">
        <f>IFERROR(__xludf.DUMMYFUNCTION("""COMPUTED_VALUE"""),"-")</f>
        <v>-</v>
      </c>
      <c r="V370" t="str">
        <f>IFERROR(__xludf.DUMMYFUNCTION("""COMPUTED_VALUE"""),"-")</f>
        <v>-</v>
      </c>
      <c r="W370" t="str">
        <f>IFERROR(__xludf.DUMMYFUNCTION("""COMPUTED_VALUE"""),"-")</f>
        <v>-</v>
      </c>
      <c r="X370" t="str">
        <f>IFERROR(__xludf.DUMMYFUNCTION("""COMPUTED_VALUE"""),"-")</f>
        <v>-</v>
      </c>
      <c r="Y370" t="str">
        <f>IFERROR(__xludf.DUMMYFUNCTION("""COMPUTED_VALUE"""),"-")</f>
        <v>-</v>
      </c>
      <c r="Z370" t="str">
        <f>IFERROR(__xludf.DUMMYFUNCTION("""COMPUTED_VALUE"""),"-")</f>
        <v>-</v>
      </c>
      <c r="AA370" t="str">
        <f>IFERROR(__xludf.DUMMYFUNCTION("""COMPUTED_VALUE"""),"-")</f>
        <v>-</v>
      </c>
    </row>
    <row r="371">
      <c r="A371" t="str">
        <f>IFERROR(__xludf.DUMMYFUNCTION("""COMPUTED_VALUE"""),"#370")</f>
        <v>#370</v>
      </c>
      <c r="B371" t="str">
        <f>IFERROR(__xludf.DUMMYFUNCTION("""COMPUTED_VALUE"""),"Claire Pitollat")</f>
        <v>Claire Pitollat</v>
      </c>
      <c r="C371">
        <f>IFERROR(__xludf.DUMMYFUNCTION("""COMPUTED_VALUE"""),8226.0)</f>
        <v>8226</v>
      </c>
      <c r="D371" t="str">
        <f>IFERROR(__xludf.DUMMYFUNCTION("""COMPUTED_VALUE"""),"-")</f>
        <v>-</v>
      </c>
      <c r="E371" t="str">
        <f>IFERROR(__xludf.DUMMYFUNCTION("""COMPUTED_VALUE"""),"-")</f>
        <v>-</v>
      </c>
      <c r="F371" t="str">
        <f>IFERROR(__xludf.DUMMYFUNCTION("""COMPUTED_VALUE"""),"-")</f>
        <v>-</v>
      </c>
      <c r="G371" t="str">
        <f>IFERROR(__xludf.DUMMYFUNCTION("""COMPUTED_VALUE"""),"-")</f>
        <v>-</v>
      </c>
      <c r="H371" t="str">
        <f>IFERROR(__xludf.DUMMYFUNCTION("""COMPUTED_VALUE"""),"-")</f>
        <v>-</v>
      </c>
      <c r="I371" t="str">
        <f>IFERROR(__xludf.DUMMYFUNCTION("""COMPUTED_VALUE"""),"-")</f>
        <v>-</v>
      </c>
      <c r="J371" t="str">
        <f>IFERROR(__xludf.DUMMYFUNCTION("""COMPUTED_VALUE"""),"-")</f>
        <v>-</v>
      </c>
      <c r="K371" t="str">
        <f>IFERROR(__xludf.DUMMYFUNCTION("""COMPUTED_VALUE"""),"-")</f>
        <v>-</v>
      </c>
      <c r="L371" t="str">
        <f>IFERROR(__xludf.DUMMYFUNCTION("""COMPUTED_VALUE"""),"-")</f>
        <v>-</v>
      </c>
      <c r="M371" t="str">
        <f>IFERROR(__xludf.DUMMYFUNCTION("""COMPUTED_VALUE"""),"-")</f>
        <v>-</v>
      </c>
      <c r="O371" t="str">
        <f>IFERROR(__xludf.DUMMYFUNCTION("""COMPUTED_VALUE"""),"#370")</f>
        <v>#370</v>
      </c>
      <c r="P371" t="str">
        <f>IFERROR(__xludf.DUMMYFUNCTION("""COMPUTED_VALUE"""),"Claire Pitollat")</f>
        <v>Claire Pitollat</v>
      </c>
      <c r="Q371">
        <f>IFERROR(__xludf.DUMMYFUNCTION("""COMPUTED_VALUE"""),8226.0)</f>
        <v>8226</v>
      </c>
      <c r="R371" t="str">
        <f>IFERROR(__xludf.DUMMYFUNCTION("""COMPUTED_VALUE"""),"-")</f>
        <v>-</v>
      </c>
      <c r="S371" t="str">
        <f>IFERROR(__xludf.DUMMYFUNCTION("""COMPUTED_VALUE"""),"-")</f>
        <v>-</v>
      </c>
      <c r="T371" t="str">
        <f>IFERROR(__xludf.DUMMYFUNCTION("""COMPUTED_VALUE"""),"-")</f>
        <v>-</v>
      </c>
      <c r="U371" t="str">
        <f>IFERROR(__xludf.DUMMYFUNCTION("""COMPUTED_VALUE"""),"-")</f>
        <v>-</v>
      </c>
      <c r="V371" t="str">
        <f>IFERROR(__xludf.DUMMYFUNCTION("""COMPUTED_VALUE"""),"-")</f>
        <v>-</v>
      </c>
      <c r="W371" t="str">
        <f>IFERROR(__xludf.DUMMYFUNCTION("""COMPUTED_VALUE"""),"-")</f>
        <v>-</v>
      </c>
      <c r="X371" t="str">
        <f>IFERROR(__xludf.DUMMYFUNCTION("""COMPUTED_VALUE"""),"-")</f>
        <v>-</v>
      </c>
      <c r="Y371" t="str">
        <f>IFERROR(__xludf.DUMMYFUNCTION("""COMPUTED_VALUE"""),"-")</f>
        <v>-</v>
      </c>
      <c r="Z371" t="str">
        <f>IFERROR(__xludf.DUMMYFUNCTION("""COMPUTED_VALUE"""),"-")</f>
        <v>-</v>
      </c>
      <c r="AA371" t="str">
        <f>IFERROR(__xludf.DUMMYFUNCTION("""COMPUTED_VALUE"""),"-")</f>
        <v>-</v>
      </c>
    </row>
    <row r="372">
      <c r="A372" t="str">
        <f>IFERROR(__xludf.DUMMYFUNCTION("""COMPUTED_VALUE"""),"#371")</f>
        <v>#371</v>
      </c>
      <c r="B372" t="str">
        <f>IFERROR(__xludf.DUMMYFUNCTION("""COMPUTED_VALUE"""),"Hervé Juvin")</f>
        <v>Hervé Juvin</v>
      </c>
      <c r="C372">
        <f>IFERROR(__xludf.DUMMYFUNCTION("""COMPUTED_VALUE"""),8112.0)</f>
        <v>8112</v>
      </c>
      <c r="D372" t="str">
        <f>IFERROR(__xludf.DUMMYFUNCTION("""COMPUTED_VALUE"""),"-")</f>
        <v>-</v>
      </c>
      <c r="E372" t="str">
        <f>IFERROR(__xludf.DUMMYFUNCTION("""COMPUTED_VALUE"""),"-")</f>
        <v>-</v>
      </c>
      <c r="F372" t="str">
        <f>IFERROR(__xludf.DUMMYFUNCTION("""COMPUTED_VALUE"""),"-")</f>
        <v>-</v>
      </c>
      <c r="G372" t="str">
        <f>IFERROR(__xludf.DUMMYFUNCTION("""COMPUTED_VALUE"""),"-")</f>
        <v>-</v>
      </c>
      <c r="H372" t="str">
        <f>IFERROR(__xludf.DUMMYFUNCTION("""COMPUTED_VALUE"""),"-")</f>
        <v>-</v>
      </c>
      <c r="I372" t="str">
        <f>IFERROR(__xludf.DUMMYFUNCTION("""COMPUTED_VALUE"""),"-")</f>
        <v>-</v>
      </c>
      <c r="J372" t="str">
        <f>IFERROR(__xludf.DUMMYFUNCTION("""COMPUTED_VALUE"""),"-")</f>
        <v>-</v>
      </c>
      <c r="K372" t="str">
        <f>IFERROR(__xludf.DUMMYFUNCTION("""COMPUTED_VALUE"""),"-")</f>
        <v>-</v>
      </c>
      <c r="L372" t="str">
        <f>IFERROR(__xludf.DUMMYFUNCTION("""COMPUTED_VALUE"""),"-")</f>
        <v>-</v>
      </c>
      <c r="M372" t="str">
        <f>IFERROR(__xludf.DUMMYFUNCTION("""COMPUTED_VALUE"""),"-")</f>
        <v>-</v>
      </c>
      <c r="O372" t="str">
        <f>IFERROR(__xludf.DUMMYFUNCTION("""COMPUTED_VALUE"""),"#371")</f>
        <v>#371</v>
      </c>
      <c r="P372" t="str">
        <f>IFERROR(__xludf.DUMMYFUNCTION("""COMPUTED_VALUE"""),"Hervé Juvin")</f>
        <v>Hervé Juvin</v>
      </c>
      <c r="Q372">
        <f>IFERROR(__xludf.DUMMYFUNCTION("""COMPUTED_VALUE"""),8112.0)</f>
        <v>8112</v>
      </c>
      <c r="R372" t="str">
        <f>IFERROR(__xludf.DUMMYFUNCTION("""COMPUTED_VALUE"""),"-")</f>
        <v>-</v>
      </c>
      <c r="S372" t="str">
        <f>IFERROR(__xludf.DUMMYFUNCTION("""COMPUTED_VALUE"""),"-")</f>
        <v>-</v>
      </c>
      <c r="T372" t="str">
        <f>IFERROR(__xludf.DUMMYFUNCTION("""COMPUTED_VALUE"""),"-")</f>
        <v>-</v>
      </c>
      <c r="U372" t="str">
        <f>IFERROR(__xludf.DUMMYFUNCTION("""COMPUTED_VALUE"""),"-")</f>
        <v>-</v>
      </c>
      <c r="V372" t="str">
        <f>IFERROR(__xludf.DUMMYFUNCTION("""COMPUTED_VALUE"""),"-")</f>
        <v>-</v>
      </c>
      <c r="W372" t="str">
        <f>IFERROR(__xludf.DUMMYFUNCTION("""COMPUTED_VALUE"""),"-")</f>
        <v>-</v>
      </c>
      <c r="X372" t="str">
        <f>IFERROR(__xludf.DUMMYFUNCTION("""COMPUTED_VALUE"""),"-")</f>
        <v>-</v>
      </c>
      <c r="Y372" t="str">
        <f>IFERROR(__xludf.DUMMYFUNCTION("""COMPUTED_VALUE"""),"-")</f>
        <v>-</v>
      </c>
      <c r="Z372" t="str">
        <f>IFERROR(__xludf.DUMMYFUNCTION("""COMPUTED_VALUE"""),"-")</f>
        <v>-</v>
      </c>
      <c r="AA372" t="str">
        <f>IFERROR(__xludf.DUMMYFUNCTION("""COMPUTED_VALUE"""),"-")</f>
        <v>-</v>
      </c>
    </row>
    <row r="373">
      <c r="A373" t="str">
        <f>IFERROR(__xludf.DUMMYFUNCTION("""COMPUTED_VALUE"""),"#372")</f>
        <v>#372</v>
      </c>
      <c r="B373" t="str">
        <f>IFERROR(__xludf.DUMMYFUNCTION("""COMPUTED_VALUE"""),"André Santini")</f>
        <v>André Santini</v>
      </c>
      <c r="C373">
        <f>IFERROR(__xludf.DUMMYFUNCTION("""COMPUTED_VALUE"""),8029.0)</f>
        <v>8029</v>
      </c>
      <c r="D373" t="str">
        <f>IFERROR(__xludf.DUMMYFUNCTION("""COMPUTED_VALUE"""),"-")</f>
        <v>-</v>
      </c>
      <c r="E373" t="str">
        <f>IFERROR(__xludf.DUMMYFUNCTION("""COMPUTED_VALUE"""),"-")</f>
        <v>-</v>
      </c>
      <c r="F373" t="str">
        <f>IFERROR(__xludf.DUMMYFUNCTION("""COMPUTED_VALUE"""),"-")</f>
        <v>-</v>
      </c>
      <c r="G373" t="str">
        <f>IFERROR(__xludf.DUMMYFUNCTION("""COMPUTED_VALUE"""),"-")</f>
        <v>-</v>
      </c>
      <c r="H373" t="str">
        <f>IFERROR(__xludf.DUMMYFUNCTION("""COMPUTED_VALUE"""),"-")</f>
        <v>-</v>
      </c>
      <c r="I373" t="str">
        <f>IFERROR(__xludf.DUMMYFUNCTION("""COMPUTED_VALUE"""),"-")</f>
        <v>-</v>
      </c>
      <c r="J373" t="str">
        <f>IFERROR(__xludf.DUMMYFUNCTION("""COMPUTED_VALUE"""),"-")</f>
        <v>-</v>
      </c>
      <c r="K373" t="str">
        <f>IFERROR(__xludf.DUMMYFUNCTION("""COMPUTED_VALUE"""),"-")</f>
        <v>-</v>
      </c>
      <c r="L373" t="str">
        <f>IFERROR(__xludf.DUMMYFUNCTION("""COMPUTED_VALUE"""),"-")</f>
        <v>-</v>
      </c>
      <c r="M373" t="str">
        <f>IFERROR(__xludf.DUMMYFUNCTION("""COMPUTED_VALUE"""),"-")</f>
        <v>-</v>
      </c>
      <c r="O373" t="str">
        <f>IFERROR(__xludf.DUMMYFUNCTION("""COMPUTED_VALUE"""),"#372")</f>
        <v>#372</v>
      </c>
      <c r="P373" t="str">
        <f>IFERROR(__xludf.DUMMYFUNCTION("""COMPUTED_VALUE"""),"André Santini")</f>
        <v>André Santini</v>
      </c>
      <c r="Q373">
        <f>IFERROR(__xludf.DUMMYFUNCTION("""COMPUTED_VALUE"""),8029.0)</f>
        <v>8029</v>
      </c>
      <c r="R373" t="str">
        <f>IFERROR(__xludf.DUMMYFUNCTION("""COMPUTED_VALUE"""),"-")</f>
        <v>-</v>
      </c>
      <c r="S373" t="str">
        <f>IFERROR(__xludf.DUMMYFUNCTION("""COMPUTED_VALUE"""),"-")</f>
        <v>-</v>
      </c>
      <c r="T373" t="str">
        <f>IFERROR(__xludf.DUMMYFUNCTION("""COMPUTED_VALUE"""),"-")</f>
        <v>-</v>
      </c>
      <c r="U373" t="str">
        <f>IFERROR(__xludf.DUMMYFUNCTION("""COMPUTED_VALUE"""),"-")</f>
        <v>-</v>
      </c>
      <c r="V373" t="str">
        <f>IFERROR(__xludf.DUMMYFUNCTION("""COMPUTED_VALUE"""),"-")</f>
        <v>-</v>
      </c>
      <c r="W373" t="str">
        <f>IFERROR(__xludf.DUMMYFUNCTION("""COMPUTED_VALUE"""),"-")</f>
        <v>-</v>
      </c>
      <c r="X373" t="str">
        <f>IFERROR(__xludf.DUMMYFUNCTION("""COMPUTED_VALUE"""),"-")</f>
        <v>-</v>
      </c>
      <c r="Y373" t="str">
        <f>IFERROR(__xludf.DUMMYFUNCTION("""COMPUTED_VALUE"""),"-")</f>
        <v>-</v>
      </c>
      <c r="Z373" t="str">
        <f>IFERROR(__xludf.DUMMYFUNCTION("""COMPUTED_VALUE"""),"-")</f>
        <v>-</v>
      </c>
      <c r="AA373" t="str">
        <f>IFERROR(__xludf.DUMMYFUNCTION("""COMPUTED_VALUE"""),"-")</f>
        <v>-</v>
      </c>
    </row>
    <row r="374">
      <c r="A374" t="str">
        <f>IFERROR(__xludf.DUMMYFUNCTION("""COMPUTED_VALUE"""),"#373")</f>
        <v>#373</v>
      </c>
      <c r="B374" t="str">
        <f>IFERROR(__xludf.DUMMYFUNCTION("""COMPUTED_VALUE"""),"Pascal Gannat")</f>
        <v>Pascal Gannat</v>
      </c>
      <c r="C374">
        <f>IFERROR(__xludf.DUMMYFUNCTION("""COMPUTED_VALUE"""),7953.0)</f>
        <v>7953</v>
      </c>
      <c r="D374" t="str">
        <f>IFERROR(__xludf.DUMMYFUNCTION("""COMPUTED_VALUE"""),"-")</f>
        <v>-</v>
      </c>
      <c r="E374" t="str">
        <f>IFERROR(__xludf.DUMMYFUNCTION("""COMPUTED_VALUE"""),"-")</f>
        <v>-</v>
      </c>
      <c r="F374" t="str">
        <f>IFERROR(__xludf.DUMMYFUNCTION("""COMPUTED_VALUE"""),"-")</f>
        <v>-</v>
      </c>
      <c r="G374" t="str">
        <f>IFERROR(__xludf.DUMMYFUNCTION("""COMPUTED_VALUE"""),"-")</f>
        <v>-</v>
      </c>
      <c r="H374" t="str">
        <f>IFERROR(__xludf.DUMMYFUNCTION("""COMPUTED_VALUE"""),"-")</f>
        <v>-</v>
      </c>
      <c r="I374" t="str">
        <f>IFERROR(__xludf.DUMMYFUNCTION("""COMPUTED_VALUE"""),"-")</f>
        <v>-</v>
      </c>
      <c r="J374" t="str">
        <f>IFERROR(__xludf.DUMMYFUNCTION("""COMPUTED_VALUE"""),"-")</f>
        <v>-</v>
      </c>
      <c r="K374" t="str">
        <f>IFERROR(__xludf.DUMMYFUNCTION("""COMPUTED_VALUE"""),"-")</f>
        <v>-</v>
      </c>
      <c r="L374" t="str">
        <f>IFERROR(__xludf.DUMMYFUNCTION("""COMPUTED_VALUE"""),"-")</f>
        <v>-</v>
      </c>
      <c r="M374" t="str">
        <f>IFERROR(__xludf.DUMMYFUNCTION("""COMPUTED_VALUE"""),"-")</f>
        <v>-</v>
      </c>
      <c r="O374" t="str">
        <f>IFERROR(__xludf.DUMMYFUNCTION("""COMPUTED_VALUE"""),"#373")</f>
        <v>#373</v>
      </c>
      <c r="P374" t="str">
        <f>IFERROR(__xludf.DUMMYFUNCTION("""COMPUTED_VALUE"""),"Pascal Gannat")</f>
        <v>Pascal Gannat</v>
      </c>
      <c r="Q374">
        <f>IFERROR(__xludf.DUMMYFUNCTION("""COMPUTED_VALUE"""),7953.0)</f>
        <v>7953</v>
      </c>
      <c r="R374" t="str">
        <f>IFERROR(__xludf.DUMMYFUNCTION("""COMPUTED_VALUE"""),"-")</f>
        <v>-</v>
      </c>
      <c r="S374" t="str">
        <f>IFERROR(__xludf.DUMMYFUNCTION("""COMPUTED_VALUE"""),"-")</f>
        <v>-</v>
      </c>
      <c r="T374" t="str">
        <f>IFERROR(__xludf.DUMMYFUNCTION("""COMPUTED_VALUE"""),"-")</f>
        <v>-</v>
      </c>
      <c r="U374" t="str">
        <f>IFERROR(__xludf.DUMMYFUNCTION("""COMPUTED_VALUE"""),"-")</f>
        <v>-</v>
      </c>
      <c r="V374" t="str">
        <f>IFERROR(__xludf.DUMMYFUNCTION("""COMPUTED_VALUE"""),"-")</f>
        <v>-</v>
      </c>
      <c r="W374" t="str">
        <f>IFERROR(__xludf.DUMMYFUNCTION("""COMPUTED_VALUE"""),"-")</f>
        <v>-</v>
      </c>
      <c r="X374" t="str">
        <f>IFERROR(__xludf.DUMMYFUNCTION("""COMPUTED_VALUE"""),"-")</f>
        <v>-</v>
      </c>
      <c r="Y374" t="str">
        <f>IFERROR(__xludf.DUMMYFUNCTION("""COMPUTED_VALUE"""),"-")</f>
        <v>-</v>
      </c>
      <c r="Z374" t="str">
        <f>IFERROR(__xludf.DUMMYFUNCTION("""COMPUTED_VALUE"""),"-")</f>
        <v>-</v>
      </c>
      <c r="AA374" t="str">
        <f>IFERROR(__xludf.DUMMYFUNCTION("""COMPUTED_VALUE"""),"-")</f>
        <v>-</v>
      </c>
    </row>
    <row r="375">
      <c r="A375" t="str">
        <f>IFERROR(__xludf.DUMMYFUNCTION("""COMPUTED_VALUE"""),"#374")</f>
        <v>#374</v>
      </c>
      <c r="B375" t="str">
        <f>IFERROR(__xludf.DUMMYFUNCTION("""COMPUTED_VALUE"""),"Bruno Beschizza")</f>
        <v>Bruno Beschizza</v>
      </c>
      <c r="C375">
        <f>IFERROR(__xludf.DUMMYFUNCTION("""COMPUTED_VALUE"""),7928.0)</f>
        <v>7928</v>
      </c>
      <c r="D375" t="str">
        <f>IFERROR(__xludf.DUMMYFUNCTION("""COMPUTED_VALUE"""),"-")</f>
        <v>-</v>
      </c>
      <c r="E375" t="str">
        <f>IFERROR(__xludf.DUMMYFUNCTION("""COMPUTED_VALUE"""),"-")</f>
        <v>-</v>
      </c>
      <c r="F375" t="str">
        <f>IFERROR(__xludf.DUMMYFUNCTION("""COMPUTED_VALUE"""),"-")</f>
        <v>-</v>
      </c>
      <c r="G375" t="str">
        <f>IFERROR(__xludf.DUMMYFUNCTION("""COMPUTED_VALUE"""),"-")</f>
        <v>-</v>
      </c>
      <c r="H375" t="str">
        <f>IFERROR(__xludf.DUMMYFUNCTION("""COMPUTED_VALUE"""),"-")</f>
        <v>-</v>
      </c>
      <c r="I375" t="str">
        <f>IFERROR(__xludf.DUMMYFUNCTION("""COMPUTED_VALUE"""),"-")</f>
        <v>-</v>
      </c>
      <c r="J375" t="str">
        <f>IFERROR(__xludf.DUMMYFUNCTION("""COMPUTED_VALUE"""),"-")</f>
        <v>-</v>
      </c>
      <c r="K375" t="str">
        <f>IFERROR(__xludf.DUMMYFUNCTION("""COMPUTED_VALUE"""),"-")</f>
        <v>-</v>
      </c>
      <c r="L375" t="str">
        <f>IFERROR(__xludf.DUMMYFUNCTION("""COMPUTED_VALUE"""),"-")</f>
        <v>-</v>
      </c>
      <c r="M375" t="str">
        <f>IFERROR(__xludf.DUMMYFUNCTION("""COMPUTED_VALUE"""),"-")</f>
        <v>-</v>
      </c>
      <c r="O375" t="str">
        <f>IFERROR(__xludf.DUMMYFUNCTION("""COMPUTED_VALUE"""),"#374")</f>
        <v>#374</v>
      </c>
      <c r="P375" t="str">
        <f>IFERROR(__xludf.DUMMYFUNCTION("""COMPUTED_VALUE"""),"Bruno Beschizza")</f>
        <v>Bruno Beschizza</v>
      </c>
      <c r="Q375">
        <f>IFERROR(__xludf.DUMMYFUNCTION("""COMPUTED_VALUE"""),7928.0)</f>
        <v>7928</v>
      </c>
      <c r="R375" t="str">
        <f>IFERROR(__xludf.DUMMYFUNCTION("""COMPUTED_VALUE"""),"-")</f>
        <v>-</v>
      </c>
      <c r="S375" t="str">
        <f>IFERROR(__xludf.DUMMYFUNCTION("""COMPUTED_VALUE"""),"-")</f>
        <v>-</v>
      </c>
      <c r="T375" t="str">
        <f>IFERROR(__xludf.DUMMYFUNCTION("""COMPUTED_VALUE"""),"-")</f>
        <v>-</v>
      </c>
      <c r="U375" t="str">
        <f>IFERROR(__xludf.DUMMYFUNCTION("""COMPUTED_VALUE"""),"-")</f>
        <v>-</v>
      </c>
      <c r="V375" t="str">
        <f>IFERROR(__xludf.DUMMYFUNCTION("""COMPUTED_VALUE"""),"-")</f>
        <v>-</v>
      </c>
      <c r="W375" t="str">
        <f>IFERROR(__xludf.DUMMYFUNCTION("""COMPUTED_VALUE"""),"-")</f>
        <v>-</v>
      </c>
      <c r="X375" t="str">
        <f>IFERROR(__xludf.DUMMYFUNCTION("""COMPUTED_VALUE"""),"-")</f>
        <v>-</v>
      </c>
      <c r="Y375" t="str">
        <f>IFERROR(__xludf.DUMMYFUNCTION("""COMPUTED_VALUE"""),"-")</f>
        <v>-</v>
      </c>
      <c r="Z375" t="str">
        <f>IFERROR(__xludf.DUMMYFUNCTION("""COMPUTED_VALUE"""),"-")</f>
        <v>-</v>
      </c>
      <c r="AA375" t="str">
        <f>IFERROR(__xludf.DUMMYFUNCTION("""COMPUTED_VALUE"""),"-")</f>
        <v>-</v>
      </c>
    </row>
    <row r="376">
      <c r="A376" t="str">
        <f>IFERROR(__xludf.DUMMYFUNCTION("""COMPUTED_VALUE"""),"#375")</f>
        <v>#375</v>
      </c>
      <c r="B376" t="str">
        <f>IFERROR(__xludf.DUMMYFUNCTION("""COMPUTED_VALUE"""),"Jacques Boutault")</f>
        <v>Jacques Boutault</v>
      </c>
      <c r="C376">
        <f>IFERROR(__xludf.DUMMYFUNCTION("""COMPUTED_VALUE"""),7894.0)</f>
        <v>7894</v>
      </c>
      <c r="D376" t="str">
        <f>IFERROR(__xludf.DUMMYFUNCTION("""COMPUTED_VALUE"""),"-")</f>
        <v>-</v>
      </c>
      <c r="E376" t="str">
        <f>IFERROR(__xludf.DUMMYFUNCTION("""COMPUTED_VALUE"""),"-")</f>
        <v>-</v>
      </c>
      <c r="F376" t="str">
        <f>IFERROR(__xludf.DUMMYFUNCTION("""COMPUTED_VALUE"""),"-")</f>
        <v>-</v>
      </c>
      <c r="G376" t="str">
        <f>IFERROR(__xludf.DUMMYFUNCTION("""COMPUTED_VALUE"""),"-")</f>
        <v>-</v>
      </c>
      <c r="H376" t="str">
        <f>IFERROR(__xludf.DUMMYFUNCTION("""COMPUTED_VALUE"""),"-")</f>
        <v>-</v>
      </c>
      <c r="I376" t="str">
        <f>IFERROR(__xludf.DUMMYFUNCTION("""COMPUTED_VALUE"""),"-")</f>
        <v>-</v>
      </c>
      <c r="J376" t="str">
        <f>IFERROR(__xludf.DUMMYFUNCTION("""COMPUTED_VALUE"""),"-")</f>
        <v>-</v>
      </c>
      <c r="K376" t="str">
        <f>IFERROR(__xludf.DUMMYFUNCTION("""COMPUTED_VALUE"""),"-")</f>
        <v>-</v>
      </c>
      <c r="L376" t="str">
        <f>IFERROR(__xludf.DUMMYFUNCTION("""COMPUTED_VALUE"""),"-")</f>
        <v>-</v>
      </c>
      <c r="M376" t="str">
        <f>IFERROR(__xludf.DUMMYFUNCTION("""COMPUTED_VALUE"""),"-")</f>
        <v>-</v>
      </c>
      <c r="O376" t="str">
        <f>IFERROR(__xludf.DUMMYFUNCTION("""COMPUTED_VALUE"""),"#375")</f>
        <v>#375</v>
      </c>
      <c r="P376" t="str">
        <f>IFERROR(__xludf.DUMMYFUNCTION("""COMPUTED_VALUE"""),"Jacques Boutault")</f>
        <v>Jacques Boutault</v>
      </c>
      <c r="Q376">
        <f>IFERROR(__xludf.DUMMYFUNCTION("""COMPUTED_VALUE"""),7894.0)</f>
        <v>7894</v>
      </c>
      <c r="R376" t="str">
        <f>IFERROR(__xludf.DUMMYFUNCTION("""COMPUTED_VALUE"""),"-")</f>
        <v>-</v>
      </c>
      <c r="S376" t="str">
        <f>IFERROR(__xludf.DUMMYFUNCTION("""COMPUTED_VALUE"""),"-")</f>
        <v>-</v>
      </c>
      <c r="T376" t="str">
        <f>IFERROR(__xludf.DUMMYFUNCTION("""COMPUTED_VALUE"""),"-")</f>
        <v>-</v>
      </c>
      <c r="U376" t="str">
        <f>IFERROR(__xludf.DUMMYFUNCTION("""COMPUTED_VALUE"""),"-")</f>
        <v>-</v>
      </c>
      <c r="V376" t="str">
        <f>IFERROR(__xludf.DUMMYFUNCTION("""COMPUTED_VALUE"""),"-")</f>
        <v>-</v>
      </c>
      <c r="W376" t="str">
        <f>IFERROR(__xludf.DUMMYFUNCTION("""COMPUTED_VALUE"""),"-")</f>
        <v>-</v>
      </c>
      <c r="X376" t="str">
        <f>IFERROR(__xludf.DUMMYFUNCTION("""COMPUTED_VALUE"""),"-")</f>
        <v>-</v>
      </c>
      <c r="Y376" t="str">
        <f>IFERROR(__xludf.DUMMYFUNCTION("""COMPUTED_VALUE"""),"-")</f>
        <v>-</v>
      </c>
      <c r="Z376" t="str">
        <f>IFERROR(__xludf.DUMMYFUNCTION("""COMPUTED_VALUE"""),"-")</f>
        <v>-</v>
      </c>
      <c r="AA376" t="str">
        <f>IFERROR(__xludf.DUMMYFUNCTION("""COMPUTED_VALUE"""),"-")</f>
        <v>-</v>
      </c>
    </row>
    <row r="377">
      <c r="A377" t="str">
        <f>IFERROR(__xludf.DUMMYFUNCTION("""COMPUTED_VALUE"""),"#376")</f>
        <v>#376</v>
      </c>
      <c r="B377" t="str">
        <f>IFERROR(__xludf.DUMMYFUNCTION("""COMPUTED_VALUE"""),"Muriel Ressiguier")</f>
        <v>Muriel Ressiguier</v>
      </c>
      <c r="C377">
        <f>IFERROR(__xludf.DUMMYFUNCTION("""COMPUTED_VALUE"""),7856.0)</f>
        <v>7856</v>
      </c>
      <c r="D377" t="str">
        <f>IFERROR(__xludf.DUMMYFUNCTION("""COMPUTED_VALUE"""),"-")</f>
        <v>-</v>
      </c>
      <c r="E377" t="str">
        <f>IFERROR(__xludf.DUMMYFUNCTION("""COMPUTED_VALUE"""),"-")</f>
        <v>-</v>
      </c>
      <c r="F377" t="str">
        <f>IFERROR(__xludf.DUMMYFUNCTION("""COMPUTED_VALUE"""),"-")</f>
        <v>-</v>
      </c>
      <c r="G377" t="str">
        <f>IFERROR(__xludf.DUMMYFUNCTION("""COMPUTED_VALUE"""),"-")</f>
        <v>-</v>
      </c>
      <c r="H377" t="str">
        <f>IFERROR(__xludf.DUMMYFUNCTION("""COMPUTED_VALUE"""),"-")</f>
        <v>-</v>
      </c>
      <c r="I377" t="str">
        <f>IFERROR(__xludf.DUMMYFUNCTION("""COMPUTED_VALUE"""),"-")</f>
        <v>-</v>
      </c>
      <c r="J377" t="str">
        <f>IFERROR(__xludf.DUMMYFUNCTION("""COMPUTED_VALUE"""),"-")</f>
        <v>-</v>
      </c>
      <c r="K377" t="str">
        <f>IFERROR(__xludf.DUMMYFUNCTION("""COMPUTED_VALUE"""),"-")</f>
        <v>-</v>
      </c>
      <c r="L377" t="str">
        <f>IFERROR(__xludf.DUMMYFUNCTION("""COMPUTED_VALUE"""),"-")</f>
        <v>-</v>
      </c>
      <c r="M377" t="str">
        <f>IFERROR(__xludf.DUMMYFUNCTION("""COMPUTED_VALUE"""),"-")</f>
        <v>-</v>
      </c>
      <c r="O377" t="str">
        <f>IFERROR(__xludf.DUMMYFUNCTION("""COMPUTED_VALUE"""),"#376")</f>
        <v>#376</v>
      </c>
      <c r="P377" t="str">
        <f>IFERROR(__xludf.DUMMYFUNCTION("""COMPUTED_VALUE"""),"Muriel Ressiguier")</f>
        <v>Muriel Ressiguier</v>
      </c>
      <c r="Q377">
        <f>IFERROR(__xludf.DUMMYFUNCTION("""COMPUTED_VALUE"""),7856.0)</f>
        <v>7856</v>
      </c>
      <c r="R377" t="str">
        <f>IFERROR(__xludf.DUMMYFUNCTION("""COMPUTED_VALUE"""),"-")</f>
        <v>-</v>
      </c>
      <c r="S377" t="str">
        <f>IFERROR(__xludf.DUMMYFUNCTION("""COMPUTED_VALUE"""),"-")</f>
        <v>-</v>
      </c>
      <c r="T377" t="str">
        <f>IFERROR(__xludf.DUMMYFUNCTION("""COMPUTED_VALUE"""),"-")</f>
        <v>-</v>
      </c>
      <c r="U377" t="str">
        <f>IFERROR(__xludf.DUMMYFUNCTION("""COMPUTED_VALUE"""),"-")</f>
        <v>-</v>
      </c>
      <c r="V377" t="str">
        <f>IFERROR(__xludf.DUMMYFUNCTION("""COMPUTED_VALUE"""),"-")</f>
        <v>-</v>
      </c>
      <c r="W377" t="str">
        <f>IFERROR(__xludf.DUMMYFUNCTION("""COMPUTED_VALUE"""),"-")</f>
        <v>-</v>
      </c>
      <c r="X377" t="str">
        <f>IFERROR(__xludf.DUMMYFUNCTION("""COMPUTED_VALUE"""),"-")</f>
        <v>-</v>
      </c>
      <c r="Y377" t="str">
        <f>IFERROR(__xludf.DUMMYFUNCTION("""COMPUTED_VALUE"""),"-")</f>
        <v>-</v>
      </c>
      <c r="Z377" t="str">
        <f>IFERROR(__xludf.DUMMYFUNCTION("""COMPUTED_VALUE"""),"-")</f>
        <v>-</v>
      </c>
      <c r="AA377" t="str">
        <f>IFERROR(__xludf.DUMMYFUNCTION("""COMPUTED_VALUE"""),"-")</f>
        <v>-</v>
      </c>
    </row>
    <row r="378">
      <c r="A378" t="str">
        <f>IFERROR(__xludf.DUMMYFUNCTION("""COMPUTED_VALUE"""),"#377")</f>
        <v>#377</v>
      </c>
      <c r="B378" t="str">
        <f>IFERROR(__xludf.DUMMYFUNCTION("""COMPUTED_VALUE"""),"Engelmann Fabien")</f>
        <v>Engelmann Fabien</v>
      </c>
      <c r="C378">
        <f>IFERROR(__xludf.DUMMYFUNCTION("""COMPUTED_VALUE"""),7827.0)</f>
        <v>7827</v>
      </c>
      <c r="D378" t="str">
        <f>IFERROR(__xludf.DUMMYFUNCTION("""COMPUTED_VALUE"""),"-")</f>
        <v>-</v>
      </c>
      <c r="E378" t="str">
        <f>IFERROR(__xludf.DUMMYFUNCTION("""COMPUTED_VALUE"""),"-")</f>
        <v>-</v>
      </c>
      <c r="F378" t="str">
        <f>IFERROR(__xludf.DUMMYFUNCTION("""COMPUTED_VALUE"""),"-")</f>
        <v>-</v>
      </c>
      <c r="G378" t="str">
        <f>IFERROR(__xludf.DUMMYFUNCTION("""COMPUTED_VALUE"""),"-")</f>
        <v>-</v>
      </c>
      <c r="H378" t="str">
        <f>IFERROR(__xludf.DUMMYFUNCTION("""COMPUTED_VALUE"""),"-")</f>
        <v>-</v>
      </c>
      <c r="I378" t="str">
        <f>IFERROR(__xludf.DUMMYFUNCTION("""COMPUTED_VALUE"""),"-")</f>
        <v>-</v>
      </c>
      <c r="J378" t="str">
        <f>IFERROR(__xludf.DUMMYFUNCTION("""COMPUTED_VALUE"""),"-")</f>
        <v>-</v>
      </c>
      <c r="K378" t="str">
        <f>IFERROR(__xludf.DUMMYFUNCTION("""COMPUTED_VALUE"""),"-")</f>
        <v>-</v>
      </c>
      <c r="L378" t="str">
        <f>IFERROR(__xludf.DUMMYFUNCTION("""COMPUTED_VALUE"""),"-")</f>
        <v>-</v>
      </c>
      <c r="M378" t="str">
        <f>IFERROR(__xludf.DUMMYFUNCTION("""COMPUTED_VALUE"""),"-")</f>
        <v>-</v>
      </c>
      <c r="O378" t="str">
        <f>IFERROR(__xludf.DUMMYFUNCTION("""COMPUTED_VALUE"""),"#377")</f>
        <v>#377</v>
      </c>
      <c r="P378" t="str">
        <f>IFERROR(__xludf.DUMMYFUNCTION("""COMPUTED_VALUE"""),"Engelmann Fabien")</f>
        <v>Engelmann Fabien</v>
      </c>
      <c r="Q378">
        <f>IFERROR(__xludf.DUMMYFUNCTION("""COMPUTED_VALUE"""),7827.0)</f>
        <v>7827</v>
      </c>
      <c r="R378" t="str">
        <f>IFERROR(__xludf.DUMMYFUNCTION("""COMPUTED_VALUE"""),"-")</f>
        <v>-</v>
      </c>
      <c r="S378" t="str">
        <f>IFERROR(__xludf.DUMMYFUNCTION("""COMPUTED_VALUE"""),"-")</f>
        <v>-</v>
      </c>
      <c r="T378" t="str">
        <f>IFERROR(__xludf.DUMMYFUNCTION("""COMPUTED_VALUE"""),"-")</f>
        <v>-</v>
      </c>
      <c r="U378" t="str">
        <f>IFERROR(__xludf.DUMMYFUNCTION("""COMPUTED_VALUE"""),"-")</f>
        <v>-</v>
      </c>
      <c r="V378" t="str">
        <f>IFERROR(__xludf.DUMMYFUNCTION("""COMPUTED_VALUE"""),"-")</f>
        <v>-</v>
      </c>
      <c r="W378" t="str">
        <f>IFERROR(__xludf.DUMMYFUNCTION("""COMPUTED_VALUE"""),"-")</f>
        <v>-</v>
      </c>
      <c r="X378" t="str">
        <f>IFERROR(__xludf.DUMMYFUNCTION("""COMPUTED_VALUE"""),"-")</f>
        <v>-</v>
      </c>
      <c r="Y378" t="str">
        <f>IFERROR(__xludf.DUMMYFUNCTION("""COMPUTED_VALUE"""),"-")</f>
        <v>-</v>
      </c>
      <c r="Z378" t="str">
        <f>IFERROR(__xludf.DUMMYFUNCTION("""COMPUTED_VALUE"""),"-")</f>
        <v>-</v>
      </c>
      <c r="AA378" t="str">
        <f>IFERROR(__xludf.DUMMYFUNCTION("""COMPUTED_VALUE"""),"-")</f>
        <v>-</v>
      </c>
    </row>
    <row r="379">
      <c r="A379" t="str">
        <f>IFERROR(__xludf.DUMMYFUNCTION("""COMPUTED_VALUE"""),"#378")</f>
        <v>#378</v>
      </c>
      <c r="B379" t="str">
        <f>IFERROR(__xludf.DUMMYFUNCTION("""COMPUTED_VALUE"""),"Dominique Faure")</f>
        <v>Dominique Faure</v>
      </c>
      <c r="C379">
        <f>IFERROR(__xludf.DUMMYFUNCTION("""COMPUTED_VALUE"""),7738.0)</f>
        <v>7738</v>
      </c>
      <c r="D379" t="str">
        <f>IFERROR(__xludf.DUMMYFUNCTION("""COMPUTED_VALUE"""),"-")</f>
        <v>-</v>
      </c>
      <c r="E379" t="str">
        <f>IFERROR(__xludf.DUMMYFUNCTION("""COMPUTED_VALUE"""),"-")</f>
        <v>-</v>
      </c>
      <c r="F379" t="str">
        <f>IFERROR(__xludf.DUMMYFUNCTION("""COMPUTED_VALUE"""),"-")</f>
        <v>-</v>
      </c>
      <c r="G379" t="str">
        <f>IFERROR(__xludf.DUMMYFUNCTION("""COMPUTED_VALUE"""),"-")</f>
        <v>-</v>
      </c>
      <c r="H379" t="str">
        <f>IFERROR(__xludf.DUMMYFUNCTION("""COMPUTED_VALUE"""),"-")</f>
        <v>-</v>
      </c>
      <c r="I379" t="str">
        <f>IFERROR(__xludf.DUMMYFUNCTION("""COMPUTED_VALUE"""),"-")</f>
        <v>-</v>
      </c>
      <c r="J379" t="str">
        <f>IFERROR(__xludf.DUMMYFUNCTION("""COMPUTED_VALUE"""),"-")</f>
        <v>-</v>
      </c>
      <c r="K379" t="str">
        <f>IFERROR(__xludf.DUMMYFUNCTION("""COMPUTED_VALUE"""),"-")</f>
        <v>-</v>
      </c>
      <c r="L379" t="str">
        <f>IFERROR(__xludf.DUMMYFUNCTION("""COMPUTED_VALUE"""),"-")</f>
        <v>-</v>
      </c>
      <c r="M379" t="str">
        <f>IFERROR(__xludf.DUMMYFUNCTION("""COMPUTED_VALUE"""),"-")</f>
        <v>-</v>
      </c>
      <c r="O379" t="str">
        <f>IFERROR(__xludf.DUMMYFUNCTION("""COMPUTED_VALUE"""),"#378")</f>
        <v>#378</v>
      </c>
      <c r="P379" t="str">
        <f>IFERROR(__xludf.DUMMYFUNCTION("""COMPUTED_VALUE"""),"Dominique Faure")</f>
        <v>Dominique Faure</v>
      </c>
      <c r="Q379">
        <f>IFERROR(__xludf.DUMMYFUNCTION("""COMPUTED_VALUE"""),7738.0)</f>
        <v>7738</v>
      </c>
      <c r="R379" t="str">
        <f>IFERROR(__xludf.DUMMYFUNCTION("""COMPUTED_VALUE"""),"-")</f>
        <v>-</v>
      </c>
      <c r="S379" t="str">
        <f>IFERROR(__xludf.DUMMYFUNCTION("""COMPUTED_VALUE"""),"-")</f>
        <v>-</v>
      </c>
      <c r="T379" t="str">
        <f>IFERROR(__xludf.DUMMYFUNCTION("""COMPUTED_VALUE"""),"-")</f>
        <v>-</v>
      </c>
      <c r="U379" t="str">
        <f>IFERROR(__xludf.DUMMYFUNCTION("""COMPUTED_VALUE"""),"-")</f>
        <v>-</v>
      </c>
      <c r="V379" t="str">
        <f>IFERROR(__xludf.DUMMYFUNCTION("""COMPUTED_VALUE"""),"-")</f>
        <v>-</v>
      </c>
      <c r="W379" t="str">
        <f>IFERROR(__xludf.DUMMYFUNCTION("""COMPUTED_VALUE"""),"-")</f>
        <v>-</v>
      </c>
      <c r="X379" t="str">
        <f>IFERROR(__xludf.DUMMYFUNCTION("""COMPUTED_VALUE"""),"-")</f>
        <v>-</v>
      </c>
      <c r="Y379" t="str">
        <f>IFERROR(__xludf.DUMMYFUNCTION("""COMPUTED_VALUE"""),"-")</f>
        <v>-</v>
      </c>
      <c r="Z379" t="str">
        <f>IFERROR(__xludf.DUMMYFUNCTION("""COMPUTED_VALUE"""),"-")</f>
        <v>-</v>
      </c>
      <c r="AA379" t="str">
        <f>IFERROR(__xludf.DUMMYFUNCTION("""COMPUTED_VALUE"""),"-")</f>
        <v>-</v>
      </c>
    </row>
    <row r="380">
      <c r="A380" t="str">
        <f>IFERROR(__xludf.DUMMYFUNCTION("""COMPUTED_VALUE"""),"#379")</f>
        <v>#379</v>
      </c>
      <c r="B380" t="str">
        <f>IFERROR(__xludf.DUMMYFUNCTION("""COMPUTED_VALUE"""),"Annie Chapelier")</f>
        <v>Annie Chapelier</v>
      </c>
      <c r="C380">
        <f>IFERROR(__xludf.DUMMYFUNCTION("""COMPUTED_VALUE"""),7692.0)</f>
        <v>7692</v>
      </c>
      <c r="D380" t="str">
        <f>IFERROR(__xludf.DUMMYFUNCTION("""COMPUTED_VALUE"""),"-")</f>
        <v>-</v>
      </c>
      <c r="E380" t="str">
        <f>IFERROR(__xludf.DUMMYFUNCTION("""COMPUTED_VALUE"""),"-")</f>
        <v>-</v>
      </c>
      <c r="F380" t="str">
        <f>IFERROR(__xludf.DUMMYFUNCTION("""COMPUTED_VALUE"""),"-")</f>
        <v>-</v>
      </c>
      <c r="G380" t="str">
        <f>IFERROR(__xludf.DUMMYFUNCTION("""COMPUTED_VALUE"""),"-")</f>
        <v>-</v>
      </c>
      <c r="H380" t="str">
        <f>IFERROR(__xludf.DUMMYFUNCTION("""COMPUTED_VALUE"""),"-")</f>
        <v>-</v>
      </c>
      <c r="I380" t="str">
        <f>IFERROR(__xludf.DUMMYFUNCTION("""COMPUTED_VALUE"""),"-")</f>
        <v>-</v>
      </c>
      <c r="J380" t="str">
        <f>IFERROR(__xludf.DUMMYFUNCTION("""COMPUTED_VALUE"""),"-")</f>
        <v>-</v>
      </c>
      <c r="K380" t="str">
        <f>IFERROR(__xludf.DUMMYFUNCTION("""COMPUTED_VALUE"""),"-")</f>
        <v>-</v>
      </c>
      <c r="L380" t="str">
        <f>IFERROR(__xludf.DUMMYFUNCTION("""COMPUTED_VALUE"""),"-")</f>
        <v>-</v>
      </c>
      <c r="M380" t="str">
        <f>IFERROR(__xludf.DUMMYFUNCTION("""COMPUTED_VALUE"""),"-")</f>
        <v>-</v>
      </c>
      <c r="O380" t="str">
        <f>IFERROR(__xludf.DUMMYFUNCTION("""COMPUTED_VALUE"""),"#379")</f>
        <v>#379</v>
      </c>
      <c r="P380" t="str">
        <f>IFERROR(__xludf.DUMMYFUNCTION("""COMPUTED_VALUE"""),"Annie Chapelier")</f>
        <v>Annie Chapelier</v>
      </c>
      <c r="Q380">
        <f>IFERROR(__xludf.DUMMYFUNCTION("""COMPUTED_VALUE"""),7692.0)</f>
        <v>7692</v>
      </c>
      <c r="R380" t="str">
        <f>IFERROR(__xludf.DUMMYFUNCTION("""COMPUTED_VALUE"""),"-")</f>
        <v>-</v>
      </c>
      <c r="S380" t="str">
        <f>IFERROR(__xludf.DUMMYFUNCTION("""COMPUTED_VALUE"""),"-")</f>
        <v>-</v>
      </c>
      <c r="T380" t="str">
        <f>IFERROR(__xludf.DUMMYFUNCTION("""COMPUTED_VALUE"""),"-")</f>
        <v>-</v>
      </c>
      <c r="U380" t="str">
        <f>IFERROR(__xludf.DUMMYFUNCTION("""COMPUTED_VALUE"""),"-")</f>
        <v>-</v>
      </c>
      <c r="V380" t="str">
        <f>IFERROR(__xludf.DUMMYFUNCTION("""COMPUTED_VALUE"""),"-")</f>
        <v>-</v>
      </c>
      <c r="W380" t="str">
        <f>IFERROR(__xludf.DUMMYFUNCTION("""COMPUTED_VALUE"""),"-")</f>
        <v>-</v>
      </c>
      <c r="X380" t="str">
        <f>IFERROR(__xludf.DUMMYFUNCTION("""COMPUTED_VALUE"""),"-")</f>
        <v>-</v>
      </c>
      <c r="Y380" t="str">
        <f>IFERROR(__xludf.DUMMYFUNCTION("""COMPUTED_VALUE"""),"-")</f>
        <v>-</v>
      </c>
      <c r="Z380" t="str">
        <f>IFERROR(__xludf.DUMMYFUNCTION("""COMPUTED_VALUE"""),"-")</f>
        <v>-</v>
      </c>
      <c r="AA380" t="str">
        <f>IFERROR(__xludf.DUMMYFUNCTION("""COMPUTED_VALUE"""),"-")</f>
        <v>-</v>
      </c>
    </row>
    <row r="381">
      <c r="A381" t="str">
        <f>IFERROR(__xludf.DUMMYFUNCTION("""COMPUTED_VALUE"""),"#380")</f>
        <v>#380</v>
      </c>
      <c r="B381" t="str">
        <f>IFERROR(__xludf.DUMMYFUNCTION("""COMPUTED_VALUE"""),"Dominique Voynet")</f>
        <v>Dominique Voynet</v>
      </c>
      <c r="C381">
        <f>IFERROR(__xludf.DUMMYFUNCTION("""COMPUTED_VALUE"""),7517.0)</f>
        <v>7517</v>
      </c>
      <c r="D381" t="str">
        <f>IFERROR(__xludf.DUMMYFUNCTION("""COMPUTED_VALUE"""),"-")</f>
        <v>-</v>
      </c>
      <c r="E381" t="str">
        <f>IFERROR(__xludf.DUMMYFUNCTION("""COMPUTED_VALUE"""),"-")</f>
        <v>-</v>
      </c>
      <c r="F381" t="str">
        <f>IFERROR(__xludf.DUMMYFUNCTION("""COMPUTED_VALUE"""),"-")</f>
        <v>-</v>
      </c>
      <c r="G381" t="str">
        <f>IFERROR(__xludf.DUMMYFUNCTION("""COMPUTED_VALUE"""),"-")</f>
        <v>-</v>
      </c>
      <c r="H381" t="str">
        <f>IFERROR(__xludf.DUMMYFUNCTION("""COMPUTED_VALUE"""),"-")</f>
        <v>-</v>
      </c>
      <c r="I381" t="str">
        <f>IFERROR(__xludf.DUMMYFUNCTION("""COMPUTED_VALUE"""),"-")</f>
        <v>-</v>
      </c>
      <c r="J381" t="str">
        <f>IFERROR(__xludf.DUMMYFUNCTION("""COMPUTED_VALUE"""),"-")</f>
        <v>-</v>
      </c>
      <c r="K381" t="str">
        <f>IFERROR(__xludf.DUMMYFUNCTION("""COMPUTED_VALUE"""),"-")</f>
        <v>-</v>
      </c>
      <c r="L381" t="str">
        <f>IFERROR(__xludf.DUMMYFUNCTION("""COMPUTED_VALUE"""),"-")</f>
        <v>-</v>
      </c>
      <c r="M381" t="str">
        <f>IFERROR(__xludf.DUMMYFUNCTION("""COMPUTED_VALUE"""),"-")</f>
        <v>-</v>
      </c>
      <c r="O381" t="str">
        <f>IFERROR(__xludf.DUMMYFUNCTION("""COMPUTED_VALUE"""),"#380")</f>
        <v>#380</v>
      </c>
      <c r="P381" t="str">
        <f>IFERROR(__xludf.DUMMYFUNCTION("""COMPUTED_VALUE"""),"Dominique Voynet")</f>
        <v>Dominique Voynet</v>
      </c>
      <c r="Q381">
        <f>IFERROR(__xludf.DUMMYFUNCTION("""COMPUTED_VALUE"""),7517.0)</f>
        <v>7517</v>
      </c>
      <c r="R381" t="str">
        <f>IFERROR(__xludf.DUMMYFUNCTION("""COMPUTED_VALUE"""),"-")</f>
        <v>-</v>
      </c>
      <c r="S381" t="str">
        <f>IFERROR(__xludf.DUMMYFUNCTION("""COMPUTED_VALUE"""),"-")</f>
        <v>-</v>
      </c>
      <c r="T381" t="str">
        <f>IFERROR(__xludf.DUMMYFUNCTION("""COMPUTED_VALUE"""),"-")</f>
        <v>-</v>
      </c>
      <c r="U381" t="str">
        <f>IFERROR(__xludf.DUMMYFUNCTION("""COMPUTED_VALUE"""),"-")</f>
        <v>-</v>
      </c>
      <c r="V381" t="str">
        <f>IFERROR(__xludf.DUMMYFUNCTION("""COMPUTED_VALUE"""),"-")</f>
        <v>-</v>
      </c>
      <c r="W381" t="str">
        <f>IFERROR(__xludf.DUMMYFUNCTION("""COMPUTED_VALUE"""),"-")</f>
        <v>-</v>
      </c>
      <c r="X381" t="str">
        <f>IFERROR(__xludf.DUMMYFUNCTION("""COMPUTED_VALUE"""),"-")</f>
        <v>-</v>
      </c>
      <c r="Y381" t="str">
        <f>IFERROR(__xludf.DUMMYFUNCTION("""COMPUTED_VALUE"""),"-")</f>
        <v>-</v>
      </c>
      <c r="Z381" t="str">
        <f>IFERROR(__xludf.DUMMYFUNCTION("""COMPUTED_VALUE"""),"-")</f>
        <v>-</v>
      </c>
      <c r="AA381" t="str">
        <f>IFERROR(__xludf.DUMMYFUNCTION("""COMPUTED_VALUE"""),"-")</f>
        <v>-</v>
      </c>
    </row>
    <row r="382">
      <c r="A382" t="str">
        <f>IFERROR(__xludf.DUMMYFUNCTION("""COMPUTED_VALUE"""),"#381")</f>
        <v>#381</v>
      </c>
      <c r="B382" t="str">
        <f>IFERROR(__xludf.DUMMYFUNCTION("""COMPUTED_VALUE"""),"Michèle Tabarot")</f>
        <v>Michèle Tabarot</v>
      </c>
      <c r="C382">
        <f>IFERROR(__xludf.DUMMYFUNCTION("""COMPUTED_VALUE"""),7514.0)</f>
        <v>7514</v>
      </c>
      <c r="D382" t="str">
        <f>IFERROR(__xludf.DUMMYFUNCTION("""COMPUTED_VALUE"""),"-")</f>
        <v>-</v>
      </c>
      <c r="E382" t="str">
        <f>IFERROR(__xludf.DUMMYFUNCTION("""COMPUTED_VALUE"""),"-")</f>
        <v>-</v>
      </c>
      <c r="F382" t="str">
        <f>IFERROR(__xludf.DUMMYFUNCTION("""COMPUTED_VALUE"""),"-")</f>
        <v>-</v>
      </c>
      <c r="G382" t="str">
        <f>IFERROR(__xludf.DUMMYFUNCTION("""COMPUTED_VALUE"""),"-")</f>
        <v>-</v>
      </c>
      <c r="H382" t="str">
        <f>IFERROR(__xludf.DUMMYFUNCTION("""COMPUTED_VALUE"""),"-")</f>
        <v>-</v>
      </c>
      <c r="I382" t="str">
        <f>IFERROR(__xludf.DUMMYFUNCTION("""COMPUTED_VALUE"""),"-")</f>
        <v>-</v>
      </c>
      <c r="J382" t="str">
        <f>IFERROR(__xludf.DUMMYFUNCTION("""COMPUTED_VALUE"""),"-")</f>
        <v>-</v>
      </c>
      <c r="K382" t="str">
        <f>IFERROR(__xludf.DUMMYFUNCTION("""COMPUTED_VALUE"""),"-")</f>
        <v>-</v>
      </c>
      <c r="L382" t="str">
        <f>IFERROR(__xludf.DUMMYFUNCTION("""COMPUTED_VALUE"""),"-")</f>
        <v>-</v>
      </c>
      <c r="M382" t="str">
        <f>IFERROR(__xludf.DUMMYFUNCTION("""COMPUTED_VALUE"""),"-")</f>
        <v>-</v>
      </c>
      <c r="O382" t="str">
        <f>IFERROR(__xludf.DUMMYFUNCTION("""COMPUTED_VALUE"""),"#381")</f>
        <v>#381</v>
      </c>
      <c r="P382" t="str">
        <f>IFERROR(__xludf.DUMMYFUNCTION("""COMPUTED_VALUE"""),"Michèle Tabarot")</f>
        <v>Michèle Tabarot</v>
      </c>
      <c r="Q382">
        <f>IFERROR(__xludf.DUMMYFUNCTION("""COMPUTED_VALUE"""),7514.0)</f>
        <v>7514</v>
      </c>
      <c r="R382" t="str">
        <f>IFERROR(__xludf.DUMMYFUNCTION("""COMPUTED_VALUE"""),"-")</f>
        <v>-</v>
      </c>
      <c r="S382" t="str">
        <f>IFERROR(__xludf.DUMMYFUNCTION("""COMPUTED_VALUE"""),"-")</f>
        <v>-</v>
      </c>
      <c r="T382" t="str">
        <f>IFERROR(__xludf.DUMMYFUNCTION("""COMPUTED_VALUE"""),"-")</f>
        <v>-</v>
      </c>
      <c r="U382" t="str">
        <f>IFERROR(__xludf.DUMMYFUNCTION("""COMPUTED_VALUE"""),"-")</f>
        <v>-</v>
      </c>
      <c r="V382" t="str">
        <f>IFERROR(__xludf.DUMMYFUNCTION("""COMPUTED_VALUE"""),"-")</f>
        <v>-</v>
      </c>
      <c r="W382" t="str">
        <f>IFERROR(__xludf.DUMMYFUNCTION("""COMPUTED_VALUE"""),"-")</f>
        <v>-</v>
      </c>
      <c r="X382" t="str">
        <f>IFERROR(__xludf.DUMMYFUNCTION("""COMPUTED_VALUE"""),"-")</f>
        <v>-</v>
      </c>
      <c r="Y382" t="str">
        <f>IFERROR(__xludf.DUMMYFUNCTION("""COMPUTED_VALUE"""),"-")</f>
        <v>-</v>
      </c>
      <c r="Z382" t="str">
        <f>IFERROR(__xludf.DUMMYFUNCTION("""COMPUTED_VALUE"""),"-")</f>
        <v>-</v>
      </c>
      <c r="AA382" t="str">
        <f>IFERROR(__xludf.DUMMYFUNCTION("""COMPUTED_VALUE"""),"-")</f>
        <v>-</v>
      </c>
    </row>
    <row r="383">
      <c r="A383" t="str">
        <f>IFERROR(__xludf.DUMMYFUNCTION("""COMPUTED_VALUE"""),"#382")</f>
        <v>#382</v>
      </c>
      <c r="B383" t="str">
        <f>IFERROR(__xludf.DUMMYFUNCTION("""COMPUTED_VALUE"""),"Nicolas Démoulin")</f>
        <v>Nicolas Démoulin</v>
      </c>
      <c r="C383">
        <f>IFERROR(__xludf.DUMMYFUNCTION("""COMPUTED_VALUE"""),7464.0)</f>
        <v>7464</v>
      </c>
      <c r="D383" t="str">
        <f>IFERROR(__xludf.DUMMYFUNCTION("""COMPUTED_VALUE"""),"-")</f>
        <v>-</v>
      </c>
      <c r="E383" t="str">
        <f>IFERROR(__xludf.DUMMYFUNCTION("""COMPUTED_VALUE"""),"-")</f>
        <v>-</v>
      </c>
      <c r="F383" t="str">
        <f>IFERROR(__xludf.DUMMYFUNCTION("""COMPUTED_VALUE"""),"-")</f>
        <v>-</v>
      </c>
      <c r="G383" t="str">
        <f>IFERROR(__xludf.DUMMYFUNCTION("""COMPUTED_VALUE"""),"-")</f>
        <v>-</v>
      </c>
      <c r="H383" t="str">
        <f>IFERROR(__xludf.DUMMYFUNCTION("""COMPUTED_VALUE"""),"-")</f>
        <v>-</v>
      </c>
      <c r="I383" t="str">
        <f>IFERROR(__xludf.DUMMYFUNCTION("""COMPUTED_VALUE"""),"-")</f>
        <v>-</v>
      </c>
      <c r="J383" t="str">
        <f>IFERROR(__xludf.DUMMYFUNCTION("""COMPUTED_VALUE"""),"-")</f>
        <v>-</v>
      </c>
      <c r="K383" t="str">
        <f>IFERROR(__xludf.DUMMYFUNCTION("""COMPUTED_VALUE"""),"-")</f>
        <v>-</v>
      </c>
      <c r="L383" t="str">
        <f>IFERROR(__xludf.DUMMYFUNCTION("""COMPUTED_VALUE"""),"-")</f>
        <v>-</v>
      </c>
      <c r="M383" t="str">
        <f>IFERROR(__xludf.DUMMYFUNCTION("""COMPUTED_VALUE"""),"-")</f>
        <v>-</v>
      </c>
      <c r="O383" t="str">
        <f>IFERROR(__xludf.DUMMYFUNCTION("""COMPUTED_VALUE"""),"#382")</f>
        <v>#382</v>
      </c>
      <c r="P383" t="str">
        <f>IFERROR(__xludf.DUMMYFUNCTION("""COMPUTED_VALUE"""),"Nicolas Démoulin")</f>
        <v>Nicolas Démoulin</v>
      </c>
      <c r="Q383">
        <f>IFERROR(__xludf.DUMMYFUNCTION("""COMPUTED_VALUE"""),7464.0)</f>
        <v>7464</v>
      </c>
      <c r="R383" t="str">
        <f>IFERROR(__xludf.DUMMYFUNCTION("""COMPUTED_VALUE"""),"-")</f>
        <v>-</v>
      </c>
      <c r="S383" t="str">
        <f>IFERROR(__xludf.DUMMYFUNCTION("""COMPUTED_VALUE"""),"-")</f>
        <v>-</v>
      </c>
      <c r="T383" t="str">
        <f>IFERROR(__xludf.DUMMYFUNCTION("""COMPUTED_VALUE"""),"-")</f>
        <v>-</v>
      </c>
      <c r="U383" t="str">
        <f>IFERROR(__xludf.DUMMYFUNCTION("""COMPUTED_VALUE"""),"-")</f>
        <v>-</v>
      </c>
      <c r="V383" t="str">
        <f>IFERROR(__xludf.DUMMYFUNCTION("""COMPUTED_VALUE"""),"-")</f>
        <v>-</v>
      </c>
      <c r="W383" t="str">
        <f>IFERROR(__xludf.DUMMYFUNCTION("""COMPUTED_VALUE"""),"-")</f>
        <v>-</v>
      </c>
      <c r="X383" t="str">
        <f>IFERROR(__xludf.DUMMYFUNCTION("""COMPUTED_VALUE"""),"-")</f>
        <v>-</v>
      </c>
      <c r="Y383" t="str">
        <f>IFERROR(__xludf.DUMMYFUNCTION("""COMPUTED_VALUE"""),"-")</f>
        <v>-</v>
      </c>
      <c r="Z383" t="str">
        <f>IFERROR(__xludf.DUMMYFUNCTION("""COMPUTED_VALUE"""),"-")</f>
        <v>-</v>
      </c>
      <c r="AA383" t="str">
        <f>IFERROR(__xludf.DUMMYFUNCTION("""COMPUTED_VALUE"""),"-")</f>
        <v>-</v>
      </c>
    </row>
    <row r="384">
      <c r="A384" t="str">
        <f>IFERROR(__xludf.DUMMYFUNCTION("""COMPUTED_VALUE"""),"#383")</f>
        <v>#383</v>
      </c>
      <c r="B384" t="str">
        <f>IFERROR(__xludf.DUMMYFUNCTION("""COMPUTED_VALUE"""),"Rudy Salles")</f>
        <v>Rudy Salles</v>
      </c>
      <c r="C384">
        <f>IFERROR(__xludf.DUMMYFUNCTION("""COMPUTED_VALUE"""),7314.0)</f>
        <v>7314</v>
      </c>
      <c r="D384" t="str">
        <f>IFERROR(__xludf.DUMMYFUNCTION("""COMPUTED_VALUE"""),"-")</f>
        <v>-</v>
      </c>
      <c r="E384" t="str">
        <f>IFERROR(__xludf.DUMMYFUNCTION("""COMPUTED_VALUE"""),"-")</f>
        <v>-</v>
      </c>
      <c r="F384" t="str">
        <f>IFERROR(__xludf.DUMMYFUNCTION("""COMPUTED_VALUE"""),"-")</f>
        <v>-</v>
      </c>
      <c r="G384" t="str">
        <f>IFERROR(__xludf.DUMMYFUNCTION("""COMPUTED_VALUE"""),"-")</f>
        <v>-</v>
      </c>
      <c r="H384" t="str">
        <f>IFERROR(__xludf.DUMMYFUNCTION("""COMPUTED_VALUE"""),"-")</f>
        <v>-</v>
      </c>
      <c r="I384" t="str">
        <f>IFERROR(__xludf.DUMMYFUNCTION("""COMPUTED_VALUE"""),"-")</f>
        <v>-</v>
      </c>
      <c r="J384" t="str">
        <f>IFERROR(__xludf.DUMMYFUNCTION("""COMPUTED_VALUE"""),"-")</f>
        <v>-</v>
      </c>
      <c r="K384" t="str">
        <f>IFERROR(__xludf.DUMMYFUNCTION("""COMPUTED_VALUE"""),"-")</f>
        <v>-</v>
      </c>
      <c r="L384" t="str">
        <f>IFERROR(__xludf.DUMMYFUNCTION("""COMPUTED_VALUE"""),"-")</f>
        <v>-</v>
      </c>
      <c r="M384" t="str">
        <f>IFERROR(__xludf.DUMMYFUNCTION("""COMPUTED_VALUE"""),"-")</f>
        <v>-</v>
      </c>
      <c r="O384" t="str">
        <f>IFERROR(__xludf.DUMMYFUNCTION("""COMPUTED_VALUE"""),"#383")</f>
        <v>#383</v>
      </c>
      <c r="P384" t="str">
        <f>IFERROR(__xludf.DUMMYFUNCTION("""COMPUTED_VALUE"""),"Rudy Salles")</f>
        <v>Rudy Salles</v>
      </c>
      <c r="Q384">
        <f>IFERROR(__xludf.DUMMYFUNCTION("""COMPUTED_VALUE"""),7314.0)</f>
        <v>7314</v>
      </c>
      <c r="R384" t="str">
        <f>IFERROR(__xludf.DUMMYFUNCTION("""COMPUTED_VALUE"""),"-")</f>
        <v>-</v>
      </c>
      <c r="S384" t="str">
        <f>IFERROR(__xludf.DUMMYFUNCTION("""COMPUTED_VALUE"""),"-")</f>
        <v>-</v>
      </c>
      <c r="T384" t="str">
        <f>IFERROR(__xludf.DUMMYFUNCTION("""COMPUTED_VALUE"""),"-")</f>
        <v>-</v>
      </c>
      <c r="U384" t="str">
        <f>IFERROR(__xludf.DUMMYFUNCTION("""COMPUTED_VALUE"""),"-")</f>
        <v>-</v>
      </c>
      <c r="V384" t="str">
        <f>IFERROR(__xludf.DUMMYFUNCTION("""COMPUTED_VALUE"""),"-")</f>
        <v>-</v>
      </c>
      <c r="W384" t="str">
        <f>IFERROR(__xludf.DUMMYFUNCTION("""COMPUTED_VALUE"""),"-")</f>
        <v>-</v>
      </c>
      <c r="X384" t="str">
        <f>IFERROR(__xludf.DUMMYFUNCTION("""COMPUTED_VALUE"""),"-")</f>
        <v>-</v>
      </c>
      <c r="Y384" t="str">
        <f>IFERROR(__xludf.DUMMYFUNCTION("""COMPUTED_VALUE"""),"-")</f>
        <v>-</v>
      </c>
      <c r="Z384" t="str">
        <f>IFERROR(__xludf.DUMMYFUNCTION("""COMPUTED_VALUE"""),"-")</f>
        <v>-</v>
      </c>
      <c r="AA384" t="str">
        <f>IFERROR(__xludf.DUMMYFUNCTION("""COMPUTED_VALUE"""),"-")</f>
        <v>-</v>
      </c>
    </row>
    <row r="385">
      <c r="A385" t="str">
        <f>IFERROR(__xludf.DUMMYFUNCTION("""COMPUTED_VALUE"""),"#384")</f>
        <v>#384</v>
      </c>
      <c r="B385" t="str">
        <f>IFERROR(__xludf.DUMMYFUNCTION("""COMPUTED_VALUE"""),"Emilie Guerel")</f>
        <v>Emilie Guerel</v>
      </c>
      <c r="C385">
        <f>IFERROR(__xludf.DUMMYFUNCTION("""COMPUTED_VALUE"""),7267.0)</f>
        <v>7267</v>
      </c>
      <c r="D385" t="str">
        <f>IFERROR(__xludf.DUMMYFUNCTION("""COMPUTED_VALUE"""),"-")</f>
        <v>-</v>
      </c>
      <c r="E385" t="str">
        <f>IFERROR(__xludf.DUMMYFUNCTION("""COMPUTED_VALUE"""),"-")</f>
        <v>-</v>
      </c>
      <c r="F385" t="str">
        <f>IFERROR(__xludf.DUMMYFUNCTION("""COMPUTED_VALUE"""),"-")</f>
        <v>-</v>
      </c>
      <c r="G385" t="str">
        <f>IFERROR(__xludf.DUMMYFUNCTION("""COMPUTED_VALUE"""),"-")</f>
        <v>-</v>
      </c>
      <c r="H385" t="str">
        <f>IFERROR(__xludf.DUMMYFUNCTION("""COMPUTED_VALUE"""),"-")</f>
        <v>-</v>
      </c>
      <c r="I385" t="str">
        <f>IFERROR(__xludf.DUMMYFUNCTION("""COMPUTED_VALUE"""),"-")</f>
        <v>-</v>
      </c>
      <c r="J385" t="str">
        <f>IFERROR(__xludf.DUMMYFUNCTION("""COMPUTED_VALUE"""),"-")</f>
        <v>-</v>
      </c>
      <c r="K385" t="str">
        <f>IFERROR(__xludf.DUMMYFUNCTION("""COMPUTED_VALUE"""),"-")</f>
        <v>-</v>
      </c>
      <c r="L385" t="str">
        <f>IFERROR(__xludf.DUMMYFUNCTION("""COMPUTED_VALUE"""),"-")</f>
        <v>-</v>
      </c>
      <c r="M385" t="str">
        <f>IFERROR(__xludf.DUMMYFUNCTION("""COMPUTED_VALUE"""),"-")</f>
        <v>-</v>
      </c>
      <c r="O385" t="str">
        <f>IFERROR(__xludf.DUMMYFUNCTION("""COMPUTED_VALUE"""),"#384")</f>
        <v>#384</v>
      </c>
      <c r="P385" t="str">
        <f>IFERROR(__xludf.DUMMYFUNCTION("""COMPUTED_VALUE"""),"Emilie Guerel")</f>
        <v>Emilie Guerel</v>
      </c>
      <c r="Q385">
        <f>IFERROR(__xludf.DUMMYFUNCTION("""COMPUTED_VALUE"""),7267.0)</f>
        <v>7267</v>
      </c>
      <c r="R385" t="str">
        <f>IFERROR(__xludf.DUMMYFUNCTION("""COMPUTED_VALUE"""),"-")</f>
        <v>-</v>
      </c>
      <c r="S385" t="str">
        <f>IFERROR(__xludf.DUMMYFUNCTION("""COMPUTED_VALUE"""),"-")</f>
        <v>-</v>
      </c>
      <c r="T385" t="str">
        <f>IFERROR(__xludf.DUMMYFUNCTION("""COMPUTED_VALUE"""),"-")</f>
        <v>-</v>
      </c>
      <c r="U385" t="str">
        <f>IFERROR(__xludf.DUMMYFUNCTION("""COMPUTED_VALUE"""),"-")</f>
        <v>-</v>
      </c>
      <c r="V385" t="str">
        <f>IFERROR(__xludf.DUMMYFUNCTION("""COMPUTED_VALUE"""),"-")</f>
        <v>-</v>
      </c>
      <c r="W385" t="str">
        <f>IFERROR(__xludf.DUMMYFUNCTION("""COMPUTED_VALUE"""),"-")</f>
        <v>-</v>
      </c>
      <c r="X385" t="str">
        <f>IFERROR(__xludf.DUMMYFUNCTION("""COMPUTED_VALUE"""),"-")</f>
        <v>-</v>
      </c>
      <c r="Y385" t="str">
        <f>IFERROR(__xludf.DUMMYFUNCTION("""COMPUTED_VALUE"""),"-")</f>
        <v>-</v>
      </c>
      <c r="Z385" t="str">
        <f>IFERROR(__xludf.DUMMYFUNCTION("""COMPUTED_VALUE"""),"-")</f>
        <v>-</v>
      </c>
      <c r="AA385" t="str">
        <f>IFERROR(__xludf.DUMMYFUNCTION("""COMPUTED_VALUE"""),"-")</f>
        <v>-</v>
      </c>
    </row>
    <row r="386">
      <c r="A386" t="str">
        <f>IFERROR(__xludf.DUMMYFUNCTION("""COMPUTED_VALUE"""),"#385")</f>
        <v>#385</v>
      </c>
      <c r="B386" t="str">
        <f>IFERROR(__xludf.DUMMYFUNCTION("""COMPUTED_VALUE"""),"Guillaume Gontard")</f>
        <v>Guillaume Gontard</v>
      </c>
      <c r="C386">
        <f>IFERROR(__xludf.DUMMYFUNCTION("""COMPUTED_VALUE"""),7246.0)</f>
        <v>7246</v>
      </c>
      <c r="D386" t="str">
        <f>IFERROR(__xludf.DUMMYFUNCTION("""COMPUTED_VALUE"""),"-")</f>
        <v>-</v>
      </c>
      <c r="E386" t="str">
        <f>IFERROR(__xludf.DUMMYFUNCTION("""COMPUTED_VALUE"""),"-")</f>
        <v>-</v>
      </c>
      <c r="F386" t="str">
        <f>IFERROR(__xludf.DUMMYFUNCTION("""COMPUTED_VALUE"""),"-")</f>
        <v>-</v>
      </c>
      <c r="G386" t="str">
        <f>IFERROR(__xludf.DUMMYFUNCTION("""COMPUTED_VALUE"""),"-")</f>
        <v>-</v>
      </c>
      <c r="H386" t="str">
        <f>IFERROR(__xludf.DUMMYFUNCTION("""COMPUTED_VALUE"""),"-")</f>
        <v>-</v>
      </c>
      <c r="I386" t="str">
        <f>IFERROR(__xludf.DUMMYFUNCTION("""COMPUTED_VALUE"""),"-")</f>
        <v>-</v>
      </c>
      <c r="J386" t="str">
        <f>IFERROR(__xludf.DUMMYFUNCTION("""COMPUTED_VALUE"""),"-")</f>
        <v>-</v>
      </c>
      <c r="K386" t="str">
        <f>IFERROR(__xludf.DUMMYFUNCTION("""COMPUTED_VALUE"""),"-")</f>
        <v>-</v>
      </c>
      <c r="L386" t="str">
        <f>IFERROR(__xludf.DUMMYFUNCTION("""COMPUTED_VALUE"""),"-")</f>
        <v>-</v>
      </c>
      <c r="M386" t="str">
        <f>IFERROR(__xludf.DUMMYFUNCTION("""COMPUTED_VALUE"""),"-")</f>
        <v>-</v>
      </c>
      <c r="O386" t="str">
        <f>IFERROR(__xludf.DUMMYFUNCTION("""COMPUTED_VALUE"""),"#385")</f>
        <v>#385</v>
      </c>
      <c r="P386" t="str">
        <f>IFERROR(__xludf.DUMMYFUNCTION("""COMPUTED_VALUE"""),"Guillaume Gontard")</f>
        <v>Guillaume Gontard</v>
      </c>
      <c r="Q386">
        <f>IFERROR(__xludf.DUMMYFUNCTION("""COMPUTED_VALUE"""),7246.0)</f>
        <v>7246</v>
      </c>
      <c r="R386" t="str">
        <f>IFERROR(__xludf.DUMMYFUNCTION("""COMPUTED_VALUE"""),"-")</f>
        <v>-</v>
      </c>
      <c r="S386" t="str">
        <f>IFERROR(__xludf.DUMMYFUNCTION("""COMPUTED_VALUE"""),"-")</f>
        <v>-</v>
      </c>
      <c r="T386" t="str">
        <f>IFERROR(__xludf.DUMMYFUNCTION("""COMPUTED_VALUE"""),"-")</f>
        <v>-</v>
      </c>
      <c r="U386" t="str">
        <f>IFERROR(__xludf.DUMMYFUNCTION("""COMPUTED_VALUE"""),"-")</f>
        <v>-</v>
      </c>
      <c r="V386" t="str">
        <f>IFERROR(__xludf.DUMMYFUNCTION("""COMPUTED_VALUE"""),"-")</f>
        <v>-</v>
      </c>
      <c r="W386" t="str">
        <f>IFERROR(__xludf.DUMMYFUNCTION("""COMPUTED_VALUE"""),"-")</f>
        <v>-</v>
      </c>
      <c r="X386" t="str">
        <f>IFERROR(__xludf.DUMMYFUNCTION("""COMPUTED_VALUE"""),"-")</f>
        <v>-</v>
      </c>
      <c r="Y386" t="str">
        <f>IFERROR(__xludf.DUMMYFUNCTION("""COMPUTED_VALUE"""),"-")</f>
        <v>-</v>
      </c>
      <c r="Z386" t="str">
        <f>IFERROR(__xludf.DUMMYFUNCTION("""COMPUTED_VALUE"""),"-")</f>
        <v>-</v>
      </c>
      <c r="AA386" t="str">
        <f>IFERROR(__xludf.DUMMYFUNCTION("""COMPUTED_VALUE"""),"-")</f>
        <v>-</v>
      </c>
    </row>
    <row r="387">
      <c r="A387" t="str">
        <f>IFERROR(__xludf.DUMMYFUNCTION("""COMPUTED_VALUE"""),"#386")</f>
        <v>#386</v>
      </c>
      <c r="B387" t="str">
        <f>IFERROR(__xludf.DUMMYFUNCTION("""COMPUTED_VALUE"""),"Nathalie Griesbeck")</f>
        <v>Nathalie Griesbeck</v>
      </c>
      <c r="C387">
        <f>IFERROR(__xludf.DUMMYFUNCTION("""COMPUTED_VALUE"""),7219.0)</f>
        <v>7219</v>
      </c>
      <c r="D387" t="str">
        <f>IFERROR(__xludf.DUMMYFUNCTION("""COMPUTED_VALUE"""),"-")</f>
        <v>-</v>
      </c>
      <c r="E387" t="str">
        <f>IFERROR(__xludf.DUMMYFUNCTION("""COMPUTED_VALUE"""),"-")</f>
        <v>-</v>
      </c>
      <c r="F387" t="str">
        <f>IFERROR(__xludf.DUMMYFUNCTION("""COMPUTED_VALUE"""),"-")</f>
        <v>-</v>
      </c>
      <c r="G387" t="str">
        <f>IFERROR(__xludf.DUMMYFUNCTION("""COMPUTED_VALUE"""),"-")</f>
        <v>-</v>
      </c>
      <c r="H387" t="str">
        <f>IFERROR(__xludf.DUMMYFUNCTION("""COMPUTED_VALUE"""),"-")</f>
        <v>-</v>
      </c>
      <c r="I387" t="str">
        <f>IFERROR(__xludf.DUMMYFUNCTION("""COMPUTED_VALUE"""),"-")</f>
        <v>-</v>
      </c>
      <c r="J387" t="str">
        <f>IFERROR(__xludf.DUMMYFUNCTION("""COMPUTED_VALUE"""),"-")</f>
        <v>-</v>
      </c>
      <c r="K387" t="str">
        <f>IFERROR(__xludf.DUMMYFUNCTION("""COMPUTED_VALUE"""),"-")</f>
        <v>-</v>
      </c>
      <c r="L387" t="str">
        <f>IFERROR(__xludf.DUMMYFUNCTION("""COMPUTED_VALUE"""),"-")</f>
        <v>-</v>
      </c>
      <c r="M387" t="str">
        <f>IFERROR(__xludf.DUMMYFUNCTION("""COMPUTED_VALUE"""),"-")</f>
        <v>-</v>
      </c>
      <c r="O387" t="str">
        <f>IFERROR(__xludf.DUMMYFUNCTION("""COMPUTED_VALUE"""),"#386")</f>
        <v>#386</v>
      </c>
      <c r="P387" t="str">
        <f>IFERROR(__xludf.DUMMYFUNCTION("""COMPUTED_VALUE"""),"Nathalie Griesbeck")</f>
        <v>Nathalie Griesbeck</v>
      </c>
      <c r="Q387">
        <f>IFERROR(__xludf.DUMMYFUNCTION("""COMPUTED_VALUE"""),7219.0)</f>
        <v>7219</v>
      </c>
      <c r="R387" t="str">
        <f>IFERROR(__xludf.DUMMYFUNCTION("""COMPUTED_VALUE"""),"-")</f>
        <v>-</v>
      </c>
      <c r="S387" t="str">
        <f>IFERROR(__xludf.DUMMYFUNCTION("""COMPUTED_VALUE"""),"-")</f>
        <v>-</v>
      </c>
      <c r="T387" t="str">
        <f>IFERROR(__xludf.DUMMYFUNCTION("""COMPUTED_VALUE"""),"-")</f>
        <v>-</v>
      </c>
      <c r="U387" t="str">
        <f>IFERROR(__xludf.DUMMYFUNCTION("""COMPUTED_VALUE"""),"-")</f>
        <v>-</v>
      </c>
      <c r="V387" t="str">
        <f>IFERROR(__xludf.DUMMYFUNCTION("""COMPUTED_VALUE"""),"-")</f>
        <v>-</v>
      </c>
      <c r="W387" t="str">
        <f>IFERROR(__xludf.DUMMYFUNCTION("""COMPUTED_VALUE"""),"-")</f>
        <v>-</v>
      </c>
      <c r="X387" t="str">
        <f>IFERROR(__xludf.DUMMYFUNCTION("""COMPUTED_VALUE"""),"-")</f>
        <v>-</v>
      </c>
      <c r="Y387" t="str">
        <f>IFERROR(__xludf.DUMMYFUNCTION("""COMPUTED_VALUE"""),"-")</f>
        <v>-</v>
      </c>
      <c r="Z387" t="str">
        <f>IFERROR(__xludf.DUMMYFUNCTION("""COMPUTED_VALUE"""),"-")</f>
        <v>-</v>
      </c>
      <c r="AA387" t="str">
        <f>IFERROR(__xludf.DUMMYFUNCTION("""COMPUTED_VALUE"""),"-")</f>
        <v>-</v>
      </c>
    </row>
    <row r="388">
      <c r="A388" t="str">
        <f>IFERROR(__xludf.DUMMYFUNCTION("""COMPUTED_VALUE"""),"#387")</f>
        <v>#387</v>
      </c>
      <c r="B388" t="str">
        <f>IFERROR(__xludf.DUMMYFUNCTION("""COMPUTED_VALUE"""),"Emmanuelle Ménard")</f>
        <v>Emmanuelle Ménard</v>
      </c>
      <c r="C388">
        <f>IFERROR(__xludf.DUMMYFUNCTION("""COMPUTED_VALUE"""),7053.0)</f>
        <v>7053</v>
      </c>
      <c r="D388" t="str">
        <f>IFERROR(__xludf.DUMMYFUNCTION("""COMPUTED_VALUE"""),"-")</f>
        <v>-</v>
      </c>
      <c r="E388" t="str">
        <f>IFERROR(__xludf.DUMMYFUNCTION("""COMPUTED_VALUE"""),"-")</f>
        <v>-</v>
      </c>
      <c r="F388" t="str">
        <f>IFERROR(__xludf.DUMMYFUNCTION("""COMPUTED_VALUE"""),"-")</f>
        <v>-</v>
      </c>
      <c r="G388" t="str">
        <f>IFERROR(__xludf.DUMMYFUNCTION("""COMPUTED_VALUE"""),"-")</f>
        <v>-</v>
      </c>
      <c r="H388" t="str">
        <f>IFERROR(__xludf.DUMMYFUNCTION("""COMPUTED_VALUE"""),"-")</f>
        <v>-</v>
      </c>
      <c r="I388" t="str">
        <f>IFERROR(__xludf.DUMMYFUNCTION("""COMPUTED_VALUE"""),"-")</f>
        <v>-</v>
      </c>
      <c r="J388" t="str">
        <f>IFERROR(__xludf.DUMMYFUNCTION("""COMPUTED_VALUE"""),"-")</f>
        <v>-</v>
      </c>
      <c r="K388" t="str">
        <f>IFERROR(__xludf.DUMMYFUNCTION("""COMPUTED_VALUE"""),"-")</f>
        <v>-</v>
      </c>
      <c r="L388" t="str">
        <f>IFERROR(__xludf.DUMMYFUNCTION("""COMPUTED_VALUE"""),"-")</f>
        <v>-</v>
      </c>
      <c r="M388" t="str">
        <f>IFERROR(__xludf.DUMMYFUNCTION("""COMPUTED_VALUE"""),"-")</f>
        <v>-</v>
      </c>
      <c r="O388" t="str">
        <f>IFERROR(__xludf.DUMMYFUNCTION("""COMPUTED_VALUE"""),"#387")</f>
        <v>#387</v>
      </c>
      <c r="P388" t="str">
        <f>IFERROR(__xludf.DUMMYFUNCTION("""COMPUTED_VALUE"""),"Emmanuelle Ménard")</f>
        <v>Emmanuelle Ménard</v>
      </c>
      <c r="Q388">
        <f>IFERROR(__xludf.DUMMYFUNCTION("""COMPUTED_VALUE"""),7053.0)</f>
        <v>7053</v>
      </c>
      <c r="R388" t="str">
        <f>IFERROR(__xludf.DUMMYFUNCTION("""COMPUTED_VALUE"""),"-")</f>
        <v>-</v>
      </c>
      <c r="S388" t="str">
        <f>IFERROR(__xludf.DUMMYFUNCTION("""COMPUTED_VALUE"""),"-")</f>
        <v>-</v>
      </c>
      <c r="T388" t="str">
        <f>IFERROR(__xludf.DUMMYFUNCTION("""COMPUTED_VALUE"""),"-")</f>
        <v>-</v>
      </c>
      <c r="U388" t="str">
        <f>IFERROR(__xludf.DUMMYFUNCTION("""COMPUTED_VALUE"""),"-")</f>
        <v>-</v>
      </c>
      <c r="V388" t="str">
        <f>IFERROR(__xludf.DUMMYFUNCTION("""COMPUTED_VALUE"""),"-")</f>
        <v>-</v>
      </c>
      <c r="W388" t="str">
        <f>IFERROR(__xludf.DUMMYFUNCTION("""COMPUTED_VALUE"""),"-")</f>
        <v>-</v>
      </c>
      <c r="X388" t="str">
        <f>IFERROR(__xludf.DUMMYFUNCTION("""COMPUTED_VALUE"""),"-")</f>
        <v>-</v>
      </c>
      <c r="Y388" t="str">
        <f>IFERROR(__xludf.DUMMYFUNCTION("""COMPUTED_VALUE"""),"-")</f>
        <v>-</v>
      </c>
      <c r="Z388" t="str">
        <f>IFERROR(__xludf.DUMMYFUNCTION("""COMPUTED_VALUE"""),"-")</f>
        <v>-</v>
      </c>
      <c r="AA388" t="str">
        <f>IFERROR(__xludf.DUMMYFUNCTION("""COMPUTED_VALUE"""),"-")</f>
        <v>-</v>
      </c>
    </row>
    <row r="389">
      <c r="A389" t="str">
        <f>IFERROR(__xludf.DUMMYFUNCTION("""COMPUTED_VALUE"""),"#388")</f>
        <v>#388</v>
      </c>
      <c r="B389" t="str">
        <f>IFERROR(__xludf.DUMMYFUNCTION("""COMPUTED_VALUE"""),"Joëlle Mélin")</f>
        <v>Joëlle Mélin</v>
      </c>
      <c r="C389">
        <f>IFERROR(__xludf.DUMMYFUNCTION("""COMPUTED_VALUE"""),7029.0)</f>
        <v>7029</v>
      </c>
      <c r="D389" t="str">
        <f>IFERROR(__xludf.DUMMYFUNCTION("""COMPUTED_VALUE"""),"-")</f>
        <v>-</v>
      </c>
      <c r="E389" t="str">
        <f>IFERROR(__xludf.DUMMYFUNCTION("""COMPUTED_VALUE"""),"-")</f>
        <v>-</v>
      </c>
      <c r="F389" t="str">
        <f>IFERROR(__xludf.DUMMYFUNCTION("""COMPUTED_VALUE"""),"-")</f>
        <v>-</v>
      </c>
      <c r="G389" t="str">
        <f>IFERROR(__xludf.DUMMYFUNCTION("""COMPUTED_VALUE"""),"-")</f>
        <v>-</v>
      </c>
      <c r="H389" t="str">
        <f>IFERROR(__xludf.DUMMYFUNCTION("""COMPUTED_VALUE"""),"-")</f>
        <v>-</v>
      </c>
      <c r="I389" t="str">
        <f>IFERROR(__xludf.DUMMYFUNCTION("""COMPUTED_VALUE"""),"-")</f>
        <v>-</v>
      </c>
      <c r="J389" t="str">
        <f>IFERROR(__xludf.DUMMYFUNCTION("""COMPUTED_VALUE"""),"-")</f>
        <v>-</v>
      </c>
      <c r="K389" t="str">
        <f>IFERROR(__xludf.DUMMYFUNCTION("""COMPUTED_VALUE"""),"-")</f>
        <v>-</v>
      </c>
      <c r="L389" t="str">
        <f>IFERROR(__xludf.DUMMYFUNCTION("""COMPUTED_VALUE"""),"-")</f>
        <v>-</v>
      </c>
      <c r="M389" t="str">
        <f>IFERROR(__xludf.DUMMYFUNCTION("""COMPUTED_VALUE"""),"-")</f>
        <v>-</v>
      </c>
      <c r="O389" t="str">
        <f>IFERROR(__xludf.DUMMYFUNCTION("""COMPUTED_VALUE"""),"#388")</f>
        <v>#388</v>
      </c>
      <c r="P389" t="str">
        <f>IFERROR(__xludf.DUMMYFUNCTION("""COMPUTED_VALUE"""),"Joëlle Mélin")</f>
        <v>Joëlle Mélin</v>
      </c>
      <c r="Q389">
        <f>IFERROR(__xludf.DUMMYFUNCTION("""COMPUTED_VALUE"""),7029.0)</f>
        <v>7029</v>
      </c>
      <c r="R389" t="str">
        <f>IFERROR(__xludf.DUMMYFUNCTION("""COMPUTED_VALUE"""),"-")</f>
        <v>-</v>
      </c>
      <c r="S389" t="str">
        <f>IFERROR(__xludf.DUMMYFUNCTION("""COMPUTED_VALUE"""),"-")</f>
        <v>-</v>
      </c>
      <c r="T389" t="str">
        <f>IFERROR(__xludf.DUMMYFUNCTION("""COMPUTED_VALUE"""),"-")</f>
        <v>-</v>
      </c>
      <c r="U389" t="str">
        <f>IFERROR(__xludf.DUMMYFUNCTION("""COMPUTED_VALUE"""),"-")</f>
        <v>-</v>
      </c>
      <c r="V389" t="str">
        <f>IFERROR(__xludf.DUMMYFUNCTION("""COMPUTED_VALUE"""),"-")</f>
        <v>-</v>
      </c>
      <c r="W389" t="str">
        <f>IFERROR(__xludf.DUMMYFUNCTION("""COMPUTED_VALUE"""),"-")</f>
        <v>-</v>
      </c>
      <c r="X389" t="str">
        <f>IFERROR(__xludf.DUMMYFUNCTION("""COMPUTED_VALUE"""),"-")</f>
        <v>-</v>
      </c>
      <c r="Y389" t="str">
        <f>IFERROR(__xludf.DUMMYFUNCTION("""COMPUTED_VALUE"""),"-")</f>
        <v>-</v>
      </c>
      <c r="Z389" t="str">
        <f>IFERROR(__xludf.DUMMYFUNCTION("""COMPUTED_VALUE"""),"-")</f>
        <v>-</v>
      </c>
      <c r="AA389" t="str">
        <f>IFERROR(__xludf.DUMMYFUNCTION("""COMPUTED_VALUE"""),"-")</f>
        <v>-</v>
      </c>
    </row>
    <row r="390">
      <c r="A390" t="str">
        <f>IFERROR(__xludf.DUMMYFUNCTION("""COMPUTED_VALUE"""),"#389")</f>
        <v>#389</v>
      </c>
      <c r="B390" t="str">
        <f>IFERROR(__xludf.DUMMYFUNCTION("""COMPUTED_VALUE"""),"Bernard Perrut")</f>
        <v>Bernard Perrut</v>
      </c>
      <c r="C390">
        <f>IFERROR(__xludf.DUMMYFUNCTION("""COMPUTED_VALUE"""),6911.0)</f>
        <v>6911</v>
      </c>
      <c r="D390" t="str">
        <f>IFERROR(__xludf.DUMMYFUNCTION("""COMPUTED_VALUE"""),"-")</f>
        <v>-</v>
      </c>
      <c r="E390" t="str">
        <f>IFERROR(__xludf.DUMMYFUNCTION("""COMPUTED_VALUE"""),"-")</f>
        <v>-</v>
      </c>
      <c r="F390" t="str">
        <f>IFERROR(__xludf.DUMMYFUNCTION("""COMPUTED_VALUE"""),"-")</f>
        <v>-</v>
      </c>
      <c r="G390" t="str">
        <f>IFERROR(__xludf.DUMMYFUNCTION("""COMPUTED_VALUE"""),"-")</f>
        <v>-</v>
      </c>
      <c r="H390" t="str">
        <f>IFERROR(__xludf.DUMMYFUNCTION("""COMPUTED_VALUE"""),"-")</f>
        <v>-</v>
      </c>
      <c r="I390" t="str">
        <f>IFERROR(__xludf.DUMMYFUNCTION("""COMPUTED_VALUE"""),"-")</f>
        <v>-</v>
      </c>
      <c r="J390" t="str">
        <f>IFERROR(__xludf.DUMMYFUNCTION("""COMPUTED_VALUE"""),"-")</f>
        <v>-</v>
      </c>
      <c r="K390" t="str">
        <f>IFERROR(__xludf.DUMMYFUNCTION("""COMPUTED_VALUE"""),"-")</f>
        <v>-</v>
      </c>
      <c r="L390" t="str">
        <f>IFERROR(__xludf.DUMMYFUNCTION("""COMPUTED_VALUE"""),"-")</f>
        <v>-</v>
      </c>
      <c r="M390" t="str">
        <f>IFERROR(__xludf.DUMMYFUNCTION("""COMPUTED_VALUE"""),"-")</f>
        <v>-</v>
      </c>
      <c r="O390" t="str">
        <f>IFERROR(__xludf.DUMMYFUNCTION("""COMPUTED_VALUE"""),"#389")</f>
        <v>#389</v>
      </c>
      <c r="P390" t="str">
        <f>IFERROR(__xludf.DUMMYFUNCTION("""COMPUTED_VALUE"""),"Bernard Perrut")</f>
        <v>Bernard Perrut</v>
      </c>
      <c r="Q390">
        <f>IFERROR(__xludf.DUMMYFUNCTION("""COMPUTED_VALUE"""),6911.0)</f>
        <v>6911</v>
      </c>
      <c r="R390" t="str">
        <f>IFERROR(__xludf.DUMMYFUNCTION("""COMPUTED_VALUE"""),"-")</f>
        <v>-</v>
      </c>
      <c r="S390" t="str">
        <f>IFERROR(__xludf.DUMMYFUNCTION("""COMPUTED_VALUE"""),"-")</f>
        <v>-</v>
      </c>
      <c r="T390" t="str">
        <f>IFERROR(__xludf.DUMMYFUNCTION("""COMPUTED_VALUE"""),"-")</f>
        <v>-</v>
      </c>
      <c r="U390" t="str">
        <f>IFERROR(__xludf.DUMMYFUNCTION("""COMPUTED_VALUE"""),"-")</f>
        <v>-</v>
      </c>
      <c r="V390" t="str">
        <f>IFERROR(__xludf.DUMMYFUNCTION("""COMPUTED_VALUE"""),"-")</f>
        <v>-</v>
      </c>
      <c r="W390" t="str">
        <f>IFERROR(__xludf.DUMMYFUNCTION("""COMPUTED_VALUE"""),"-")</f>
        <v>-</v>
      </c>
      <c r="X390" t="str">
        <f>IFERROR(__xludf.DUMMYFUNCTION("""COMPUTED_VALUE"""),"-")</f>
        <v>-</v>
      </c>
      <c r="Y390" t="str">
        <f>IFERROR(__xludf.DUMMYFUNCTION("""COMPUTED_VALUE"""),"-")</f>
        <v>-</v>
      </c>
      <c r="Z390" t="str">
        <f>IFERROR(__xludf.DUMMYFUNCTION("""COMPUTED_VALUE"""),"-")</f>
        <v>-</v>
      </c>
      <c r="AA390" t="str">
        <f>IFERROR(__xludf.DUMMYFUNCTION("""COMPUTED_VALUE"""),"-")</f>
        <v>-</v>
      </c>
    </row>
    <row r="391">
      <c r="A391" t="str">
        <f>IFERROR(__xludf.DUMMYFUNCTION("""COMPUTED_VALUE"""),"#390")</f>
        <v>#390</v>
      </c>
      <c r="B391" t="str">
        <f>IFERROR(__xludf.DUMMYFUNCTION("""COMPUTED_VALUE"""),"Philippe Berta")</f>
        <v>Philippe Berta</v>
      </c>
      <c r="C391">
        <f>IFERROR(__xludf.DUMMYFUNCTION("""COMPUTED_VALUE"""),6865.0)</f>
        <v>6865</v>
      </c>
      <c r="D391" t="str">
        <f>IFERROR(__xludf.DUMMYFUNCTION("""COMPUTED_VALUE"""),"-")</f>
        <v>-</v>
      </c>
      <c r="E391" t="str">
        <f>IFERROR(__xludf.DUMMYFUNCTION("""COMPUTED_VALUE"""),"-")</f>
        <v>-</v>
      </c>
      <c r="F391" t="str">
        <f>IFERROR(__xludf.DUMMYFUNCTION("""COMPUTED_VALUE"""),"-")</f>
        <v>-</v>
      </c>
      <c r="G391" t="str">
        <f>IFERROR(__xludf.DUMMYFUNCTION("""COMPUTED_VALUE"""),"-")</f>
        <v>-</v>
      </c>
      <c r="H391" t="str">
        <f>IFERROR(__xludf.DUMMYFUNCTION("""COMPUTED_VALUE"""),"-")</f>
        <v>-</v>
      </c>
      <c r="I391" t="str">
        <f>IFERROR(__xludf.DUMMYFUNCTION("""COMPUTED_VALUE"""),"-")</f>
        <v>-</v>
      </c>
      <c r="J391" t="str">
        <f>IFERROR(__xludf.DUMMYFUNCTION("""COMPUTED_VALUE"""),"-")</f>
        <v>-</v>
      </c>
      <c r="K391" t="str">
        <f>IFERROR(__xludf.DUMMYFUNCTION("""COMPUTED_VALUE"""),"-")</f>
        <v>-</v>
      </c>
      <c r="L391" t="str">
        <f>IFERROR(__xludf.DUMMYFUNCTION("""COMPUTED_VALUE"""),"-")</f>
        <v>-</v>
      </c>
      <c r="M391" t="str">
        <f>IFERROR(__xludf.DUMMYFUNCTION("""COMPUTED_VALUE"""),"-")</f>
        <v>-</v>
      </c>
      <c r="O391" t="str">
        <f>IFERROR(__xludf.DUMMYFUNCTION("""COMPUTED_VALUE"""),"#390")</f>
        <v>#390</v>
      </c>
      <c r="P391" t="str">
        <f>IFERROR(__xludf.DUMMYFUNCTION("""COMPUTED_VALUE"""),"Philippe Berta")</f>
        <v>Philippe Berta</v>
      </c>
      <c r="Q391">
        <f>IFERROR(__xludf.DUMMYFUNCTION("""COMPUTED_VALUE"""),6865.0)</f>
        <v>6865</v>
      </c>
      <c r="R391" t="str">
        <f>IFERROR(__xludf.DUMMYFUNCTION("""COMPUTED_VALUE"""),"-")</f>
        <v>-</v>
      </c>
      <c r="S391" t="str">
        <f>IFERROR(__xludf.DUMMYFUNCTION("""COMPUTED_VALUE"""),"-")</f>
        <v>-</v>
      </c>
      <c r="T391" t="str">
        <f>IFERROR(__xludf.DUMMYFUNCTION("""COMPUTED_VALUE"""),"-")</f>
        <v>-</v>
      </c>
      <c r="U391" t="str">
        <f>IFERROR(__xludf.DUMMYFUNCTION("""COMPUTED_VALUE"""),"-")</f>
        <v>-</v>
      </c>
      <c r="V391" t="str">
        <f>IFERROR(__xludf.DUMMYFUNCTION("""COMPUTED_VALUE"""),"-")</f>
        <v>-</v>
      </c>
      <c r="W391" t="str">
        <f>IFERROR(__xludf.DUMMYFUNCTION("""COMPUTED_VALUE"""),"-")</f>
        <v>-</v>
      </c>
      <c r="X391" t="str">
        <f>IFERROR(__xludf.DUMMYFUNCTION("""COMPUTED_VALUE"""),"-")</f>
        <v>-</v>
      </c>
      <c r="Y391" t="str">
        <f>IFERROR(__xludf.DUMMYFUNCTION("""COMPUTED_VALUE"""),"-")</f>
        <v>-</v>
      </c>
      <c r="Z391" t="str">
        <f>IFERROR(__xludf.DUMMYFUNCTION("""COMPUTED_VALUE"""),"-")</f>
        <v>-</v>
      </c>
      <c r="AA391" t="str">
        <f>IFERROR(__xludf.DUMMYFUNCTION("""COMPUTED_VALUE"""),"-")</f>
        <v>-</v>
      </c>
    </row>
    <row r="392">
      <c r="A392" t="str">
        <f>IFERROR(__xludf.DUMMYFUNCTION("""COMPUTED_VALUE"""),"#391")</f>
        <v>#391</v>
      </c>
      <c r="B392" t="str">
        <f>IFERROR(__xludf.DUMMYFUNCTION("""COMPUTED_VALUE"""),"Marie-Christine Vergiat")</f>
        <v>Marie-Christine Vergiat</v>
      </c>
      <c r="C392">
        <f>IFERROR(__xludf.DUMMYFUNCTION("""COMPUTED_VALUE"""),6858.0)</f>
        <v>6858</v>
      </c>
      <c r="D392" t="str">
        <f>IFERROR(__xludf.DUMMYFUNCTION("""COMPUTED_VALUE"""),"-")</f>
        <v>-</v>
      </c>
      <c r="E392" t="str">
        <f>IFERROR(__xludf.DUMMYFUNCTION("""COMPUTED_VALUE"""),"-")</f>
        <v>-</v>
      </c>
      <c r="F392" t="str">
        <f>IFERROR(__xludf.DUMMYFUNCTION("""COMPUTED_VALUE"""),"-")</f>
        <v>-</v>
      </c>
      <c r="G392" t="str">
        <f>IFERROR(__xludf.DUMMYFUNCTION("""COMPUTED_VALUE"""),"-")</f>
        <v>-</v>
      </c>
      <c r="H392" t="str">
        <f>IFERROR(__xludf.DUMMYFUNCTION("""COMPUTED_VALUE"""),"-")</f>
        <v>-</v>
      </c>
      <c r="I392" t="str">
        <f>IFERROR(__xludf.DUMMYFUNCTION("""COMPUTED_VALUE"""),"-")</f>
        <v>-</v>
      </c>
      <c r="J392" t="str">
        <f>IFERROR(__xludf.DUMMYFUNCTION("""COMPUTED_VALUE"""),"-")</f>
        <v>-</v>
      </c>
      <c r="K392" t="str">
        <f>IFERROR(__xludf.DUMMYFUNCTION("""COMPUTED_VALUE"""),"-")</f>
        <v>-</v>
      </c>
      <c r="L392" t="str">
        <f>IFERROR(__xludf.DUMMYFUNCTION("""COMPUTED_VALUE"""),"-")</f>
        <v>-</v>
      </c>
      <c r="M392" t="str">
        <f>IFERROR(__xludf.DUMMYFUNCTION("""COMPUTED_VALUE"""),"-")</f>
        <v>-</v>
      </c>
      <c r="O392" t="str">
        <f>IFERROR(__xludf.DUMMYFUNCTION("""COMPUTED_VALUE"""),"#391")</f>
        <v>#391</v>
      </c>
      <c r="P392" t="str">
        <f>IFERROR(__xludf.DUMMYFUNCTION("""COMPUTED_VALUE"""),"Marie-Christine Vergiat")</f>
        <v>Marie-Christine Vergiat</v>
      </c>
      <c r="Q392">
        <f>IFERROR(__xludf.DUMMYFUNCTION("""COMPUTED_VALUE"""),6858.0)</f>
        <v>6858</v>
      </c>
      <c r="R392" t="str">
        <f>IFERROR(__xludf.DUMMYFUNCTION("""COMPUTED_VALUE"""),"-")</f>
        <v>-</v>
      </c>
      <c r="S392" t="str">
        <f>IFERROR(__xludf.DUMMYFUNCTION("""COMPUTED_VALUE"""),"-")</f>
        <v>-</v>
      </c>
      <c r="T392" t="str">
        <f>IFERROR(__xludf.DUMMYFUNCTION("""COMPUTED_VALUE"""),"-")</f>
        <v>-</v>
      </c>
      <c r="U392" t="str">
        <f>IFERROR(__xludf.DUMMYFUNCTION("""COMPUTED_VALUE"""),"-")</f>
        <v>-</v>
      </c>
      <c r="V392" t="str">
        <f>IFERROR(__xludf.DUMMYFUNCTION("""COMPUTED_VALUE"""),"-")</f>
        <v>-</v>
      </c>
      <c r="W392" t="str">
        <f>IFERROR(__xludf.DUMMYFUNCTION("""COMPUTED_VALUE"""),"-")</f>
        <v>-</v>
      </c>
      <c r="X392" t="str">
        <f>IFERROR(__xludf.DUMMYFUNCTION("""COMPUTED_VALUE"""),"-")</f>
        <v>-</v>
      </c>
      <c r="Y392" t="str">
        <f>IFERROR(__xludf.DUMMYFUNCTION("""COMPUTED_VALUE"""),"-")</f>
        <v>-</v>
      </c>
      <c r="Z392" t="str">
        <f>IFERROR(__xludf.DUMMYFUNCTION("""COMPUTED_VALUE"""),"-")</f>
        <v>-</v>
      </c>
      <c r="AA392" t="str">
        <f>IFERROR(__xludf.DUMMYFUNCTION("""COMPUTED_VALUE"""),"-")</f>
        <v>-</v>
      </c>
    </row>
    <row r="393">
      <c r="A393" t="str">
        <f>IFERROR(__xludf.DUMMYFUNCTION("""COMPUTED_VALUE"""),"#392")</f>
        <v>#392</v>
      </c>
      <c r="B393" t="str">
        <f>IFERROR(__xludf.DUMMYFUNCTION("""COMPUTED_VALUE"""),"France Jamet")</f>
        <v>France Jamet</v>
      </c>
      <c r="C393">
        <f>IFERROR(__xludf.DUMMYFUNCTION("""COMPUTED_VALUE"""),6678.0)</f>
        <v>6678</v>
      </c>
      <c r="D393" t="str">
        <f>IFERROR(__xludf.DUMMYFUNCTION("""COMPUTED_VALUE"""),"-")</f>
        <v>-</v>
      </c>
      <c r="E393" t="str">
        <f>IFERROR(__xludf.DUMMYFUNCTION("""COMPUTED_VALUE"""),"-")</f>
        <v>-</v>
      </c>
      <c r="F393" t="str">
        <f>IFERROR(__xludf.DUMMYFUNCTION("""COMPUTED_VALUE"""),"-")</f>
        <v>-</v>
      </c>
      <c r="G393" t="str">
        <f>IFERROR(__xludf.DUMMYFUNCTION("""COMPUTED_VALUE"""),"-")</f>
        <v>-</v>
      </c>
      <c r="H393" t="str">
        <f>IFERROR(__xludf.DUMMYFUNCTION("""COMPUTED_VALUE"""),"-")</f>
        <v>-</v>
      </c>
      <c r="I393" t="str">
        <f>IFERROR(__xludf.DUMMYFUNCTION("""COMPUTED_VALUE"""),"-")</f>
        <v>-</v>
      </c>
      <c r="J393" t="str">
        <f>IFERROR(__xludf.DUMMYFUNCTION("""COMPUTED_VALUE"""),"-")</f>
        <v>-</v>
      </c>
      <c r="K393" t="str">
        <f>IFERROR(__xludf.DUMMYFUNCTION("""COMPUTED_VALUE"""),"-")</f>
        <v>-</v>
      </c>
      <c r="L393" t="str">
        <f>IFERROR(__xludf.DUMMYFUNCTION("""COMPUTED_VALUE"""),"-")</f>
        <v>-</v>
      </c>
      <c r="M393" t="str">
        <f>IFERROR(__xludf.DUMMYFUNCTION("""COMPUTED_VALUE"""),"-")</f>
        <v>-</v>
      </c>
      <c r="O393" t="str">
        <f>IFERROR(__xludf.DUMMYFUNCTION("""COMPUTED_VALUE"""),"#392")</f>
        <v>#392</v>
      </c>
      <c r="P393" t="str">
        <f>IFERROR(__xludf.DUMMYFUNCTION("""COMPUTED_VALUE"""),"France Jamet")</f>
        <v>France Jamet</v>
      </c>
      <c r="Q393">
        <f>IFERROR(__xludf.DUMMYFUNCTION("""COMPUTED_VALUE"""),6678.0)</f>
        <v>6678</v>
      </c>
      <c r="R393" t="str">
        <f>IFERROR(__xludf.DUMMYFUNCTION("""COMPUTED_VALUE"""),"-")</f>
        <v>-</v>
      </c>
      <c r="S393" t="str">
        <f>IFERROR(__xludf.DUMMYFUNCTION("""COMPUTED_VALUE"""),"-")</f>
        <v>-</v>
      </c>
      <c r="T393" t="str">
        <f>IFERROR(__xludf.DUMMYFUNCTION("""COMPUTED_VALUE"""),"-")</f>
        <v>-</v>
      </c>
      <c r="U393" t="str">
        <f>IFERROR(__xludf.DUMMYFUNCTION("""COMPUTED_VALUE"""),"-")</f>
        <v>-</v>
      </c>
      <c r="V393" t="str">
        <f>IFERROR(__xludf.DUMMYFUNCTION("""COMPUTED_VALUE"""),"-")</f>
        <v>-</v>
      </c>
      <c r="W393" t="str">
        <f>IFERROR(__xludf.DUMMYFUNCTION("""COMPUTED_VALUE"""),"-")</f>
        <v>-</v>
      </c>
      <c r="X393" t="str">
        <f>IFERROR(__xludf.DUMMYFUNCTION("""COMPUTED_VALUE"""),"-")</f>
        <v>-</v>
      </c>
      <c r="Y393" t="str">
        <f>IFERROR(__xludf.DUMMYFUNCTION("""COMPUTED_VALUE"""),"-")</f>
        <v>-</v>
      </c>
      <c r="Z393" t="str">
        <f>IFERROR(__xludf.DUMMYFUNCTION("""COMPUTED_VALUE"""),"-")</f>
        <v>-</v>
      </c>
      <c r="AA393" t="str">
        <f>IFERROR(__xludf.DUMMYFUNCTION("""COMPUTED_VALUE"""),"-")</f>
        <v>-</v>
      </c>
    </row>
    <row r="394">
      <c r="A394" t="str">
        <f>IFERROR(__xludf.DUMMYFUNCTION("""COMPUTED_VALUE"""),"#393")</f>
        <v>#393</v>
      </c>
      <c r="B394" t="str">
        <f>IFERROR(__xludf.DUMMYFUNCTION("""COMPUTED_VALUE"""),"Jean-Pierre Gorges")</f>
        <v>Jean-Pierre Gorges</v>
      </c>
      <c r="C394">
        <f>IFERROR(__xludf.DUMMYFUNCTION("""COMPUTED_VALUE"""),6534.0)</f>
        <v>6534</v>
      </c>
      <c r="D394" t="str">
        <f>IFERROR(__xludf.DUMMYFUNCTION("""COMPUTED_VALUE"""),"-")</f>
        <v>-</v>
      </c>
      <c r="E394" t="str">
        <f>IFERROR(__xludf.DUMMYFUNCTION("""COMPUTED_VALUE"""),"-")</f>
        <v>-</v>
      </c>
      <c r="F394" t="str">
        <f>IFERROR(__xludf.DUMMYFUNCTION("""COMPUTED_VALUE"""),"-")</f>
        <v>-</v>
      </c>
      <c r="G394" t="str">
        <f>IFERROR(__xludf.DUMMYFUNCTION("""COMPUTED_VALUE"""),"-")</f>
        <v>-</v>
      </c>
      <c r="H394" t="str">
        <f>IFERROR(__xludf.DUMMYFUNCTION("""COMPUTED_VALUE"""),"-")</f>
        <v>-</v>
      </c>
      <c r="I394" t="str">
        <f>IFERROR(__xludf.DUMMYFUNCTION("""COMPUTED_VALUE"""),"-")</f>
        <v>-</v>
      </c>
      <c r="J394" t="str">
        <f>IFERROR(__xludf.DUMMYFUNCTION("""COMPUTED_VALUE"""),"-")</f>
        <v>-</v>
      </c>
      <c r="K394" t="str">
        <f>IFERROR(__xludf.DUMMYFUNCTION("""COMPUTED_VALUE"""),"-")</f>
        <v>-</v>
      </c>
      <c r="L394" t="str">
        <f>IFERROR(__xludf.DUMMYFUNCTION("""COMPUTED_VALUE"""),"-")</f>
        <v>-</v>
      </c>
      <c r="M394" t="str">
        <f>IFERROR(__xludf.DUMMYFUNCTION("""COMPUTED_VALUE"""),"-")</f>
        <v>-</v>
      </c>
      <c r="O394" t="str">
        <f>IFERROR(__xludf.DUMMYFUNCTION("""COMPUTED_VALUE"""),"#393")</f>
        <v>#393</v>
      </c>
      <c r="P394" t="str">
        <f>IFERROR(__xludf.DUMMYFUNCTION("""COMPUTED_VALUE"""),"Jean-Pierre Gorges")</f>
        <v>Jean-Pierre Gorges</v>
      </c>
      <c r="Q394">
        <f>IFERROR(__xludf.DUMMYFUNCTION("""COMPUTED_VALUE"""),6534.0)</f>
        <v>6534</v>
      </c>
      <c r="R394" t="str">
        <f>IFERROR(__xludf.DUMMYFUNCTION("""COMPUTED_VALUE"""),"-")</f>
        <v>-</v>
      </c>
      <c r="S394" t="str">
        <f>IFERROR(__xludf.DUMMYFUNCTION("""COMPUTED_VALUE"""),"-")</f>
        <v>-</v>
      </c>
      <c r="T394" t="str">
        <f>IFERROR(__xludf.DUMMYFUNCTION("""COMPUTED_VALUE"""),"-")</f>
        <v>-</v>
      </c>
      <c r="U394" t="str">
        <f>IFERROR(__xludf.DUMMYFUNCTION("""COMPUTED_VALUE"""),"-")</f>
        <v>-</v>
      </c>
      <c r="V394" t="str">
        <f>IFERROR(__xludf.DUMMYFUNCTION("""COMPUTED_VALUE"""),"-")</f>
        <v>-</v>
      </c>
      <c r="W394" t="str">
        <f>IFERROR(__xludf.DUMMYFUNCTION("""COMPUTED_VALUE"""),"-")</f>
        <v>-</v>
      </c>
      <c r="X394" t="str">
        <f>IFERROR(__xludf.DUMMYFUNCTION("""COMPUTED_VALUE"""),"-")</f>
        <v>-</v>
      </c>
      <c r="Y394" t="str">
        <f>IFERROR(__xludf.DUMMYFUNCTION("""COMPUTED_VALUE"""),"-")</f>
        <v>-</v>
      </c>
      <c r="Z394" t="str">
        <f>IFERROR(__xludf.DUMMYFUNCTION("""COMPUTED_VALUE"""),"-")</f>
        <v>-</v>
      </c>
      <c r="AA394" t="str">
        <f>IFERROR(__xludf.DUMMYFUNCTION("""COMPUTED_VALUE"""),"-")</f>
        <v>-</v>
      </c>
    </row>
    <row r="395">
      <c r="A395" t="str">
        <f>IFERROR(__xludf.DUMMYFUNCTION("""COMPUTED_VALUE"""),"#394")</f>
        <v>#394</v>
      </c>
      <c r="B395" t="str">
        <f>IFERROR(__xludf.DUMMYFUNCTION("""COMPUTED_VALUE"""),"Aymeric Durox")</f>
        <v>Aymeric Durox</v>
      </c>
      <c r="C395">
        <f>IFERROR(__xludf.DUMMYFUNCTION("""COMPUTED_VALUE"""),6534.0)</f>
        <v>6534</v>
      </c>
      <c r="D395" t="str">
        <f>IFERROR(__xludf.DUMMYFUNCTION("""COMPUTED_VALUE"""),"-")</f>
        <v>-</v>
      </c>
      <c r="E395" t="str">
        <f>IFERROR(__xludf.DUMMYFUNCTION("""COMPUTED_VALUE"""),"-")</f>
        <v>-</v>
      </c>
      <c r="F395" t="str">
        <f>IFERROR(__xludf.DUMMYFUNCTION("""COMPUTED_VALUE"""),"-")</f>
        <v>-</v>
      </c>
      <c r="G395" t="str">
        <f>IFERROR(__xludf.DUMMYFUNCTION("""COMPUTED_VALUE"""),"-")</f>
        <v>-</v>
      </c>
      <c r="H395" t="str">
        <f>IFERROR(__xludf.DUMMYFUNCTION("""COMPUTED_VALUE"""),"-")</f>
        <v>-</v>
      </c>
      <c r="I395" t="str">
        <f>IFERROR(__xludf.DUMMYFUNCTION("""COMPUTED_VALUE"""),"-")</f>
        <v>-</v>
      </c>
      <c r="J395" t="str">
        <f>IFERROR(__xludf.DUMMYFUNCTION("""COMPUTED_VALUE"""),"-")</f>
        <v>-</v>
      </c>
      <c r="K395" t="str">
        <f>IFERROR(__xludf.DUMMYFUNCTION("""COMPUTED_VALUE"""),"-")</f>
        <v>-</v>
      </c>
      <c r="L395" t="str">
        <f>IFERROR(__xludf.DUMMYFUNCTION("""COMPUTED_VALUE"""),"-")</f>
        <v>-</v>
      </c>
      <c r="M395" t="str">
        <f>IFERROR(__xludf.DUMMYFUNCTION("""COMPUTED_VALUE"""),"-")</f>
        <v>-</v>
      </c>
      <c r="O395" t="str">
        <f>IFERROR(__xludf.DUMMYFUNCTION("""COMPUTED_VALUE"""),"#394")</f>
        <v>#394</v>
      </c>
      <c r="P395" t="str">
        <f>IFERROR(__xludf.DUMMYFUNCTION("""COMPUTED_VALUE"""),"Aymeric Durox")</f>
        <v>Aymeric Durox</v>
      </c>
      <c r="Q395">
        <f>IFERROR(__xludf.DUMMYFUNCTION("""COMPUTED_VALUE"""),6534.0)</f>
        <v>6534</v>
      </c>
      <c r="R395" t="str">
        <f>IFERROR(__xludf.DUMMYFUNCTION("""COMPUTED_VALUE"""),"-")</f>
        <v>-</v>
      </c>
      <c r="S395" t="str">
        <f>IFERROR(__xludf.DUMMYFUNCTION("""COMPUTED_VALUE"""),"-")</f>
        <v>-</v>
      </c>
      <c r="T395" t="str">
        <f>IFERROR(__xludf.DUMMYFUNCTION("""COMPUTED_VALUE"""),"-")</f>
        <v>-</v>
      </c>
      <c r="U395" t="str">
        <f>IFERROR(__xludf.DUMMYFUNCTION("""COMPUTED_VALUE"""),"-")</f>
        <v>-</v>
      </c>
      <c r="V395" t="str">
        <f>IFERROR(__xludf.DUMMYFUNCTION("""COMPUTED_VALUE"""),"-")</f>
        <v>-</v>
      </c>
      <c r="W395" t="str">
        <f>IFERROR(__xludf.DUMMYFUNCTION("""COMPUTED_VALUE"""),"-")</f>
        <v>-</v>
      </c>
      <c r="X395" t="str">
        <f>IFERROR(__xludf.DUMMYFUNCTION("""COMPUTED_VALUE"""),"-")</f>
        <v>-</v>
      </c>
      <c r="Y395" t="str">
        <f>IFERROR(__xludf.DUMMYFUNCTION("""COMPUTED_VALUE"""),"-")</f>
        <v>-</v>
      </c>
      <c r="Z395" t="str">
        <f>IFERROR(__xludf.DUMMYFUNCTION("""COMPUTED_VALUE"""),"-")</f>
        <v>-</v>
      </c>
      <c r="AA395" t="str">
        <f>IFERROR(__xludf.DUMMYFUNCTION("""COMPUTED_VALUE"""),"-")</f>
        <v>-</v>
      </c>
    </row>
    <row r="396">
      <c r="A396" t="str">
        <f>IFERROR(__xludf.DUMMYFUNCTION("""COMPUTED_VALUE"""),"#395")</f>
        <v>#395</v>
      </c>
      <c r="B396" t="str">
        <f>IFERROR(__xludf.DUMMYFUNCTION("""COMPUTED_VALUE"""),"Dominique Riquet")</f>
        <v>Dominique Riquet</v>
      </c>
      <c r="C396">
        <f>IFERROR(__xludf.DUMMYFUNCTION("""COMPUTED_VALUE"""),6465.0)</f>
        <v>6465</v>
      </c>
      <c r="D396" t="str">
        <f>IFERROR(__xludf.DUMMYFUNCTION("""COMPUTED_VALUE"""),"-")</f>
        <v>-</v>
      </c>
      <c r="E396" t="str">
        <f>IFERROR(__xludf.DUMMYFUNCTION("""COMPUTED_VALUE"""),"-")</f>
        <v>-</v>
      </c>
      <c r="F396" t="str">
        <f>IFERROR(__xludf.DUMMYFUNCTION("""COMPUTED_VALUE"""),"-")</f>
        <v>-</v>
      </c>
      <c r="G396" t="str">
        <f>IFERROR(__xludf.DUMMYFUNCTION("""COMPUTED_VALUE"""),"-")</f>
        <v>-</v>
      </c>
      <c r="H396" t="str">
        <f>IFERROR(__xludf.DUMMYFUNCTION("""COMPUTED_VALUE"""),"-")</f>
        <v>-</v>
      </c>
      <c r="I396" t="str">
        <f>IFERROR(__xludf.DUMMYFUNCTION("""COMPUTED_VALUE"""),"-")</f>
        <v>-</v>
      </c>
      <c r="J396" t="str">
        <f>IFERROR(__xludf.DUMMYFUNCTION("""COMPUTED_VALUE"""),"-")</f>
        <v>-</v>
      </c>
      <c r="K396" t="str">
        <f>IFERROR(__xludf.DUMMYFUNCTION("""COMPUTED_VALUE"""),"-")</f>
        <v>-</v>
      </c>
      <c r="L396" t="str">
        <f>IFERROR(__xludf.DUMMYFUNCTION("""COMPUTED_VALUE"""),"-")</f>
        <v>-</v>
      </c>
      <c r="M396" t="str">
        <f>IFERROR(__xludf.DUMMYFUNCTION("""COMPUTED_VALUE"""),"-")</f>
        <v>-</v>
      </c>
      <c r="O396" t="str">
        <f>IFERROR(__xludf.DUMMYFUNCTION("""COMPUTED_VALUE"""),"#395")</f>
        <v>#395</v>
      </c>
      <c r="P396" t="str">
        <f>IFERROR(__xludf.DUMMYFUNCTION("""COMPUTED_VALUE"""),"Dominique Riquet")</f>
        <v>Dominique Riquet</v>
      </c>
      <c r="Q396">
        <f>IFERROR(__xludf.DUMMYFUNCTION("""COMPUTED_VALUE"""),6465.0)</f>
        <v>6465</v>
      </c>
      <c r="R396" t="str">
        <f>IFERROR(__xludf.DUMMYFUNCTION("""COMPUTED_VALUE"""),"-")</f>
        <v>-</v>
      </c>
      <c r="S396" t="str">
        <f>IFERROR(__xludf.DUMMYFUNCTION("""COMPUTED_VALUE"""),"-")</f>
        <v>-</v>
      </c>
      <c r="T396" t="str">
        <f>IFERROR(__xludf.DUMMYFUNCTION("""COMPUTED_VALUE"""),"-")</f>
        <v>-</v>
      </c>
      <c r="U396" t="str">
        <f>IFERROR(__xludf.DUMMYFUNCTION("""COMPUTED_VALUE"""),"-")</f>
        <v>-</v>
      </c>
      <c r="V396" t="str">
        <f>IFERROR(__xludf.DUMMYFUNCTION("""COMPUTED_VALUE"""),"-")</f>
        <v>-</v>
      </c>
      <c r="W396" t="str">
        <f>IFERROR(__xludf.DUMMYFUNCTION("""COMPUTED_VALUE"""),"-")</f>
        <v>-</v>
      </c>
      <c r="X396" t="str">
        <f>IFERROR(__xludf.DUMMYFUNCTION("""COMPUTED_VALUE"""),"-")</f>
        <v>-</v>
      </c>
      <c r="Y396" t="str">
        <f>IFERROR(__xludf.DUMMYFUNCTION("""COMPUTED_VALUE"""),"-")</f>
        <v>-</v>
      </c>
      <c r="Z396" t="str">
        <f>IFERROR(__xludf.DUMMYFUNCTION("""COMPUTED_VALUE"""),"-")</f>
        <v>-</v>
      </c>
      <c r="AA396" t="str">
        <f>IFERROR(__xludf.DUMMYFUNCTION("""COMPUTED_VALUE"""),"-")</f>
        <v>-</v>
      </c>
    </row>
    <row r="397">
      <c r="A397" t="str">
        <f>IFERROR(__xludf.DUMMYFUNCTION("""COMPUTED_VALUE"""),"#396")</f>
        <v>#396</v>
      </c>
      <c r="B397" t="str">
        <f>IFERROR(__xludf.DUMMYFUNCTION("""COMPUTED_VALUE"""),"Bertrand Serp")</f>
        <v>Bertrand Serp</v>
      </c>
      <c r="C397">
        <f>IFERROR(__xludf.DUMMYFUNCTION("""COMPUTED_VALUE"""),6448.0)</f>
        <v>6448</v>
      </c>
      <c r="D397" t="str">
        <f>IFERROR(__xludf.DUMMYFUNCTION("""COMPUTED_VALUE"""),"-")</f>
        <v>-</v>
      </c>
      <c r="E397" t="str">
        <f>IFERROR(__xludf.DUMMYFUNCTION("""COMPUTED_VALUE"""),"-")</f>
        <v>-</v>
      </c>
      <c r="F397" t="str">
        <f>IFERROR(__xludf.DUMMYFUNCTION("""COMPUTED_VALUE"""),"-")</f>
        <v>-</v>
      </c>
      <c r="G397" t="str">
        <f>IFERROR(__xludf.DUMMYFUNCTION("""COMPUTED_VALUE"""),"-")</f>
        <v>-</v>
      </c>
      <c r="H397" t="str">
        <f>IFERROR(__xludf.DUMMYFUNCTION("""COMPUTED_VALUE"""),"-")</f>
        <v>-</v>
      </c>
      <c r="I397" t="str">
        <f>IFERROR(__xludf.DUMMYFUNCTION("""COMPUTED_VALUE"""),"-")</f>
        <v>-</v>
      </c>
      <c r="J397" t="str">
        <f>IFERROR(__xludf.DUMMYFUNCTION("""COMPUTED_VALUE"""),"-")</f>
        <v>-</v>
      </c>
      <c r="K397" t="str">
        <f>IFERROR(__xludf.DUMMYFUNCTION("""COMPUTED_VALUE"""),"-")</f>
        <v>-</v>
      </c>
      <c r="L397" t="str">
        <f>IFERROR(__xludf.DUMMYFUNCTION("""COMPUTED_VALUE"""),"-")</f>
        <v>-</v>
      </c>
      <c r="M397" t="str">
        <f>IFERROR(__xludf.DUMMYFUNCTION("""COMPUTED_VALUE"""),"-")</f>
        <v>-</v>
      </c>
      <c r="O397" t="str">
        <f>IFERROR(__xludf.DUMMYFUNCTION("""COMPUTED_VALUE"""),"#396")</f>
        <v>#396</v>
      </c>
      <c r="P397" t="str">
        <f>IFERROR(__xludf.DUMMYFUNCTION("""COMPUTED_VALUE"""),"Bertrand Serp")</f>
        <v>Bertrand Serp</v>
      </c>
      <c r="Q397">
        <f>IFERROR(__xludf.DUMMYFUNCTION("""COMPUTED_VALUE"""),6448.0)</f>
        <v>6448</v>
      </c>
      <c r="R397" t="str">
        <f>IFERROR(__xludf.DUMMYFUNCTION("""COMPUTED_VALUE"""),"-")</f>
        <v>-</v>
      </c>
      <c r="S397" t="str">
        <f>IFERROR(__xludf.DUMMYFUNCTION("""COMPUTED_VALUE"""),"-")</f>
        <v>-</v>
      </c>
      <c r="T397" t="str">
        <f>IFERROR(__xludf.DUMMYFUNCTION("""COMPUTED_VALUE"""),"-")</f>
        <v>-</v>
      </c>
      <c r="U397" t="str">
        <f>IFERROR(__xludf.DUMMYFUNCTION("""COMPUTED_VALUE"""),"-")</f>
        <v>-</v>
      </c>
      <c r="V397" t="str">
        <f>IFERROR(__xludf.DUMMYFUNCTION("""COMPUTED_VALUE"""),"-")</f>
        <v>-</v>
      </c>
      <c r="W397" t="str">
        <f>IFERROR(__xludf.DUMMYFUNCTION("""COMPUTED_VALUE"""),"-")</f>
        <v>-</v>
      </c>
      <c r="X397" t="str">
        <f>IFERROR(__xludf.DUMMYFUNCTION("""COMPUTED_VALUE"""),"-")</f>
        <v>-</v>
      </c>
      <c r="Y397" t="str">
        <f>IFERROR(__xludf.DUMMYFUNCTION("""COMPUTED_VALUE"""),"-")</f>
        <v>-</v>
      </c>
      <c r="Z397" t="str">
        <f>IFERROR(__xludf.DUMMYFUNCTION("""COMPUTED_VALUE"""),"-")</f>
        <v>-</v>
      </c>
      <c r="AA397" t="str">
        <f>IFERROR(__xludf.DUMMYFUNCTION("""COMPUTED_VALUE"""),"-")</f>
        <v>-</v>
      </c>
    </row>
    <row r="398">
      <c r="A398" t="str">
        <f>IFERROR(__xludf.DUMMYFUNCTION("""COMPUTED_VALUE"""),"#397")</f>
        <v>#397</v>
      </c>
      <c r="B398" t="str">
        <f>IFERROR(__xludf.DUMMYFUNCTION("""COMPUTED_VALUE"""),"Alain Leboeuf")</f>
        <v>Alain Leboeuf</v>
      </c>
      <c r="C398">
        <f>IFERROR(__xludf.DUMMYFUNCTION("""COMPUTED_VALUE"""),6412.0)</f>
        <v>6412</v>
      </c>
      <c r="D398" t="str">
        <f>IFERROR(__xludf.DUMMYFUNCTION("""COMPUTED_VALUE"""),"-")</f>
        <v>-</v>
      </c>
      <c r="E398" t="str">
        <f>IFERROR(__xludf.DUMMYFUNCTION("""COMPUTED_VALUE"""),"-")</f>
        <v>-</v>
      </c>
      <c r="F398" t="str">
        <f>IFERROR(__xludf.DUMMYFUNCTION("""COMPUTED_VALUE"""),"-")</f>
        <v>-</v>
      </c>
      <c r="G398" t="str">
        <f>IFERROR(__xludf.DUMMYFUNCTION("""COMPUTED_VALUE"""),"-")</f>
        <v>-</v>
      </c>
      <c r="H398" t="str">
        <f>IFERROR(__xludf.DUMMYFUNCTION("""COMPUTED_VALUE"""),"-")</f>
        <v>-</v>
      </c>
      <c r="I398" t="str">
        <f>IFERROR(__xludf.DUMMYFUNCTION("""COMPUTED_VALUE"""),"-")</f>
        <v>-</v>
      </c>
      <c r="J398" t="str">
        <f>IFERROR(__xludf.DUMMYFUNCTION("""COMPUTED_VALUE"""),"-")</f>
        <v>-</v>
      </c>
      <c r="K398" t="str">
        <f>IFERROR(__xludf.DUMMYFUNCTION("""COMPUTED_VALUE"""),"-")</f>
        <v>-</v>
      </c>
      <c r="L398" t="str">
        <f>IFERROR(__xludf.DUMMYFUNCTION("""COMPUTED_VALUE"""),"-")</f>
        <v>-</v>
      </c>
      <c r="M398" t="str">
        <f>IFERROR(__xludf.DUMMYFUNCTION("""COMPUTED_VALUE"""),"-")</f>
        <v>-</v>
      </c>
      <c r="O398" t="str">
        <f>IFERROR(__xludf.DUMMYFUNCTION("""COMPUTED_VALUE"""),"#397")</f>
        <v>#397</v>
      </c>
      <c r="P398" t="str">
        <f>IFERROR(__xludf.DUMMYFUNCTION("""COMPUTED_VALUE"""),"Alain Leboeuf")</f>
        <v>Alain Leboeuf</v>
      </c>
      <c r="Q398">
        <f>IFERROR(__xludf.DUMMYFUNCTION("""COMPUTED_VALUE"""),6412.0)</f>
        <v>6412</v>
      </c>
      <c r="R398" t="str">
        <f>IFERROR(__xludf.DUMMYFUNCTION("""COMPUTED_VALUE"""),"-")</f>
        <v>-</v>
      </c>
      <c r="S398" t="str">
        <f>IFERROR(__xludf.DUMMYFUNCTION("""COMPUTED_VALUE"""),"-")</f>
        <v>-</v>
      </c>
      <c r="T398" t="str">
        <f>IFERROR(__xludf.DUMMYFUNCTION("""COMPUTED_VALUE"""),"-")</f>
        <v>-</v>
      </c>
      <c r="U398" t="str">
        <f>IFERROR(__xludf.DUMMYFUNCTION("""COMPUTED_VALUE"""),"-")</f>
        <v>-</v>
      </c>
      <c r="V398" t="str">
        <f>IFERROR(__xludf.DUMMYFUNCTION("""COMPUTED_VALUE"""),"-")</f>
        <v>-</v>
      </c>
      <c r="W398" t="str">
        <f>IFERROR(__xludf.DUMMYFUNCTION("""COMPUTED_VALUE"""),"-")</f>
        <v>-</v>
      </c>
      <c r="X398" t="str">
        <f>IFERROR(__xludf.DUMMYFUNCTION("""COMPUTED_VALUE"""),"-")</f>
        <v>-</v>
      </c>
      <c r="Y398" t="str">
        <f>IFERROR(__xludf.DUMMYFUNCTION("""COMPUTED_VALUE"""),"-")</f>
        <v>-</v>
      </c>
      <c r="Z398" t="str">
        <f>IFERROR(__xludf.DUMMYFUNCTION("""COMPUTED_VALUE"""),"-")</f>
        <v>-</v>
      </c>
      <c r="AA398" t="str">
        <f>IFERROR(__xludf.DUMMYFUNCTION("""COMPUTED_VALUE"""),"-")</f>
        <v>-</v>
      </c>
    </row>
    <row r="399">
      <c r="A399" t="str">
        <f>IFERROR(__xludf.DUMMYFUNCTION("""COMPUTED_VALUE"""),"#398")</f>
        <v>#398</v>
      </c>
      <c r="B399" t="str">
        <f>IFERROR(__xludf.DUMMYFUNCTION("""COMPUTED_VALUE"""),"Samuel Lopes")</f>
        <v>Samuel Lopes</v>
      </c>
      <c r="C399">
        <f>IFERROR(__xludf.DUMMYFUNCTION("""COMPUTED_VALUE"""),6358.0)</f>
        <v>6358</v>
      </c>
      <c r="D399" t="str">
        <f>IFERROR(__xludf.DUMMYFUNCTION("""COMPUTED_VALUE"""),"-")</f>
        <v>-</v>
      </c>
      <c r="E399" t="str">
        <f>IFERROR(__xludf.DUMMYFUNCTION("""COMPUTED_VALUE"""),"-")</f>
        <v>-</v>
      </c>
      <c r="F399" t="str">
        <f>IFERROR(__xludf.DUMMYFUNCTION("""COMPUTED_VALUE"""),"-")</f>
        <v>-</v>
      </c>
      <c r="G399" t="str">
        <f>IFERROR(__xludf.DUMMYFUNCTION("""COMPUTED_VALUE"""),"-")</f>
        <v>-</v>
      </c>
      <c r="H399" t="str">
        <f>IFERROR(__xludf.DUMMYFUNCTION("""COMPUTED_VALUE"""),"-")</f>
        <v>-</v>
      </c>
      <c r="I399" t="str">
        <f>IFERROR(__xludf.DUMMYFUNCTION("""COMPUTED_VALUE"""),"-")</f>
        <v>-</v>
      </c>
      <c r="J399" t="str">
        <f>IFERROR(__xludf.DUMMYFUNCTION("""COMPUTED_VALUE"""),"-")</f>
        <v>-</v>
      </c>
      <c r="K399" t="str">
        <f>IFERROR(__xludf.DUMMYFUNCTION("""COMPUTED_VALUE"""),"-")</f>
        <v>-</v>
      </c>
      <c r="L399" t="str">
        <f>IFERROR(__xludf.DUMMYFUNCTION("""COMPUTED_VALUE"""),"-")</f>
        <v>-</v>
      </c>
      <c r="M399" t="str">
        <f>IFERROR(__xludf.DUMMYFUNCTION("""COMPUTED_VALUE"""),"-")</f>
        <v>-</v>
      </c>
      <c r="O399" t="str">
        <f>IFERROR(__xludf.DUMMYFUNCTION("""COMPUTED_VALUE"""),"#398")</f>
        <v>#398</v>
      </c>
      <c r="P399" t="str">
        <f>IFERROR(__xludf.DUMMYFUNCTION("""COMPUTED_VALUE"""),"Samuel Lopes")</f>
        <v>Samuel Lopes</v>
      </c>
      <c r="Q399">
        <f>IFERROR(__xludf.DUMMYFUNCTION("""COMPUTED_VALUE"""),6358.0)</f>
        <v>6358</v>
      </c>
      <c r="R399" t="str">
        <f>IFERROR(__xludf.DUMMYFUNCTION("""COMPUTED_VALUE"""),"-")</f>
        <v>-</v>
      </c>
      <c r="S399" t="str">
        <f>IFERROR(__xludf.DUMMYFUNCTION("""COMPUTED_VALUE"""),"-")</f>
        <v>-</v>
      </c>
      <c r="T399" t="str">
        <f>IFERROR(__xludf.DUMMYFUNCTION("""COMPUTED_VALUE"""),"-")</f>
        <v>-</v>
      </c>
      <c r="U399" t="str">
        <f>IFERROR(__xludf.DUMMYFUNCTION("""COMPUTED_VALUE"""),"-")</f>
        <v>-</v>
      </c>
      <c r="V399" t="str">
        <f>IFERROR(__xludf.DUMMYFUNCTION("""COMPUTED_VALUE"""),"-")</f>
        <v>-</v>
      </c>
      <c r="W399" t="str">
        <f>IFERROR(__xludf.DUMMYFUNCTION("""COMPUTED_VALUE"""),"-")</f>
        <v>-</v>
      </c>
      <c r="X399" t="str">
        <f>IFERROR(__xludf.DUMMYFUNCTION("""COMPUTED_VALUE"""),"-")</f>
        <v>-</v>
      </c>
      <c r="Y399" t="str">
        <f>IFERROR(__xludf.DUMMYFUNCTION("""COMPUTED_VALUE"""),"-")</f>
        <v>-</v>
      </c>
      <c r="Z399" t="str">
        <f>IFERROR(__xludf.DUMMYFUNCTION("""COMPUTED_VALUE"""),"-")</f>
        <v>-</v>
      </c>
      <c r="AA399" t="str">
        <f>IFERROR(__xludf.DUMMYFUNCTION("""COMPUTED_VALUE"""),"-")</f>
        <v>-</v>
      </c>
    </row>
    <row r="400">
      <c r="A400" t="str">
        <f>IFERROR(__xludf.DUMMYFUNCTION("""COMPUTED_VALUE"""),"#399")</f>
        <v>#399</v>
      </c>
      <c r="B400" t="str">
        <f>IFERROR(__xludf.DUMMYFUNCTION("""COMPUTED_VALUE"""),"Philippe Doucet")</f>
        <v>Philippe Doucet</v>
      </c>
      <c r="C400">
        <f>IFERROR(__xludf.DUMMYFUNCTION("""COMPUTED_VALUE"""),6261.0)</f>
        <v>6261</v>
      </c>
      <c r="D400" t="str">
        <f>IFERROR(__xludf.DUMMYFUNCTION("""COMPUTED_VALUE"""),"-")</f>
        <v>-</v>
      </c>
      <c r="E400" t="str">
        <f>IFERROR(__xludf.DUMMYFUNCTION("""COMPUTED_VALUE"""),"-")</f>
        <v>-</v>
      </c>
      <c r="F400" t="str">
        <f>IFERROR(__xludf.DUMMYFUNCTION("""COMPUTED_VALUE"""),"-")</f>
        <v>-</v>
      </c>
      <c r="G400" t="str">
        <f>IFERROR(__xludf.DUMMYFUNCTION("""COMPUTED_VALUE"""),"-")</f>
        <v>-</v>
      </c>
      <c r="H400" t="str">
        <f>IFERROR(__xludf.DUMMYFUNCTION("""COMPUTED_VALUE"""),"-")</f>
        <v>-</v>
      </c>
      <c r="I400" t="str">
        <f>IFERROR(__xludf.DUMMYFUNCTION("""COMPUTED_VALUE"""),"-")</f>
        <v>-</v>
      </c>
      <c r="J400" t="str">
        <f>IFERROR(__xludf.DUMMYFUNCTION("""COMPUTED_VALUE"""),"-")</f>
        <v>-</v>
      </c>
      <c r="K400" t="str">
        <f>IFERROR(__xludf.DUMMYFUNCTION("""COMPUTED_VALUE"""),"-")</f>
        <v>-</v>
      </c>
      <c r="L400" t="str">
        <f>IFERROR(__xludf.DUMMYFUNCTION("""COMPUTED_VALUE"""),"-")</f>
        <v>-</v>
      </c>
      <c r="M400" t="str">
        <f>IFERROR(__xludf.DUMMYFUNCTION("""COMPUTED_VALUE"""),"-")</f>
        <v>-</v>
      </c>
      <c r="O400" t="str">
        <f>IFERROR(__xludf.DUMMYFUNCTION("""COMPUTED_VALUE"""),"#399")</f>
        <v>#399</v>
      </c>
      <c r="P400" t="str">
        <f>IFERROR(__xludf.DUMMYFUNCTION("""COMPUTED_VALUE"""),"Philippe Doucet")</f>
        <v>Philippe Doucet</v>
      </c>
      <c r="Q400">
        <f>IFERROR(__xludf.DUMMYFUNCTION("""COMPUTED_VALUE"""),6261.0)</f>
        <v>6261</v>
      </c>
      <c r="R400" t="str">
        <f>IFERROR(__xludf.DUMMYFUNCTION("""COMPUTED_VALUE"""),"-")</f>
        <v>-</v>
      </c>
      <c r="S400" t="str">
        <f>IFERROR(__xludf.DUMMYFUNCTION("""COMPUTED_VALUE"""),"-")</f>
        <v>-</v>
      </c>
      <c r="T400" t="str">
        <f>IFERROR(__xludf.DUMMYFUNCTION("""COMPUTED_VALUE"""),"-")</f>
        <v>-</v>
      </c>
      <c r="U400" t="str">
        <f>IFERROR(__xludf.DUMMYFUNCTION("""COMPUTED_VALUE"""),"-")</f>
        <v>-</v>
      </c>
      <c r="V400" t="str">
        <f>IFERROR(__xludf.DUMMYFUNCTION("""COMPUTED_VALUE"""),"-")</f>
        <v>-</v>
      </c>
      <c r="W400" t="str">
        <f>IFERROR(__xludf.DUMMYFUNCTION("""COMPUTED_VALUE"""),"-")</f>
        <v>-</v>
      </c>
      <c r="X400" t="str">
        <f>IFERROR(__xludf.DUMMYFUNCTION("""COMPUTED_VALUE"""),"-")</f>
        <v>-</v>
      </c>
      <c r="Y400" t="str">
        <f>IFERROR(__xludf.DUMMYFUNCTION("""COMPUTED_VALUE"""),"-")</f>
        <v>-</v>
      </c>
      <c r="Z400" t="str">
        <f>IFERROR(__xludf.DUMMYFUNCTION("""COMPUTED_VALUE"""),"-")</f>
        <v>-</v>
      </c>
      <c r="AA400" t="str">
        <f>IFERROR(__xludf.DUMMYFUNCTION("""COMPUTED_VALUE"""),"-")</f>
        <v>-</v>
      </c>
    </row>
    <row r="401">
      <c r="A401" t="str">
        <f>IFERROR(__xludf.DUMMYFUNCTION("""COMPUTED_VALUE"""),"#400")</f>
        <v>#400</v>
      </c>
      <c r="B401" t="str">
        <f>IFERROR(__xludf.DUMMYFUNCTION("""COMPUTED_VALUE"""),"Edouard Martin")</f>
        <v>Edouard Martin</v>
      </c>
      <c r="C401">
        <f>IFERROR(__xludf.DUMMYFUNCTION("""COMPUTED_VALUE"""),6243.0)</f>
        <v>6243</v>
      </c>
      <c r="D401" t="str">
        <f>IFERROR(__xludf.DUMMYFUNCTION("""COMPUTED_VALUE"""),"-")</f>
        <v>-</v>
      </c>
      <c r="E401" t="str">
        <f>IFERROR(__xludf.DUMMYFUNCTION("""COMPUTED_VALUE"""),"-")</f>
        <v>-</v>
      </c>
      <c r="F401" t="str">
        <f>IFERROR(__xludf.DUMMYFUNCTION("""COMPUTED_VALUE"""),"-")</f>
        <v>-</v>
      </c>
      <c r="G401" t="str">
        <f>IFERROR(__xludf.DUMMYFUNCTION("""COMPUTED_VALUE"""),"-")</f>
        <v>-</v>
      </c>
      <c r="H401" t="str">
        <f>IFERROR(__xludf.DUMMYFUNCTION("""COMPUTED_VALUE"""),"-")</f>
        <v>-</v>
      </c>
      <c r="I401" t="str">
        <f>IFERROR(__xludf.DUMMYFUNCTION("""COMPUTED_VALUE"""),"-")</f>
        <v>-</v>
      </c>
      <c r="J401" t="str">
        <f>IFERROR(__xludf.DUMMYFUNCTION("""COMPUTED_VALUE"""),"-")</f>
        <v>-</v>
      </c>
      <c r="K401" t="str">
        <f>IFERROR(__xludf.DUMMYFUNCTION("""COMPUTED_VALUE"""),"-")</f>
        <v>-</v>
      </c>
      <c r="L401" t="str">
        <f>IFERROR(__xludf.DUMMYFUNCTION("""COMPUTED_VALUE"""),"-")</f>
        <v>-</v>
      </c>
      <c r="M401" t="str">
        <f>IFERROR(__xludf.DUMMYFUNCTION("""COMPUTED_VALUE"""),"-")</f>
        <v>-</v>
      </c>
      <c r="O401" t="str">
        <f>IFERROR(__xludf.DUMMYFUNCTION("""COMPUTED_VALUE"""),"#400")</f>
        <v>#400</v>
      </c>
      <c r="P401" t="str">
        <f>IFERROR(__xludf.DUMMYFUNCTION("""COMPUTED_VALUE"""),"Edouard Martin")</f>
        <v>Edouard Martin</v>
      </c>
      <c r="Q401">
        <f>IFERROR(__xludf.DUMMYFUNCTION("""COMPUTED_VALUE"""),6243.0)</f>
        <v>6243</v>
      </c>
      <c r="R401" t="str">
        <f>IFERROR(__xludf.DUMMYFUNCTION("""COMPUTED_VALUE"""),"-")</f>
        <v>-</v>
      </c>
      <c r="S401" t="str">
        <f>IFERROR(__xludf.DUMMYFUNCTION("""COMPUTED_VALUE"""),"-")</f>
        <v>-</v>
      </c>
      <c r="T401" t="str">
        <f>IFERROR(__xludf.DUMMYFUNCTION("""COMPUTED_VALUE"""),"-")</f>
        <v>-</v>
      </c>
      <c r="U401" t="str">
        <f>IFERROR(__xludf.DUMMYFUNCTION("""COMPUTED_VALUE"""),"-")</f>
        <v>-</v>
      </c>
      <c r="V401" t="str">
        <f>IFERROR(__xludf.DUMMYFUNCTION("""COMPUTED_VALUE"""),"-")</f>
        <v>-</v>
      </c>
      <c r="W401" t="str">
        <f>IFERROR(__xludf.DUMMYFUNCTION("""COMPUTED_VALUE"""),"-")</f>
        <v>-</v>
      </c>
      <c r="X401" t="str">
        <f>IFERROR(__xludf.DUMMYFUNCTION("""COMPUTED_VALUE"""),"-")</f>
        <v>-</v>
      </c>
      <c r="Y401" t="str">
        <f>IFERROR(__xludf.DUMMYFUNCTION("""COMPUTED_VALUE"""),"-")</f>
        <v>-</v>
      </c>
      <c r="Z401" t="str">
        <f>IFERROR(__xludf.DUMMYFUNCTION("""COMPUTED_VALUE"""),"-")</f>
        <v>-</v>
      </c>
      <c r="AA401" t="str">
        <f>IFERROR(__xludf.DUMMYFUNCTION("""COMPUTED_VALUE"""),"-")</f>
        <v>-</v>
      </c>
    </row>
    <row r="402">
      <c r="A402" t="str">
        <f>IFERROR(__xludf.DUMMYFUNCTION("""COMPUTED_VALUE"""),"#401")</f>
        <v>#401</v>
      </c>
      <c r="B402" t="str">
        <f>IFERROR(__xludf.DUMMYFUNCTION("""COMPUTED_VALUE"""),"Philippe Conte")</f>
        <v>Philippe Conte</v>
      </c>
      <c r="C402">
        <f>IFERROR(__xludf.DUMMYFUNCTION("""COMPUTED_VALUE"""),6238.0)</f>
        <v>6238</v>
      </c>
      <c r="D402" t="str">
        <f>IFERROR(__xludf.DUMMYFUNCTION("""COMPUTED_VALUE"""),"-")</f>
        <v>-</v>
      </c>
      <c r="E402" t="str">
        <f>IFERROR(__xludf.DUMMYFUNCTION("""COMPUTED_VALUE"""),"-")</f>
        <v>-</v>
      </c>
      <c r="F402" t="str">
        <f>IFERROR(__xludf.DUMMYFUNCTION("""COMPUTED_VALUE"""),"-")</f>
        <v>-</v>
      </c>
      <c r="G402" t="str">
        <f>IFERROR(__xludf.DUMMYFUNCTION("""COMPUTED_VALUE"""),"-")</f>
        <v>-</v>
      </c>
      <c r="H402" t="str">
        <f>IFERROR(__xludf.DUMMYFUNCTION("""COMPUTED_VALUE"""),"-")</f>
        <v>-</v>
      </c>
      <c r="I402" t="str">
        <f>IFERROR(__xludf.DUMMYFUNCTION("""COMPUTED_VALUE"""),"-")</f>
        <v>-</v>
      </c>
      <c r="J402" t="str">
        <f>IFERROR(__xludf.DUMMYFUNCTION("""COMPUTED_VALUE"""),"-")</f>
        <v>-</v>
      </c>
      <c r="K402" t="str">
        <f>IFERROR(__xludf.DUMMYFUNCTION("""COMPUTED_VALUE"""),"-")</f>
        <v>-</v>
      </c>
      <c r="L402" t="str">
        <f>IFERROR(__xludf.DUMMYFUNCTION("""COMPUTED_VALUE"""),"-")</f>
        <v>-</v>
      </c>
      <c r="M402" t="str">
        <f>IFERROR(__xludf.DUMMYFUNCTION("""COMPUTED_VALUE"""),"-")</f>
        <v>-</v>
      </c>
      <c r="O402" t="str">
        <f>IFERROR(__xludf.DUMMYFUNCTION("""COMPUTED_VALUE"""),"#401")</f>
        <v>#401</v>
      </c>
      <c r="P402" t="str">
        <f>IFERROR(__xludf.DUMMYFUNCTION("""COMPUTED_VALUE"""),"Philippe Conte")</f>
        <v>Philippe Conte</v>
      </c>
      <c r="Q402">
        <f>IFERROR(__xludf.DUMMYFUNCTION("""COMPUTED_VALUE"""),6238.0)</f>
        <v>6238</v>
      </c>
      <c r="R402" t="str">
        <f>IFERROR(__xludf.DUMMYFUNCTION("""COMPUTED_VALUE"""),"-")</f>
        <v>-</v>
      </c>
      <c r="S402" t="str">
        <f>IFERROR(__xludf.DUMMYFUNCTION("""COMPUTED_VALUE"""),"-")</f>
        <v>-</v>
      </c>
      <c r="T402" t="str">
        <f>IFERROR(__xludf.DUMMYFUNCTION("""COMPUTED_VALUE"""),"-")</f>
        <v>-</v>
      </c>
      <c r="U402" t="str">
        <f>IFERROR(__xludf.DUMMYFUNCTION("""COMPUTED_VALUE"""),"-")</f>
        <v>-</v>
      </c>
      <c r="V402" t="str">
        <f>IFERROR(__xludf.DUMMYFUNCTION("""COMPUTED_VALUE"""),"-")</f>
        <v>-</v>
      </c>
      <c r="W402" t="str">
        <f>IFERROR(__xludf.DUMMYFUNCTION("""COMPUTED_VALUE"""),"-")</f>
        <v>-</v>
      </c>
      <c r="X402" t="str">
        <f>IFERROR(__xludf.DUMMYFUNCTION("""COMPUTED_VALUE"""),"-")</f>
        <v>-</v>
      </c>
      <c r="Y402" t="str">
        <f>IFERROR(__xludf.DUMMYFUNCTION("""COMPUTED_VALUE"""),"-")</f>
        <v>-</v>
      </c>
      <c r="Z402" t="str">
        <f>IFERROR(__xludf.DUMMYFUNCTION("""COMPUTED_VALUE"""),"-")</f>
        <v>-</v>
      </c>
      <c r="AA402" t="str">
        <f>IFERROR(__xludf.DUMMYFUNCTION("""COMPUTED_VALUE"""),"-")</f>
        <v>-</v>
      </c>
    </row>
    <row r="403">
      <c r="A403" t="str">
        <f>IFERROR(__xludf.DUMMYFUNCTION("""COMPUTED_VALUE"""),"#402")</f>
        <v>#402</v>
      </c>
      <c r="B403" t="str">
        <f>IFERROR(__xludf.DUMMYFUNCTION("""COMPUTED_VALUE"""),"Natacha Bouchart")</f>
        <v>Natacha Bouchart</v>
      </c>
      <c r="C403">
        <f>IFERROR(__xludf.DUMMYFUNCTION("""COMPUTED_VALUE"""),6231.0)</f>
        <v>6231</v>
      </c>
      <c r="D403" t="str">
        <f>IFERROR(__xludf.DUMMYFUNCTION("""COMPUTED_VALUE"""),"-")</f>
        <v>-</v>
      </c>
      <c r="E403" t="str">
        <f>IFERROR(__xludf.DUMMYFUNCTION("""COMPUTED_VALUE"""),"-")</f>
        <v>-</v>
      </c>
      <c r="F403" t="str">
        <f>IFERROR(__xludf.DUMMYFUNCTION("""COMPUTED_VALUE"""),"-")</f>
        <v>-</v>
      </c>
      <c r="G403" t="str">
        <f>IFERROR(__xludf.DUMMYFUNCTION("""COMPUTED_VALUE"""),"-")</f>
        <v>-</v>
      </c>
      <c r="H403" t="str">
        <f>IFERROR(__xludf.DUMMYFUNCTION("""COMPUTED_VALUE"""),"-")</f>
        <v>-</v>
      </c>
      <c r="I403" t="str">
        <f>IFERROR(__xludf.DUMMYFUNCTION("""COMPUTED_VALUE"""),"-")</f>
        <v>-</v>
      </c>
      <c r="J403" t="str">
        <f>IFERROR(__xludf.DUMMYFUNCTION("""COMPUTED_VALUE"""),"-")</f>
        <v>-</v>
      </c>
      <c r="K403" t="str">
        <f>IFERROR(__xludf.DUMMYFUNCTION("""COMPUTED_VALUE"""),"-")</f>
        <v>-</v>
      </c>
      <c r="L403" t="str">
        <f>IFERROR(__xludf.DUMMYFUNCTION("""COMPUTED_VALUE"""),"-")</f>
        <v>-</v>
      </c>
      <c r="M403" t="str">
        <f>IFERROR(__xludf.DUMMYFUNCTION("""COMPUTED_VALUE"""),"-")</f>
        <v>-</v>
      </c>
      <c r="O403" t="str">
        <f>IFERROR(__xludf.DUMMYFUNCTION("""COMPUTED_VALUE"""),"#402")</f>
        <v>#402</v>
      </c>
      <c r="P403" t="str">
        <f>IFERROR(__xludf.DUMMYFUNCTION("""COMPUTED_VALUE"""),"Natacha Bouchart")</f>
        <v>Natacha Bouchart</v>
      </c>
      <c r="Q403">
        <f>IFERROR(__xludf.DUMMYFUNCTION("""COMPUTED_VALUE"""),6231.0)</f>
        <v>6231</v>
      </c>
      <c r="R403" t="str">
        <f>IFERROR(__xludf.DUMMYFUNCTION("""COMPUTED_VALUE"""),"-")</f>
        <v>-</v>
      </c>
      <c r="S403" t="str">
        <f>IFERROR(__xludf.DUMMYFUNCTION("""COMPUTED_VALUE"""),"-")</f>
        <v>-</v>
      </c>
      <c r="T403" t="str">
        <f>IFERROR(__xludf.DUMMYFUNCTION("""COMPUTED_VALUE"""),"-")</f>
        <v>-</v>
      </c>
      <c r="U403" t="str">
        <f>IFERROR(__xludf.DUMMYFUNCTION("""COMPUTED_VALUE"""),"-")</f>
        <v>-</v>
      </c>
      <c r="V403" t="str">
        <f>IFERROR(__xludf.DUMMYFUNCTION("""COMPUTED_VALUE"""),"-")</f>
        <v>-</v>
      </c>
      <c r="W403" t="str">
        <f>IFERROR(__xludf.DUMMYFUNCTION("""COMPUTED_VALUE"""),"-")</f>
        <v>-</v>
      </c>
      <c r="X403" t="str">
        <f>IFERROR(__xludf.DUMMYFUNCTION("""COMPUTED_VALUE"""),"-")</f>
        <v>-</v>
      </c>
      <c r="Y403" t="str">
        <f>IFERROR(__xludf.DUMMYFUNCTION("""COMPUTED_VALUE"""),"-")</f>
        <v>-</v>
      </c>
      <c r="Z403" t="str">
        <f>IFERROR(__xludf.DUMMYFUNCTION("""COMPUTED_VALUE"""),"-")</f>
        <v>-</v>
      </c>
      <c r="AA403" t="str">
        <f>IFERROR(__xludf.DUMMYFUNCTION("""COMPUTED_VALUE"""),"-")</f>
        <v>-</v>
      </c>
    </row>
    <row r="404">
      <c r="A404" t="str">
        <f>IFERROR(__xludf.DUMMYFUNCTION("""COMPUTED_VALUE"""),"#403")</f>
        <v>#403</v>
      </c>
      <c r="B404" t="str">
        <f>IFERROR(__xludf.DUMMYFUNCTION("""COMPUTED_VALUE"""),"Michel Pouzol")</f>
        <v>Michel Pouzol</v>
      </c>
      <c r="C404">
        <f>IFERROR(__xludf.DUMMYFUNCTION("""COMPUTED_VALUE"""),6191.0)</f>
        <v>6191</v>
      </c>
      <c r="D404" t="str">
        <f>IFERROR(__xludf.DUMMYFUNCTION("""COMPUTED_VALUE"""),"-")</f>
        <v>-</v>
      </c>
      <c r="E404" t="str">
        <f>IFERROR(__xludf.DUMMYFUNCTION("""COMPUTED_VALUE"""),"-")</f>
        <v>-</v>
      </c>
      <c r="F404" t="str">
        <f>IFERROR(__xludf.DUMMYFUNCTION("""COMPUTED_VALUE"""),"-")</f>
        <v>-</v>
      </c>
      <c r="G404" t="str">
        <f>IFERROR(__xludf.DUMMYFUNCTION("""COMPUTED_VALUE"""),"-")</f>
        <v>-</v>
      </c>
      <c r="H404" t="str">
        <f>IFERROR(__xludf.DUMMYFUNCTION("""COMPUTED_VALUE"""),"-")</f>
        <v>-</v>
      </c>
      <c r="I404" t="str">
        <f>IFERROR(__xludf.DUMMYFUNCTION("""COMPUTED_VALUE"""),"-")</f>
        <v>-</v>
      </c>
      <c r="J404" t="str">
        <f>IFERROR(__xludf.DUMMYFUNCTION("""COMPUTED_VALUE"""),"-")</f>
        <v>-</v>
      </c>
      <c r="K404" t="str">
        <f>IFERROR(__xludf.DUMMYFUNCTION("""COMPUTED_VALUE"""),"-")</f>
        <v>-</v>
      </c>
      <c r="L404" t="str">
        <f>IFERROR(__xludf.DUMMYFUNCTION("""COMPUTED_VALUE"""),"-")</f>
        <v>-</v>
      </c>
      <c r="M404" t="str">
        <f>IFERROR(__xludf.DUMMYFUNCTION("""COMPUTED_VALUE"""),"-")</f>
        <v>-</v>
      </c>
      <c r="O404" t="str">
        <f>IFERROR(__xludf.DUMMYFUNCTION("""COMPUTED_VALUE"""),"#403")</f>
        <v>#403</v>
      </c>
      <c r="P404" t="str">
        <f>IFERROR(__xludf.DUMMYFUNCTION("""COMPUTED_VALUE"""),"Michel Pouzol")</f>
        <v>Michel Pouzol</v>
      </c>
      <c r="Q404">
        <f>IFERROR(__xludf.DUMMYFUNCTION("""COMPUTED_VALUE"""),6191.0)</f>
        <v>6191</v>
      </c>
      <c r="R404" t="str">
        <f>IFERROR(__xludf.DUMMYFUNCTION("""COMPUTED_VALUE"""),"-")</f>
        <v>-</v>
      </c>
      <c r="S404" t="str">
        <f>IFERROR(__xludf.DUMMYFUNCTION("""COMPUTED_VALUE"""),"-")</f>
        <v>-</v>
      </c>
      <c r="T404" t="str">
        <f>IFERROR(__xludf.DUMMYFUNCTION("""COMPUTED_VALUE"""),"-")</f>
        <v>-</v>
      </c>
      <c r="U404" t="str">
        <f>IFERROR(__xludf.DUMMYFUNCTION("""COMPUTED_VALUE"""),"-")</f>
        <v>-</v>
      </c>
      <c r="V404" t="str">
        <f>IFERROR(__xludf.DUMMYFUNCTION("""COMPUTED_VALUE"""),"-")</f>
        <v>-</v>
      </c>
      <c r="W404" t="str">
        <f>IFERROR(__xludf.DUMMYFUNCTION("""COMPUTED_VALUE"""),"-")</f>
        <v>-</v>
      </c>
      <c r="X404" t="str">
        <f>IFERROR(__xludf.DUMMYFUNCTION("""COMPUTED_VALUE"""),"-")</f>
        <v>-</v>
      </c>
      <c r="Y404" t="str">
        <f>IFERROR(__xludf.DUMMYFUNCTION("""COMPUTED_VALUE"""),"-")</f>
        <v>-</v>
      </c>
      <c r="Z404" t="str">
        <f>IFERROR(__xludf.DUMMYFUNCTION("""COMPUTED_VALUE"""),"-")</f>
        <v>-</v>
      </c>
      <c r="AA404" t="str">
        <f>IFERROR(__xludf.DUMMYFUNCTION("""COMPUTED_VALUE"""),"-")</f>
        <v>-</v>
      </c>
    </row>
    <row r="405">
      <c r="A405" t="str">
        <f>IFERROR(__xludf.DUMMYFUNCTION("""COMPUTED_VALUE"""),"#404")</f>
        <v>#404</v>
      </c>
      <c r="B405" t="str">
        <f>IFERROR(__xludf.DUMMYFUNCTION("""COMPUTED_VALUE"""),"Brice Hortefeux")</f>
        <v>Brice Hortefeux</v>
      </c>
      <c r="C405">
        <f>IFERROR(__xludf.DUMMYFUNCTION("""COMPUTED_VALUE"""),6165.0)</f>
        <v>6165</v>
      </c>
      <c r="D405" t="str">
        <f>IFERROR(__xludf.DUMMYFUNCTION("""COMPUTED_VALUE"""),"-")</f>
        <v>-</v>
      </c>
      <c r="E405" t="str">
        <f>IFERROR(__xludf.DUMMYFUNCTION("""COMPUTED_VALUE"""),"-")</f>
        <v>-</v>
      </c>
      <c r="F405" t="str">
        <f>IFERROR(__xludf.DUMMYFUNCTION("""COMPUTED_VALUE"""),"-")</f>
        <v>-</v>
      </c>
      <c r="G405" t="str">
        <f>IFERROR(__xludf.DUMMYFUNCTION("""COMPUTED_VALUE"""),"-")</f>
        <v>-</v>
      </c>
      <c r="H405" t="str">
        <f>IFERROR(__xludf.DUMMYFUNCTION("""COMPUTED_VALUE"""),"-")</f>
        <v>-</v>
      </c>
      <c r="I405" t="str">
        <f>IFERROR(__xludf.DUMMYFUNCTION("""COMPUTED_VALUE"""),"-")</f>
        <v>-</v>
      </c>
      <c r="J405" t="str">
        <f>IFERROR(__xludf.DUMMYFUNCTION("""COMPUTED_VALUE"""),"-")</f>
        <v>-</v>
      </c>
      <c r="K405" t="str">
        <f>IFERROR(__xludf.DUMMYFUNCTION("""COMPUTED_VALUE"""),"-")</f>
        <v>-</v>
      </c>
      <c r="L405" t="str">
        <f>IFERROR(__xludf.DUMMYFUNCTION("""COMPUTED_VALUE"""),"-")</f>
        <v>-</v>
      </c>
      <c r="M405" t="str">
        <f>IFERROR(__xludf.DUMMYFUNCTION("""COMPUTED_VALUE"""),"-")</f>
        <v>-</v>
      </c>
      <c r="O405" t="str">
        <f>IFERROR(__xludf.DUMMYFUNCTION("""COMPUTED_VALUE"""),"#404")</f>
        <v>#404</v>
      </c>
      <c r="P405" t="str">
        <f>IFERROR(__xludf.DUMMYFUNCTION("""COMPUTED_VALUE"""),"Brice Hortefeux")</f>
        <v>Brice Hortefeux</v>
      </c>
      <c r="Q405">
        <f>IFERROR(__xludf.DUMMYFUNCTION("""COMPUTED_VALUE"""),6165.0)</f>
        <v>6165</v>
      </c>
      <c r="R405" t="str">
        <f>IFERROR(__xludf.DUMMYFUNCTION("""COMPUTED_VALUE"""),"-")</f>
        <v>-</v>
      </c>
      <c r="S405" t="str">
        <f>IFERROR(__xludf.DUMMYFUNCTION("""COMPUTED_VALUE"""),"-")</f>
        <v>-</v>
      </c>
      <c r="T405" t="str">
        <f>IFERROR(__xludf.DUMMYFUNCTION("""COMPUTED_VALUE"""),"-")</f>
        <v>-</v>
      </c>
      <c r="U405" t="str">
        <f>IFERROR(__xludf.DUMMYFUNCTION("""COMPUTED_VALUE"""),"-")</f>
        <v>-</v>
      </c>
      <c r="V405" t="str">
        <f>IFERROR(__xludf.DUMMYFUNCTION("""COMPUTED_VALUE"""),"-")</f>
        <v>-</v>
      </c>
      <c r="W405" t="str">
        <f>IFERROR(__xludf.DUMMYFUNCTION("""COMPUTED_VALUE"""),"-")</f>
        <v>-</v>
      </c>
      <c r="X405" t="str">
        <f>IFERROR(__xludf.DUMMYFUNCTION("""COMPUTED_VALUE"""),"-")</f>
        <v>-</v>
      </c>
      <c r="Y405" t="str">
        <f>IFERROR(__xludf.DUMMYFUNCTION("""COMPUTED_VALUE"""),"-")</f>
        <v>-</v>
      </c>
      <c r="Z405" t="str">
        <f>IFERROR(__xludf.DUMMYFUNCTION("""COMPUTED_VALUE"""),"-")</f>
        <v>-</v>
      </c>
      <c r="AA405" t="str">
        <f>IFERROR(__xludf.DUMMYFUNCTION("""COMPUTED_VALUE"""),"-")</f>
        <v>-</v>
      </c>
    </row>
    <row r="406">
      <c r="A406" t="str">
        <f>IFERROR(__xludf.DUMMYFUNCTION("""COMPUTED_VALUE"""),"#405")</f>
        <v>#405</v>
      </c>
      <c r="B406" t="str">
        <f>IFERROR(__xludf.DUMMYFUNCTION("""COMPUTED_VALUE"""),"Lionel Tivoli")</f>
        <v>Lionel Tivoli</v>
      </c>
      <c r="C406">
        <f>IFERROR(__xludf.DUMMYFUNCTION("""COMPUTED_VALUE"""),6121.0)</f>
        <v>6121</v>
      </c>
      <c r="D406" t="str">
        <f>IFERROR(__xludf.DUMMYFUNCTION("""COMPUTED_VALUE"""),"-")</f>
        <v>-</v>
      </c>
      <c r="E406" t="str">
        <f>IFERROR(__xludf.DUMMYFUNCTION("""COMPUTED_VALUE"""),"-")</f>
        <v>-</v>
      </c>
      <c r="F406" t="str">
        <f>IFERROR(__xludf.DUMMYFUNCTION("""COMPUTED_VALUE"""),"-")</f>
        <v>-</v>
      </c>
      <c r="G406" t="str">
        <f>IFERROR(__xludf.DUMMYFUNCTION("""COMPUTED_VALUE"""),"-")</f>
        <v>-</v>
      </c>
      <c r="H406" t="str">
        <f>IFERROR(__xludf.DUMMYFUNCTION("""COMPUTED_VALUE"""),"-")</f>
        <v>-</v>
      </c>
      <c r="I406" t="str">
        <f>IFERROR(__xludf.DUMMYFUNCTION("""COMPUTED_VALUE"""),"-")</f>
        <v>-</v>
      </c>
      <c r="J406" t="str">
        <f>IFERROR(__xludf.DUMMYFUNCTION("""COMPUTED_VALUE"""),"-")</f>
        <v>-</v>
      </c>
      <c r="K406" t="str">
        <f>IFERROR(__xludf.DUMMYFUNCTION("""COMPUTED_VALUE"""),"-")</f>
        <v>-</v>
      </c>
      <c r="L406" t="str">
        <f>IFERROR(__xludf.DUMMYFUNCTION("""COMPUTED_VALUE"""),"-")</f>
        <v>-</v>
      </c>
      <c r="M406" t="str">
        <f>IFERROR(__xludf.DUMMYFUNCTION("""COMPUTED_VALUE"""),"-")</f>
        <v>-</v>
      </c>
      <c r="O406" t="str">
        <f>IFERROR(__xludf.DUMMYFUNCTION("""COMPUTED_VALUE"""),"#405")</f>
        <v>#405</v>
      </c>
      <c r="P406" t="str">
        <f>IFERROR(__xludf.DUMMYFUNCTION("""COMPUTED_VALUE"""),"Lionel Tivoli")</f>
        <v>Lionel Tivoli</v>
      </c>
      <c r="Q406">
        <f>IFERROR(__xludf.DUMMYFUNCTION("""COMPUTED_VALUE"""),6121.0)</f>
        <v>6121</v>
      </c>
      <c r="R406" t="str">
        <f>IFERROR(__xludf.DUMMYFUNCTION("""COMPUTED_VALUE"""),"-")</f>
        <v>-</v>
      </c>
      <c r="S406" t="str">
        <f>IFERROR(__xludf.DUMMYFUNCTION("""COMPUTED_VALUE"""),"-")</f>
        <v>-</v>
      </c>
      <c r="T406" t="str">
        <f>IFERROR(__xludf.DUMMYFUNCTION("""COMPUTED_VALUE"""),"-")</f>
        <v>-</v>
      </c>
      <c r="U406" t="str">
        <f>IFERROR(__xludf.DUMMYFUNCTION("""COMPUTED_VALUE"""),"-")</f>
        <v>-</v>
      </c>
      <c r="V406" t="str">
        <f>IFERROR(__xludf.DUMMYFUNCTION("""COMPUTED_VALUE"""),"-")</f>
        <v>-</v>
      </c>
      <c r="W406" t="str">
        <f>IFERROR(__xludf.DUMMYFUNCTION("""COMPUTED_VALUE"""),"-")</f>
        <v>-</v>
      </c>
      <c r="X406" t="str">
        <f>IFERROR(__xludf.DUMMYFUNCTION("""COMPUTED_VALUE"""),"-")</f>
        <v>-</v>
      </c>
      <c r="Y406" t="str">
        <f>IFERROR(__xludf.DUMMYFUNCTION("""COMPUTED_VALUE"""),"-")</f>
        <v>-</v>
      </c>
      <c r="Z406" t="str">
        <f>IFERROR(__xludf.DUMMYFUNCTION("""COMPUTED_VALUE"""),"-")</f>
        <v>-</v>
      </c>
      <c r="AA406" t="str">
        <f>IFERROR(__xludf.DUMMYFUNCTION("""COMPUTED_VALUE"""),"-")</f>
        <v>-</v>
      </c>
    </row>
    <row r="407">
      <c r="A407" t="str">
        <f>IFERROR(__xludf.DUMMYFUNCTION("""COMPUTED_VALUE"""),"#406")</f>
        <v>#406</v>
      </c>
      <c r="B407" t="str">
        <f>IFERROR(__xludf.DUMMYFUNCTION("""COMPUTED_VALUE"""),"Damien Pichereau")</f>
        <v>Damien Pichereau</v>
      </c>
      <c r="C407">
        <f>IFERROR(__xludf.DUMMYFUNCTION("""COMPUTED_VALUE"""),6026.0)</f>
        <v>6026</v>
      </c>
      <c r="D407" t="str">
        <f>IFERROR(__xludf.DUMMYFUNCTION("""COMPUTED_VALUE"""),"-")</f>
        <v>-</v>
      </c>
      <c r="E407" t="str">
        <f>IFERROR(__xludf.DUMMYFUNCTION("""COMPUTED_VALUE"""),"-")</f>
        <v>-</v>
      </c>
      <c r="F407" t="str">
        <f>IFERROR(__xludf.DUMMYFUNCTION("""COMPUTED_VALUE"""),"-")</f>
        <v>-</v>
      </c>
      <c r="G407" t="str">
        <f>IFERROR(__xludf.DUMMYFUNCTION("""COMPUTED_VALUE"""),"-")</f>
        <v>-</v>
      </c>
      <c r="H407" t="str">
        <f>IFERROR(__xludf.DUMMYFUNCTION("""COMPUTED_VALUE"""),"-")</f>
        <v>-</v>
      </c>
      <c r="I407" t="str">
        <f>IFERROR(__xludf.DUMMYFUNCTION("""COMPUTED_VALUE"""),"-")</f>
        <v>-</v>
      </c>
      <c r="J407" t="str">
        <f>IFERROR(__xludf.DUMMYFUNCTION("""COMPUTED_VALUE"""),"-")</f>
        <v>-</v>
      </c>
      <c r="K407" t="str">
        <f>IFERROR(__xludf.DUMMYFUNCTION("""COMPUTED_VALUE"""),"-")</f>
        <v>-</v>
      </c>
      <c r="L407" t="str">
        <f>IFERROR(__xludf.DUMMYFUNCTION("""COMPUTED_VALUE"""),"-")</f>
        <v>-</v>
      </c>
      <c r="M407" t="str">
        <f>IFERROR(__xludf.DUMMYFUNCTION("""COMPUTED_VALUE"""),"-")</f>
        <v>-</v>
      </c>
      <c r="O407" t="str">
        <f>IFERROR(__xludf.DUMMYFUNCTION("""COMPUTED_VALUE"""),"#406")</f>
        <v>#406</v>
      </c>
      <c r="P407" t="str">
        <f>IFERROR(__xludf.DUMMYFUNCTION("""COMPUTED_VALUE"""),"Damien Pichereau")</f>
        <v>Damien Pichereau</v>
      </c>
      <c r="Q407">
        <f>IFERROR(__xludf.DUMMYFUNCTION("""COMPUTED_VALUE"""),6026.0)</f>
        <v>6026</v>
      </c>
      <c r="R407" t="str">
        <f>IFERROR(__xludf.DUMMYFUNCTION("""COMPUTED_VALUE"""),"-")</f>
        <v>-</v>
      </c>
      <c r="S407" t="str">
        <f>IFERROR(__xludf.DUMMYFUNCTION("""COMPUTED_VALUE"""),"-")</f>
        <v>-</v>
      </c>
      <c r="T407" t="str">
        <f>IFERROR(__xludf.DUMMYFUNCTION("""COMPUTED_VALUE"""),"-")</f>
        <v>-</v>
      </c>
      <c r="U407" t="str">
        <f>IFERROR(__xludf.DUMMYFUNCTION("""COMPUTED_VALUE"""),"-")</f>
        <v>-</v>
      </c>
      <c r="V407" t="str">
        <f>IFERROR(__xludf.DUMMYFUNCTION("""COMPUTED_VALUE"""),"-")</f>
        <v>-</v>
      </c>
      <c r="W407" t="str">
        <f>IFERROR(__xludf.DUMMYFUNCTION("""COMPUTED_VALUE"""),"-")</f>
        <v>-</v>
      </c>
      <c r="X407" t="str">
        <f>IFERROR(__xludf.DUMMYFUNCTION("""COMPUTED_VALUE"""),"-")</f>
        <v>-</v>
      </c>
      <c r="Y407" t="str">
        <f>IFERROR(__xludf.DUMMYFUNCTION("""COMPUTED_VALUE"""),"-")</f>
        <v>-</v>
      </c>
      <c r="Z407" t="str">
        <f>IFERROR(__xludf.DUMMYFUNCTION("""COMPUTED_VALUE"""),"-")</f>
        <v>-</v>
      </c>
      <c r="AA407" t="str">
        <f>IFERROR(__xludf.DUMMYFUNCTION("""COMPUTED_VALUE"""),"-")</f>
        <v>-</v>
      </c>
    </row>
    <row r="408">
      <c r="A408" t="str">
        <f>IFERROR(__xludf.DUMMYFUNCTION("""COMPUTED_VALUE"""),"#407")</f>
        <v>#407</v>
      </c>
      <c r="B408" t="str">
        <f>IFERROR(__xludf.DUMMYFUNCTION("""COMPUTED_VALUE"""),"Sophie Rauszer")</f>
        <v>Sophie Rauszer</v>
      </c>
      <c r="C408">
        <f>IFERROR(__xludf.DUMMYFUNCTION("""COMPUTED_VALUE"""),5979.0)</f>
        <v>5979</v>
      </c>
      <c r="D408" t="str">
        <f>IFERROR(__xludf.DUMMYFUNCTION("""COMPUTED_VALUE"""),"-")</f>
        <v>-</v>
      </c>
      <c r="E408" t="str">
        <f>IFERROR(__xludf.DUMMYFUNCTION("""COMPUTED_VALUE"""),"-")</f>
        <v>-</v>
      </c>
      <c r="F408" t="str">
        <f>IFERROR(__xludf.DUMMYFUNCTION("""COMPUTED_VALUE"""),"-")</f>
        <v>-</v>
      </c>
      <c r="G408" t="str">
        <f>IFERROR(__xludf.DUMMYFUNCTION("""COMPUTED_VALUE"""),"-")</f>
        <v>-</v>
      </c>
      <c r="H408" t="str">
        <f>IFERROR(__xludf.DUMMYFUNCTION("""COMPUTED_VALUE"""),"-")</f>
        <v>-</v>
      </c>
      <c r="I408" t="str">
        <f>IFERROR(__xludf.DUMMYFUNCTION("""COMPUTED_VALUE"""),"-")</f>
        <v>-</v>
      </c>
      <c r="J408" t="str">
        <f>IFERROR(__xludf.DUMMYFUNCTION("""COMPUTED_VALUE"""),"-")</f>
        <v>-</v>
      </c>
      <c r="K408" t="str">
        <f>IFERROR(__xludf.DUMMYFUNCTION("""COMPUTED_VALUE"""),"-")</f>
        <v>-</v>
      </c>
      <c r="L408" t="str">
        <f>IFERROR(__xludf.DUMMYFUNCTION("""COMPUTED_VALUE"""),"-")</f>
        <v>-</v>
      </c>
      <c r="M408" t="str">
        <f>IFERROR(__xludf.DUMMYFUNCTION("""COMPUTED_VALUE"""),"-")</f>
        <v>-</v>
      </c>
      <c r="O408" t="str">
        <f>IFERROR(__xludf.DUMMYFUNCTION("""COMPUTED_VALUE"""),"#407")</f>
        <v>#407</v>
      </c>
      <c r="P408" t="str">
        <f>IFERROR(__xludf.DUMMYFUNCTION("""COMPUTED_VALUE"""),"Sophie Rauszer")</f>
        <v>Sophie Rauszer</v>
      </c>
      <c r="Q408">
        <f>IFERROR(__xludf.DUMMYFUNCTION("""COMPUTED_VALUE"""),5979.0)</f>
        <v>5979</v>
      </c>
      <c r="R408" t="str">
        <f>IFERROR(__xludf.DUMMYFUNCTION("""COMPUTED_VALUE"""),"-")</f>
        <v>-</v>
      </c>
      <c r="S408" t="str">
        <f>IFERROR(__xludf.DUMMYFUNCTION("""COMPUTED_VALUE"""),"-")</f>
        <v>-</v>
      </c>
      <c r="T408" t="str">
        <f>IFERROR(__xludf.DUMMYFUNCTION("""COMPUTED_VALUE"""),"-")</f>
        <v>-</v>
      </c>
      <c r="U408" t="str">
        <f>IFERROR(__xludf.DUMMYFUNCTION("""COMPUTED_VALUE"""),"-")</f>
        <v>-</v>
      </c>
      <c r="V408" t="str">
        <f>IFERROR(__xludf.DUMMYFUNCTION("""COMPUTED_VALUE"""),"-")</f>
        <v>-</v>
      </c>
      <c r="W408" t="str">
        <f>IFERROR(__xludf.DUMMYFUNCTION("""COMPUTED_VALUE"""),"-")</f>
        <v>-</v>
      </c>
      <c r="X408" t="str">
        <f>IFERROR(__xludf.DUMMYFUNCTION("""COMPUTED_VALUE"""),"-")</f>
        <v>-</v>
      </c>
      <c r="Y408" t="str">
        <f>IFERROR(__xludf.DUMMYFUNCTION("""COMPUTED_VALUE"""),"-")</f>
        <v>-</v>
      </c>
      <c r="Z408" t="str">
        <f>IFERROR(__xludf.DUMMYFUNCTION("""COMPUTED_VALUE"""),"-")</f>
        <v>-</v>
      </c>
      <c r="AA408" t="str">
        <f>IFERROR(__xludf.DUMMYFUNCTION("""COMPUTED_VALUE"""),"-")</f>
        <v>-</v>
      </c>
    </row>
    <row r="409">
      <c r="A409" t="str">
        <f>IFERROR(__xludf.DUMMYFUNCTION("""COMPUTED_VALUE"""),"#408")</f>
        <v>#408</v>
      </c>
      <c r="B409" t="str">
        <f>IFERROR(__xludf.DUMMYFUNCTION("""COMPUTED_VALUE"""),"Valérie Létard")</f>
        <v>Valérie Létard</v>
      </c>
      <c r="C409">
        <f>IFERROR(__xludf.DUMMYFUNCTION("""COMPUTED_VALUE"""),5935.0)</f>
        <v>5935</v>
      </c>
      <c r="D409" t="str">
        <f>IFERROR(__xludf.DUMMYFUNCTION("""COMPUTED_VALUE"""),"-")</f>
        <v>-</v>
      </c>
      <c r="E409" t="str">
        <f>IFERROR(__xludf.DUMMYFUNCTION("""COMPUTED_VALUE"""),"-")</f>
        <v>-</v>
      </c>
      <c r="F409" t="str">
        <f>IFERROR(__xludf.DUMMYFUNCTION("""COMPUTED_VALUE"""),"-")</f>
        <v>-</v>
      </c>
      <c r="G409" t="str">
        <f>IFERROR(__xludf.DUMMYFUNCTION("""COMPUTED_VALUE"""),"-")</f>
        <v>-</v>
      </c>
      <c r="H409" t="str">
        <f>IFERROR(__xludf.DUMMYFUNCTION("""COMPUTED_VALUE"""),"-")</f>
        <v>-</v>
      </c>
      <c r="I409" t="str">
        <f>IFERROR(__xludf.DUMMYFUNCTION("""COMPUTED_VALUE"""),"-")</f>
        <v>-</v>
      </c>
      <c r="J409" t="str">
        <f>IFERROR(__xludf.DUMMYFUNCTION("""COMPUTED_VALUE"""),"-")</f>
        <v>-</v>
      </c>
      <c r="K409" t="str">
        <f>IFERROR(__xludf.DUMMYFUNCTION("""COMPUTED_VALUE"""),"-")</f>
        <v>-</v>
      </c>
      <c r="L409" t="str">
        <f>IFERROR(__xludf.DUMMYFUNCTION("""COMPUTED_VALUE"""),"-")</f>
        <v>-</v>
      </c>
      <c r="M409" t="str">
        <f>IFERROR(__xludf.DUMMYFUNCTION("""COMPUTED_VALUE"""),"-")</f>
        <v>-</v>
      </c>
      <c r="O409" t="str">
        <f>IFERROR(__xludf.DUMMYFUNCTION("""COMPUTED_VALUE"""),"#408")</f>
        <v>#408</v>
      </c>
      <c r="P409" t="str">
        <f>IFERROR(__xludf.DUMMYFUNCTION("""COMPUTED_VALUE"""),"Valérie Létard")</f>
        <v>Valérie Létard</v>
      </c>
      <c r="Q409">
        <f>IFERROR(__xludf.DUMMYFUNCTION("""COMPUTED_VALUE"""),5935.0)</f>
        <v>5935</v>
      </c>
      <c r="R409" t="str">
        <f>IFERROR(__xludf.DUMMYFUNCTION("""COMPUTED_VALUE"""),"-")</f>
        <v>-</v>
      </c>
      <c r="S409" t="str">
        <f>IFERROR(__xludf.DUMMYFUNCTION("""COMPUTED_VALUE"""),"-")</f>
        <v>-</v>
      </c>
      <c r="T409" t="str">
        <f>IFERROR(__xludf.DUMMYFUNCTION("""COMPUTED_VALUE"""),"-")</f>
        <v>-</v>
      </c>
      <c r="U409" t="str">
        <f>IFERROR(__xludf.DUMMYFUNCTION("""COMPUTED_VALUE"""),"-")</f>
        <v>-</v>
      </c>
      <c r="V409" t="str">
        <f>IFERROR(__xludf.DUMMYFUNCTION("""COMPUTED_VALUE"""),"-")</f>
        <v>-</v>
      </c>
      <c r="W409" t="str">
        <f>IFERROR(__xludf.DUMMYFUNCTION("""COMPUTED_VALUE"""),"-")</f>
        <v>-</v>
      </c>
      <c r="X409" t="str">
        <f>IFERROR(__xludf.DUMMYFUNCTION("""COMPUTED_VALUE"""),"-")</f>
        <v>-</v>
      </c>
      <c r="Y409" t="str">
        <f>IFERROR(__xludf.DUMMYFUNCTION("""COMPUTED_VALUE"""),"-")</f>
        <v>-</v>
      </c>
      <c r="Z409" t="str">
        <f>IFERROR(__xludf.DUMMYFUNCTION("""COMPUTED_VALUE"""),"-")</f>
        <v>-</v>
      </c>
      <c r="AA409" t="str">
        <f>IFERROR(__xludf.DUMMYFUNCTION("""COMPUTED_VALUE"""),"-")</f>
        <v>-</v>
      </c>
    </row>
    <row r="410">
      <c r="A410" t="str">
        <f>IFERROR(__xludf.DUMMYFUNCTION("""COMPUTED_VALUE"""),"#409")</f>
        <v>#409</v>
      </c>
      <c r="B410" t="str">
        <f>IFERROR(__xludf.DUMMYFUNCTION("""COMPUTED_VALUE"""),"Didier Reault")</f>
        <v>Didier Reault</v>
      </c>
      <c r="C410">
        <f>IFERROR(__xludf.DUMMYFUNCTION("""COMPUTED_VALUE"""),5873.0)</f>
        <v>5873</v>
      </c>
      <c r="D410" t="str">
        <f>IFERROR(__xludf.DUMMYFUNCTION("""COMPUTED_VALUE"""),"-")</f>
        <v>-</v>
      </c>
      <c r="E410" t="str">
        <f>IFERROR(__xludf.DUMMYFUNCTION("""COMPUTED_VALUE"""),"-")</f>
        <v>-</v>
      </c>
      <c r="F410" t="str">
        <f>IFERROR(__xludf.DUMMYFUNCTION("""COMPUTED_VALUE"""),"-")</f>
        <v>-</v>
      </c>
      <c r="G410" t="str">
        <f>IFERROR(__xludf.DUMMYFUNCTION("""COMPUTED_VALUE"""),"-")</f>
        <v>-</v>
      </c>
      <c r="H410" t="str">
        <f>IFERROR(__xludf.DUMMYFUNCTION("""COMPUTED_VALUE"""),"-")</f>
        <v>-</v>
      </c>
      <c r="I410" t="str">
        <f>IFERROR(__xludf.DUMMYFUNCTION("""COMPUTED_VALUE"""),"-")</f>
        <v>-</v>
      </c>
      <c r="J410" t="str">
        <f>IFERROR(__xludf.DUMMYFUNCTION("""COMPUTED_VALUE"""),"-")</f>
        <v>-</v>
      </c>
      <c r="K410" t="str">
        <f>IFERROR(__xludf.DUMMYFUNCTION("""COMPUTED_VALUE"""),"-")</f>
        <v>-</v>
      </c>
      <c r="L410" t="str">
        <f>IFERROR(__xludf.DUMMYFUNCTION("""COMPUTED_VALUE"""),"-")</f>
        <v>-</v>
      </c>
      <c r="M410" t="str">
        <f>IFERROR(__xludf.DUMMYFUNCTION("""COMPUTED_VALUE"""),"-")</f>
        <v>-</v>
      </c>
      <c r="O410" t="str">
        <f>IFERROR(__xludf.DUMMYFUNCTION("""COMPUTED_VALUE"""),"#409")</f>
        <v>#409</v>
      </c>
      <c r="P410" t="str">
        <f>IFERROR(__xludf.DUMMYFUNCTION("""COMPUTED_VALUE"""),"Didier Reault")</f>
        <v>Didier Reault</v>
      </c>
      <c r="Q410">
        <f>IFERROR(__xludf.DUMMYFUNCTION("""COMPUTED_VALUE"""),5873.0)</f>
        <v>5873</v>
      </c>
      <c r="R410" t="str">
        <f>IFERROR(__xludf.DUMMYFUNCTION("""COMPUTED_VALUE"""),"-")</f>
        <v>-</v>
      </c>
      <c r="S410" t="str">
        <f>IFERROR(__xludf.DUMMYFUNCTION("""COMPUTED_VALUE"""),"-")</f>
        <v>-</v>
      </c>
      <c r="T410" t="str">
        <f>IFERROR(__xludf.DUMMYFUNCTION("""COMPUTED_VALUE"""),"-")</f>
        <v>-</v>
      </c>
      <c r="U410" t="str">
        <f>IFERROR(__xludf.DUMMYFUNCTION("""COMPUTED_VALUE"""),"-")</f>
        <v>-</v>
      </c>
      <c r="V410" t="str">
        <f>IFERROR(__xludf.DUMMYFUNCTION("""COMPUTED_VALUE"""),"-")</f>
        <v>-</v>
      </c>
      <c r="W410" t="str">
        <f>IFERROR(__xludf.DUMMYFUNCTION("""COMPUTED_VALUE"""),"-")</f>
        <v>-</v>
      </c>
      <c r="X410" t="str">
        <f>IFERROR(__xludf.DUMMYFUNCTION("""COMPUTED_VALUE"""),"-")</f>
        <v>-</v>
      </c>
      <c r="Y410" t="str">
        <f>IFERROR(__xludf.DUMMYFUNCTION("""COMPUTED_VALUE"""),"-")</f>
        <v>-</v>
      </c>
      <c r="Z410" t="str">
        <f>IFERROR(__xludf.DUMMYFUNCTION("""COMPUTED_VALUE"""),"-")</f>
        <v>-</v>
      </c>
      <c r="AA410" t="str">
        <f>IFERROR(__xludf.DUMMYFUNCTION("""COMPUTED_VALUE"""),"-")</f>
        <v>-</v>
      </c>
    </row>
    <row r="411">
      <c r="A411" t="str">
        <f>IFERROR(__xludf.DUMMYFUNCTION("""COMPUTED_VALUE"""),"#410")</f>
        <v>#410</v>
      </c>
      <c r="B411" t="str">
        <f>IFERROR(__xludf.DUMMYFUNCTION("""COMPUTED_VALUE"""),"Georges Méric")</f>
        <v>Georges Méric</v>
      </c>
      <c r="C411">
        <f>IFERROR(__xludf.DUMMYFUNCTION("""COMPUTED_VALUE"""),5853.0)</f>
        <v>5853</v>
      </c>
      <c r="D411" t="str">
        <f>IFERROR(__xludf.DUMMYFUNCTION("""COMPUTED_VALUE"""),"-")</f>
        <v>-</v>
      </c>
      <c r="E411" t="str">
        <f>IFERROR(__xludf.DUMMYFUNCTION("""COMPUTED_VALUE"""),"-")</f>
        <v>-</v>
      </c>
      <c r="F411" t="str">
        <f>IFERROR(__xludf.DUMMYFUNCTION("""COMPUTED_VALUE"""),"-")</f>
        <v>-</v>
      </c>
      <c r="G411" t="str">
        <f>IFERROR(__xludf.DUMMYFUNCTION("""COMPUTED_VALUE"""),"-")</f>
        <v>-</v>
      </c>
      <c r="H411" t="str">
        <f>IFERROR(__xludf.DUMMYFUNCTION("""COMPUTED_VALUE"""),"-")</f>
        <v>-</v>
      </c>
      <c r="I411" t="str">
        <f>IFERROR(__xludf.DUMMYFUNCTION("""COMPUTED_VALUE"""),"-")</f>
        <v>-</v>
      </c>
      <c r="J411" t="str">
        <f>IFERROR(__xludf.DUMMYFUNCTION("""COMPUTED_VALUE"""),"-")</f>
        <v>-</v>
      </c>
      <c r="K411" t="str">
        <f>IFERROR(__xludf.DUMMYFUNCTION("""COMPUTED_VALUE"""),"-")</f>
        <v>-</v>
      </c>
      <c r="L411" t="str">
        <f>IFERROR(__xludf.DUMMYFUNCTION("""COMPUTED_VALUE"""),"-")</f>
        <v>-</v>
      </c>
      <c r="M411" t="str">
        <f>IFERROR(__xludf.DUMMYFUNCTION("""COMPUTED_VALUE"""),"-")</f>
        <v>-</v>
      </c>
      <c r="O411" t="str">
        <f>IFERROR(__xludf.DUMMYFUNCTION("""COMPUTED_VALUE"""),"#410")</f>
        <v>#410</v>
      </c>
      <c r="P411" t="str">
        <f>IFERROR(__xludf.DUMMYFUNCTION("""COMPUTED_VALUE"""),"Georges Méric")</f>
        <v>Georges Méric</v>
      </c>
      <c r="Q411">
        <f>IFERROR(__xludf.DUMMYFUNCTION("""COMPUTED_VALUE"""),5853.0)</f>
        <v>5853</v>
      </c>
      <c r="R411" t="str">
        <f>IFERROR(__xludf.DUMMYFUNCTION("""COMPUTED_VALUE"""),"-")</f>
        <v>-</v>
      </c>
      <c r="S411" t="str">
        <f>IFERROR(__xludf.DUMMYFUNCTION("""COMPUTED_VALUE"""),"-")</f>
        <v>-</v>
      </c>
      <c r="T411" t="str">
        <f>IFERROR(__xludf.DUMMYFUNCTION("""COMPUTED_VALUE"""),"-")</f>
        <v>-</v>
      </c>
      <c r="U411" t="str">
        <f>IFERROR(__xludf.DUMMYFUNCTION("""COMPUTED_VALUE"""),"-")</f>
        <v>-</v>
      </c>
      <c r="V411" t="str">
        <f>IFERROR(__xludf.DUMMYFUNCTION("""COMPUTED_VALUE"""),"-")</f>
        <v>-</v>
      </c>
      <c r="W411" t="str">
        <f>IFERROR(__xludf.DUMMYFUNCTION("""COMPUTED_VALUE"""),"-")</f>
        <v>-</v>
      </c>
      <c r="X411" t="str">
        <f>IFERROR(__xludf.DUMMYFUNCTION("""COMPUTED_VALUE"""),"-")</f>
        <v>-</v>
      </c>
      <c r="Y411" t="str">
        <f>IFERROR(__xludf.DUMMYFUNCTION("""COMPUTED_VALUE"""),"-")</f>
        <v>-</v>
      </c>
      <c r="Z411" t="str">
        <f>IFERROR(__xludf.DUMMYFUNCTION("""COMPUTED_VALUE"""),"-")</f>
        <v>-</v>
      </c>
      <c r="AA411" t="str">
        <f>IFERROR(__xludf.DUMMYFUNCTION("""COMPUTED_VALUE"""),"-")</f>
        <v>-</v>
      </c>
    </row>
    <row r="412">
      <c r="A412" t="str">
        <f>IFERROR(__xludf.DUMMYFUNCTION("""COMPUTED_VALUE"""),"#411")</f>
        <v>#411</v>
      </c>
      <c r="B412" t="str">
        <f>IFERROR(__xludf.DUMMYFUNCTION("""COMPUTED_VALUE"""),"Gauthier Bouchet")</f>
        <v>Gauthier Bouchet</v>
      </c>
      <c r="C412">
        <f>IFERROR(__xludf.DUMMYFUNCTION("""COMPUTED_VALUE"""),5816.0)</f>
        <v>5816</v>
      </c>
      <c r="D412" t="str">
        <f>IFERROR(__xludf.DUMMYFUNCTION("""COMPUTED_VALUE"""),"-")</f>
        <v>-</v>
      </c>
      <c r="E412" t="str">
        <f>IFERROR(__xludf.DUMMYFUNCTION("""COMPUTED_VALUE"""),"-")</f>
        <v>-</v>
      </c>
      <c r="F412" t="str">
        <f>IFERROR(__xludf.DUMMYFUNCTION("""COMPUTED_VALUE"""),"-")</f>
        <v>-</v>
      </c>
      <c r="G412" t="str">
        <f>IFERROR(__xludf.DUMMYFUNCTION("""COMPUTED_VALUE"""),"-")</f>
        <v>-</v>
      </c>
      <c r="H412" t="str">
        <f>IFERROR(__xludf.DUMMYFUNCTION("""COMPUTED_VALUE"""),"-")</f>
        <v>-</v>
      </c>
      <c r="I412" t="str">
        <f>IFERROR(__xludf.DUMMYFUNCTION("""COMPUTED_VALUE"""),"-")</f>
        <v>-</v>
      </c>
      <c r="J412" t="str">
        <f>IFERROR(__xludf.DUMMYFUNCTION("""COMPUTED_VALUE"""),"-")</f>
        <v>-</v>
      </c>
      <c r="K412" t="str">
        <f>IFERROR(__xludf.DUMMYFUNCTION("""COMPUTED_VALUE"""),"-")</f>
        <v>-</v>
      </c>
      <c r="L412" t="str">
        <f>IFERROR(__xludf.DUMMYFUNCTION("""COMPUTED_VALUE"""),"-")</f>
        <v>-</v>
      </c>
      <c r="M412" t="str">
        <f>IFERROR(__xludf.DUMMYFUNCTION("""COMPUTED_VALUE"""),"-")</f>
        <v>-</v>
      </c>
      <c r="O412" t="str">
        <f>IFERROR(__xludf.DUMMYFUNCTION("""COMPUTED_VALUE"""),"#411")</f>
        <v>#411</v>
      </c>
      <c r="P412" t="str">
        <f>IFERROR(__xludf.DUMMYFUNCTION("""COMPUTED_VALUE"""),"Gauthier Bouchet")</f>
        <v>Gauthier Bouchet</v>
      </c>
      <c r="Q412">
        <f>IFERROR(__xludf.DUMMYFUNCTION("""COMPUTED_VALUE"""),5816.0)</f>
        <v>5816</v>
      </c>
      <c r="R412" t="str">
        <f>IFERROR(__xludf.DUMMYFUNCTION("""COMPUTED_VALUE"""),"-")</f>
        <v>-</v>
      </c>
      <c r="S412" t="str">
        <f>IFERROR(__xludf.DUMMYFUNCTION("""COMPUTED_VALUE"""),"-")</f>
        <v>-</v>
      </c>
      <c r="T412" t="str">
        <f>IFERROR(__xludf.DUMMYFUNCTION("""COMPUTED_VALUE"""),"-")</f>
        <v>-</v>
      </c>
      <c r="U412" t="str">
        <f>IFERROR(__xludf.DUMMYFUNCTION("""COMPUTED_VALUE"""),"-")</f>
        <v>-</v>
      </c>
      <c r="V412" t="str">
        <f>IFERROR(__xludf.DUMMYFUNCTION("""COMPUTED_VALUE"""),"-")</f>
        <v>-</v>
      </c>
      <c r="W412" t="str">
        <f>IFERROR(__xludf.DUMMYFUNCTION("""COMPUTED_VALUE"""),"-")</f>
        <v>-</v>
      </c>
      <c r="X412" t="str">
        <f>IFERROR(__xludf.DUMMYFUNCTION("""COMPUTED_VALUE"""),"-")</f>
        <v>-</v>
      </c>
      <c r="Y412" t="str">
        <f>IFERROR(__xludf.DUMMYFUNCTION("""COMPUTED_VALUE"""),"-")</f>
        <v>-</v>
      </c>
      <c r="Z412" t="str">
        <f>IFERROR(__xludf.DUMMYFUNCTION("""COMPUTED_VALUE"""),"-")</f>
        <v>-</v>
      </c>
      <c r="AA412" t="str">
        <f>IFERROR(__xludf.DUMMYFUNCTION("""COMPUTED_VALUE"""),"-")</f>
        <v>-</v>
      </c>
    </row>
    <row r="413">
      <c r="A413" t="str">
        <f>IFERROR(__xludf.DUMMYFUNCTION("""COMPUTED_VALUE"""),"#412")</f>
        <v>#412</v>
      </c>
      <c r="B413" t="str">
        <f>IFERROR(__xludf.DUMMYFUNCTION("""COMPUTED_VALUE"""),"Hervé Gaymard")</f>
        <v>Hervé Gaymard</v>
      </c>
      <c r="C413">
        <f>IFERROR(__xludf.DUMMYFUNCTION("""COMPUTED_VALUE"""),5794.0)</f>
        <v>5794</v>
      </c>
      <c r="D413" t="str">
        <f>IFERROR(__xludf.DUMMYFUNCTION("""COMPUTED_VALUE"""),"-")</f>
        <v>-</v>
      </c>
      <c r="E413" t="str">
        <f>IFERROR(__xludf.DUMMYFUNCTION("""COMPUTED_VALUE"""),"-")</f>
        <v>-</v>
      </c>
      <c r="F413" t="str">
        <f>IFERROR(__xludf.DUMMYFUNCTION("""COMPUTED_VALUE"""),"-")</f>
        <v>-</v>
      </c>
      <c r="G413" t="str">
        <f>IFERROR(__xludf.DUMMYFUNCTION("""COMPUTED_VALUE"""),"-")</f>
        <v>-</v>
      </c>
      <c r="H413" t="str">
        <f>IFERROR(__xludf.DUMMYFUNCTION("""COMPUTED_VALUE"""),"-")</f>
        <v>-</v>
      </c>
      <c r="I413" t="str">
        <f>IFERROR(__xludf.DUMMYFUNCTION("""COMPUTED_VALUE"""),"-")</f>
        <v>-</v>
      </c>
      <c r="J413" t="str">
        <f>IFERROR(__xludf.DUMMYFUNCTION("""COMPUTED_VALUE"""),"-")</f>
        <v>-</v>
      </c>
      <c r="K413" t="str">
        <f>IFERROR(__xludf.DUMMYFUNCTION("""COMPUTED_VALUE"""),"-")</f>
        <v>-</v>
      </c>
      <c r="L413" t="str">
        <f>IFERROR(__xludf.DUMMYFUNCTION("""COMPUTED_VALUE"""),"-")</f>
        <v>-</v>
      </c>
      <c r="M413" t="str">
        <f>IFERROR(__xludf.DUMMYFUNCTION("""COMPUTED_VALUE"""),"-")</f>
        <v>-</v>
      </c>
      <c r="O413" t="str">
        <f>IFERROR(__xludf.DUMMYFUNCTION("""COMPUTED_VALUE"""),"#412")</f>
        <v>#412</v>
      </c>
      <c r="P413" t="str">
        <f>IFERROR(__xludf.DUMMYFUNCTION("""COMPUTED_VALUE"""),"Hervé Gaymard")</f>
        <v>Hervé Gaymard</v>
      </c>
      <c r="Q413">
        <f>IFERROR(__xludf.DUMMYFUNCTION("""COMPUTED_VALUE"""),5794.0)</f>
        <v>5794</v>
      </c>
      <c r="R413" t="str">
        <f>IFERROR(__xludf.DUMMYFUNCTION("""COMPUTED_VALUE"""),"-")</f>
        <v>-</v>
      </c>
      <c r="S413" t="str">
        <f>IFERROR(__xludf.DUMMYFUNCTION("""COMPUTED_VALUE"""),"-")</f>
        <v>-</v>
      </c>
      <c r="T413" t="str">
        <f>IFERROR(__xludf.DUMMYFUNCTION("""COMPUTED_VALUE"""),"-")</f>
        <v>-</v>
      </c>
      <c r="U413" t="str">
        <f>IFERROR(__xludf.DUMMYFUNCTION("""COMPUTED_VALUE"""),"-")</f>
        <v>-</v>
      </c>
      <c r="V413" t="str">
        <f>IFERROR(__xludf.DUMMYFUNCTION("""COMPUTED_VALUE"""),"-")</f>
        <v>-</v>
      </c>
      <c r="W413" t="str">
        <f>IFERROR(__xludf.DUMMYFUNCTION("""COMPUTED_VALUE"""),"-")</f>
        <v>-</v>
      </c>
      <c r="X413" t="str">
        <f>IFERROR(__xludf.DUMMYFUNCTION("""COMPUTED_VALUE"""),"-")</f>
        <v>-</v>
      </c>
      <c r="Y413" t="str">
        <f>IFERROR(__xludf.DUMMYFUNCTION("""COMPUTED_VALUE"""),"-")</f>
        <v>-</v>
      </c>
      <c r="Z413" t="str">
        <f>IFERROR(__xludf.DUMMYFUNCTION("""COMPUTED_VALUE"""),"-")</f>
        <v>-</v>
      </c>
      <c r="AA413" t="str">
        <f>IFERROR(__xludf.DUMMYFUNCTION("""COMPUTED_VALUE"""),"-")</f>
        <v>-</v>
      </c>
    </row>
    <row r="414">
      <c r="A414" t="str">
        <f>IFERROR(__xludf.DUMMYFUNCTION("""COMPUTED_VALUE"""),"#413")</f>
        <v>#413</v>
      </c>
      <c r="B414" t="str">
        <f>IFERROR(__xludf.DUMMYFUNCTION("""COMPUTED_VALUE"""),"Philippe Folliot")</f>
        <v>Philippe Folliot</v>
      </c>
      <c r="C414">
        <f>IFERROR(__xludf.DUMMYFUNCTION("""COMPUTED_VALUE"""),5727.0)</f>
        <v>5727</v>
      </c>
      <c r="D414" t="str">
        <f>IFERROR(__xludf.DUMMYFUNCTION("""COMPUTED_VALUE"""),"-")</f>
        <v>-</v>
      </c>
      <c r="E414" t="str">
        <f>IFERROR(__xludf.DUMMYFUNCTION("""COMPUTED_VALUE"""),"-")</f>
        <v>-</v>
      </c>
      <c r="F414" t="str">
        <f>IFERROR(__xludf.DUMMYFUNCTION("""COMPUTED_VALUE"""),"-")</f>
        <v>-</v>
      </c>
      <c r="G414" t="str">
        <f>IFERROR(__xludf.DUMMYFUNCTION("""COMPUTED_VALUE"""),"-")</f>
        <v>-</v>
      </c>
      <c r="H414" t="str">
        <f>IFERROR(__xludf.DUMMYFUNCTION("""COMPUTED_VALUE"""),"-")</f>
        <v>-</v>
      </c>
      <c r="I414" t="str">
        <f>IFERROR(__xludf.DUMMYFUNCTION("""COMPUTED_VALUE"""),"-")</f>
        <v>-</v>
      </c>
      <c r="J414" t="str">
        <f>IFERROR(__xludf.DUMMYFUNCTION("""COMPUTED_VALUE"""),"-")</f>
        <v>-</v>
      </c>
      <c r="K414" t="str">
        <f>IFERROR(__xludf.DUMMYFUNCTION("""COMPUTED_VALUE"""),"-")</f>
        <v>-</v>
      </c>
      <c r="L414" t="str">
        <f>IFERROR(__xludf.DUMMYFUNCTION("""COMPUTED_VALUE"""),"-")</f>
        <v>-</v>
      </c>
      <c r="M414" t="str">
        <f>IFERROR(__xludf.DUMMYFUNCTION("""COMPUTED_VALUE"""),"-")</f>
        <v>-</v>
      </c>
      <c r="O414" t="str">
        <f>IFERROR(__xludf.DUMMYFUNCTION("""COMPUTED_VALUE"""),"#413")</f>
        <v>#413</v>
      </c>
      <c r="P414" t="str">
        <f>IFERROR(__xludf.DUMMYFUNCTION("""COMPUTED_VALUE"""),"Philippe Folliot")</f>
        <v>Philippe Folliot</v>
      </c>
      <c r="Q414">
        <f>IFERROR(__xludf.DUMMYFUNCTION("""COMPUTED_VALUE"""),5727.0)</f>
        <v>5727</v>
      </c>
      <c r="R414" t="str">
        <f>IFERROR(__xludf.DUMMYFUNCTION("""COMPUTED_VALUE"""),"-")</f>
        <v>-</v>
      </c>
      <c r="S414" t="str">
        <f>IFERROR(__xludf.DUMMYFUNCTION("""COMPUTED_VALUE"""),"-")</f>
        <v>-</v>
      </c>
      <c r="T414" t="str">
        <f>IFERROR(__xludf.DUMMYFUNCTION("""COMPUTED_VALUE"""),"-")</f>
        <v>-</v>
      </c>
      <c r="U414" t="str">
        <f>IFERROR(__xludf.DUMMYFUNCTION("""COMPUTED_VALUE"""),"-")</f>
        <v>-</v>
      </c>
      <c r="V414" t="str">
        <f>IFERROR(__xludf.DUMMYFUNCTION("""COMPUTED_VALUE"""),"-")</f>
        <v>-</v>
      </c>
      <c r="W414" t="str">
        <f>IFERROR(__xludf.DUMMYFUNCTION("""COMPUTED_VALUE"""),"-")</f>
        <v>-</v>
      </c>
      <c r="X414" t="str">
        <f>IFERROR(__xludf.DUMMYFUNCTION("""COMPUTED_VALUE"""),"-")</f>
        <v>-</v>
      </c>
      <c r="Y414" t="str">
        <f>IFERROR(__xludf.DUMMYFUNCTION("""COMPUTED_VALUE"""),"-")</f>
        <v>-</v>
      </c>
      <c r="Z414" t="str">
        <f>IFERROR(__xludf.DUMMYFUNCTION("""COMPUTED_VALUE"""),"-")</f>
        <v>-</v>
      </c>
      <c r="AA414" t="str">
        <f>IFERROR(__xludf.DUMMYFUNCTION("""COMPUTED_VALUE"""),"-")</f>
        <v>-</v>
      </c>
    </row>
    <row r="415">
      <c r="A415" t="str">
        <f>IFERROR(__xludf.DUMMYFUNCTION("""COMPUTED_VALUE"""),"#414")</f>
        <v>#414</v>
      </c>
      <c r="B415" t="str">
        <f>IFERROR(__xludf.DUMMYFUNCTION("""COMPUTED_VALUE"""),"Claire Monod")</f>
        <v>Claire Monod</v>
      </c>
      <c r="C415">
        <f>IFERROR(__xludf.DUMMYFUNCTION("""COMPUTED_VALUE"""),5725.0)</f>
        <v>5725</v>
      </c>
      <c r="D415" t="str">
        <f>IFERROR(__xludf.DUMMYFUNCTION("""COMPUTED_VALUE"""),"-")</f>
        <v>-</v>
      </c>
      <c r="E415" t="str">
        <f>IFERROR(__xludf.DUMMYFUNCTION("""COMPUTED_VALUE"""),"-")</f>
        <v>-</v>
      </c>
      <c r="F415" t="str">
        <f>IFERROR(__xludf.DUMMYFUNCTION("""COMPUTED_VALUE"""),"-")</f>
        <v>-</v>
      </c>
      <c r="G415" t="str">
        <f>IFERROR(__xludf.DUMMYFUNCTION("""COMPUTED_VALUE"""),"-")</f>
        <v>-</v>
      </c>
      <c r="H415" t="str">
        <f>IFERROR(__xludf.DUMMYFUNCTION("""COMPUTED_VALUE"""),"-")</f>
        <v>-</v>
      </c>
      <c r="I415" t="str">
        <f>IFERROR(__xludf.DUMMYFUNCTION("""COMPUTED_VALUE"""),"-")</f>
        <v>-</v>
      </c>
      <c r="J415" t="str">
        <f>IFERROR(__xludf.DUMMYFUNCTION("""COMPUTED_VALUE"""),"-")</f>
        <v>-</v>
      </c>
      <c r="K415" t="str">
        <f>IFERROR(__xludf.DUMMYFUNCTION("""COMPUTED_VALUE"""),"-")</f>
        <v>-</v>
      </c>
      <c r="L415" t="str">
        <f>IFERROR(__xludf.DUMMYFUNCTION("""COMPUTED_VALUE"""),"-")</f>
        <v>-</v>
      </c>
      <c r="M415" t="str">
        <f>IFERROR(__xludf.DUMMYFUNCTION("""COMPUTED_VALUE"""),"-")</f>
        <v>-</v>
      </c>
      <c r="O415" t="str">
        <f>IFERROR(__xludf.DUMMYFUNCTION("""COMPUTED_VALUE"""),"#414")</f>
        <v>#414</v>
      </c>
      <c r="P415" t="str">
        <f>IFERROR(__xludf.DUMMYFUNCTION("""COMPUTED_VALUE"""),"Claire Monod")</f>
        <v>Claire Monod</v>
      </c>
      <c r="Q415">
        <f>IFERROR(__xludf.DUMMYFUNCTION("""COMPUTED_VALUE"""),5725.0)</f>
        <v>5725</v>
      </c>
      <c r="R415" t="str">
        <f>IFERROR(__xludf.DUMMYFUNCTION("""COMPUTED_VALUE"""),"-")</f>
        <v>-</v>
      </c>
      <c r="S415" t="str">
        <f>IFERROR(__xludf.DUMMYFUNCTION("""COMPUTED_VALUE"""),"-")</f>
        <v>-</v>
      </c>
      <c r="T415" t="str">
        <f>IFERROR(__xludf.DUMMYFUNCTION("""COMPUTED_VALUE"""),"-")</f>
        <v>-</v>
      </c>
      <c r="U415" t="str">
        <f>IFERROR(__xludf.DUMMYFUNCTION("""COMPUTED_VALUE"""),"-")</f>
        <v>-</v>
      </c>
      <c r="V415" t="str">
        <f>IFERROR(__xludf.DUMMYFUNCTION("""COMPUTED_VALUE"""),"-")</f>
        <v>-</v>
      </c>
      <c r="W415" t="str">
        <f>IFERROR(__xludf.DUMMYFUNCTION("""COMPUTED_VALUE"""),"-")</f>
        <v>-</v>
      </c>
      <c r="X415" t="str">
        <f>IFERROR(__xludf.DUMMYFUNCTION("""COMPUTED_VALUE"""),"-")</f>
        <v>-</v>
      </c>
      <c r="Y415" t="str">
        <f>IFERROR(__xludf.DUMMYFUNCTION("""COMPUTED_VALUE"""),"-")</f>
        <v>-</v>
      </c>
      <c r="Z415" t="str">
        <f>IFERROR(__xludf.DUMMYFUNCTION("""COMPUTED_VALUE"""),"-")</f>
        <v>-</v>
      </c>
      <c r="AA415" t="str">
        <f>IFERROR(__xludf.DUMMYFUNCTION("""COMPUTED_VALUE"""),"-")</f>
        <v>-</v>
      </c>
    </row>
    <row r="416">
      <c r="A416" t="str">
        <f>IFERROR(__xludf.DUMMYFUNCTION("""COMPUTED_VALUE"""),"#415")</f>
        <v>#415</v>
      </c>
      <c r="B416" t="str">
        <f>IFERROR(__xludf.DUMMYFUNCTION("""COMPUTED_VALUE"""),"Thomas Gassilloud")</f>
        <v>Thomas Gassilloud</v>
      </c>
      <c r="C416">
        <f>IFERROR(__xludf.DUMMYFUNCTION("""COMPUTED_VALUE"""),5686.0)</f>
        <v>5686</v>
      </c>
      <c r="D416" t="str">
        <f>IFERROR(__xludf.DUMMYFUNCTION("""COMPUTED_VALUE"""),"-")</f>
        <v>-</v>
      </c>
      <c r="E416" t="str">
        <f>IFERROR(__xludf.DUMMYFUNCTION("""COMPUTED_VALUE"""),"-")</f>
        <v>-</v>
      </c>
      <c r="F416" t="str">
        <f>IFERROR(__xludf.DUMMYFUNCTION("""COMPUTED_VALUE"""),"-")</f>
        <v>-</v>
      </c>
      <c r="G416" t="str">
        <f>IFERROR(__xludf.DUMMYFUNCTION("""COMPUTED_VALUE"""),"-")</f>
        <v>-</v>
      </c>
      <c r="H416" t="str">
        <f>IFERROR(__xludf.DUMMYFUNCTION("""COMPUTED_VALUE"""),"-")</f>
        <v>-</v>
      </c>
      <c r="I416" t="str">
        <f>IFERROR(__xludf.DUMMYFUNCTION("""COMPUTED_VALUE"""),"-")</f>
        <v>-</v>
      </c>
      <c r="J416" t="str">
        <f>IFERROR(__xludf.DUMMYFUNCTION("""COMPUTED_VALUE"""),"-")</f>
        <v>-</v>
      </c>
      <c r="K416" t="str">
        <f>IFERROR(__xludf.DUMMYFUNCTION("""COMPUTED_VALUE"""),"-")</f>
        <v>-</v>
      </c>
      <c r="L416" t="str">
        <f>IFERROR(__xludf.DUMMYFUNCTION("""COMPUTED_VALUE"""),"-")</f>
        <v>-</v>
      </c>
      <c r="M416" t="str">
        <f>IFERROR(__xludf.DUMMYFUNCTION("""COMPUTED_VALUE"""),"-")</f>
        <v>-</v>
      </c>
      <c r="O416" t="str">
        <f>IFERROR(__xludf.DUMMYFUNCTION("""COMPUTED_VALUE"""),"#415")</f>
        <v>#415</v>
      </c>
      <c r="P416" t="str">
        <f>IFERROR(__xludf.DUMMYFUNCTION("""COMPUTED_VALUE"""),"Thomas Gassilloud")</f>
        <v>Thomas Gassilloud</v>
      </c>
      <c r="Q416">
        <f>IFERROR(__xludf.DUMMYFUNCTION("""COMPUTED_VALUE"""),5686.0)</f>
        <v>5686</v>
      </c>
      <c r="R416" t="str">
        <f>IFERROR(__xludf.DUMMYFUNCTION("""COMPUTED_VALUE"""),"-")</f>
        <v>-</v>
      </c>
      <c r="S416" t="str">
        <f>IFERROR(__xludf.DUMMYFUNCTION("""COMPUTED_VALUE"""),"-")</f>
        <v>-</v>
      </c>
      <c r="T416" t="str">
        <f>IFERROR(__xludf.DUMMYFUNCTION("""COMPUTED_VALUE"""),"-")</f>
        <v>-</v>
      </c>
      <c r="U416" t="str">
        <f>IFERROR(__xludf.DUMMYFUNCTION("""COMPUTED_VALUE"""),"-")</f>
        <v>-</v>
      </c>
      <c r="V416" t="str">
        <f>IFERROR(__xludf.DUMMYFUNCTION("""COMPUTED_VALUE"""),"-")</f>
        <v>-</v>
      </c>
      <c r="W416" t="str">
        <f>IFERROR(__xludf.DUMMYFUNCTION("""COMPUTED_VALUE"""),"-")</f>
        <v>-</v>
      </c>
      <c r="X416" t="str">
        <f>IFERROR(__xludf.DUMMYFUNCTION("""COMPUTED_VALUE"""),"-")</f>
        <v>-</v>
      </c>
      <c r="Y416" t="str">
        <f>IFERROR(__xludf.DUMMYFUNCTION("""COMPUTED_VALUE"""),"-")</f>
        <v>-</v>
      </c>
      <c r="Z416" t="str">
        <f>IFERROR(__xludf.DUMMYFUNCTION("""COMPUTED_VALUE"""),"-")</f>
        <v>-</v>
      </c>
      <c r="AA416" t="str">
        <f>IFERROR(__xludf.DUMMYFUNCTION("""COMPUTED_VALUE"""),"-")</f>
        <v>-</v>
      </c>
    </row>
    <row r="417">
      <c r="A417" t="str">
        <f>IFERROR(__xludf.DUMMYFUNCTION("""COMPUTED_VALUE"""),"#416")</f>
        <v>#416</v>
      </c>
      <c r="B417" t="str">
        <f>IFERROR(__xludf.DUMMYFUNCTION("""COMPUTED_VALUE"""),"Corinne Vignon")</f>
        <v>Corinne Vignon</v>
      </c>
      <c r="C417">
        <f>IFERROR(__xludf.DUMMYFUNCTION("""COMPUTED_VALUE"""),5612.0)</f>
        <v>5612</v>
      </c>
      <c r="D417" t="str">
        <f>IFERROR(__xludf.DUMMYFUNCTION("""COMPUTED_VALUE"""),"-")</f>
        <v>-</v>
      </c>
      <c r="E417" t="str">
        <f>IFERROR(__xludf.DUMMYFUNCTION("""COMPUTED_VALUE"""),"-")</f>
        <v>-</v>
      </c>
      <c r="F417" t="str">
        <f>IFERROR(__xludf.DUMMYFUNCTION("""COMPUTED_VALUE"""),"-")</f>
        <v>-</v>
      </c>
      <c r="G417" t="str">
        <f>IFERROR(__xludf.DUMMYFUNCTION("""COMPUTED_VALUE"""),"-")</f>
        <v>-</v>
      </c>
      <c r="H417" t="str">
        <f>IFERROR(__xludf.DUMMYFUNCTION("""COMPUTED_VALUE"""),"-")</f>
        <v>-</v>
      </c>
      <c r="I417" t="str">
        <f>IFERROR(__xludf.DUMMYFUNCTION("""COMPUTED_VALUE"""),"-")</f>
        <v>-</v>
      </c>
      <c r="J417" t="str">
        <f>IFERROR(__xludf.DUMMYFUNCTION("""COMPUTED_VALUE"""),"-")</f>
        <v>-</v>
      </c>
      <c r="K417" t="str">
        <f>IFERROR(__xludf.DUMMYFUNCTION("""COMPUTED_VALUE"""),"-")</f>
        <v>-</v>
      </c>
      <c r="L417" t="str">
        <f>IFERROR(__xludf.DUMMYFUNCTION("""COMPUTED_VALUE"""),"-")</f>
        <v>-</v>
      </c>
      <c r="M417" t="str">
        <f>IFERROR(__xludf.DUMMYFUNCTION("""COMPUTED_VALUE"""),"-")</f>
        <v>-</v>
      </c>
      <c r="O417" t="str">
        <f>IFERROR(__xludf.DUMMYFUNCTION("""COMPUTED_VALUE"""),"#416")</f>
        <v>#416</v>
      </c>
      <c r="P417" t="str">
        <f>IFERROR(__xludf.DUMMYFUNCTION("""COMPUTED_VALUE"""),"Corinne Vignon")</f>
        <v>Corinne Vignon</v>
      </c>
      <c r="Q417">
        <f>IFERROR(__xludf.DUMMYFUNCTION("""COMPUTED_VALUE"""),5612.0)</f>
        <v>5612</v>
      </c>
      <c r="R417" t="str">
        <f>IFERROR(__xludf.DUMMYFUNCTION("""COMPUTED_VALUE"""),"-")</f>
        <v>-</v>
      </c>
      <c r="S417" t="str">
        <f>IFERROR(__xludf.DUMMYFUNCTION("""COMPUTED_VALUE"""),"-")</f>
        <v>-</v>
      </c>
      <c r="T417" t="str">
        <f>IFERROR(__xludf.DUMMYFUNCTION("""COMPUTED_VALUE"""),"-")</f>
        <v>-</v>
      </c>
      <c r="U417" t="str">
        <f>IFERROR(__xludf.DUMMYFUNCTION("""COMPUTED_VALUE"""),"-")</f>
        <v>-</v>
      </c>
      <c r="V417" t="str">
        <f>IFERROR(__xludf.DUMMYFUNCTION("""COMPUTED_VALUE"""),"-")</f>
        <v>-</v>
      </c>
      <c r="W417" t="str">
        <f>IFERROR(__xludf.DUMMYFUNCTION("""COMPUTED_VALUE"""),"-")</f>
        <v>-</v>
      </c>
      <c r="X417" t="str">
        <f>IFERROR(__xludf.DUMMYFUNCTION("""COMPUTED_VALUE"""),"-")</f>
        <v>-</v>
      </c>
      <c r="Y417" t="str">
        <f>IFERROR(__xludf.DUMMYFUNCTION("""COMPUTED_VALUE"""),"-")</f>
        <v>-</v>
      </c>
      <c r="Z417" t="str">
        <f>IFERROR(__xludf.DUMMYFUNCTION("""COMPUTED_VALUE"""),"-")</f>
        <v>-</v>
      </c>
      <c r="AA417" t="str">
        <f>IFERROR(__xludf.DUMMYFUNCTION("""COMPUTED_VALUE"""),"-")</f>
        <v>-</v>
      </c>
    </row>
    <row r="418">
      <c r="A418" t="str">
        <f>IFERROR(__xludf.DUMMYFUNCTION("""COMPUTED_VALUE"""),"#417")</f>
        <v>#417</v>
      </c>
      <c r="B418" t="str">
        <f>IFERROR(__xludf.DUMMYFUNCTION("""COMPUTED_VALUE"""),"Sophie Robert")</f>
        <v>Sophie Robert</v>
      </c>
      <c r="C418">
        <f>IFERROR(__xludf.DUMMYFUNCTION("""COMPUTED_VALUE"""),5603.0)</f>
        <v>5603</v>
      </c>
      <c r="D418" t="str">
        <f>IFERROR(__xludf.DUMMYFUNCTION("""COMPUTED_VALUE"""),"-")</f>
        <v>-</v>
      </c>
      <c r="E418" t="str">
        <f>IFERROR(__xludf.DUMMYFUNCTION("""COMPUTED_VALUE"""),"-")</f>
        <v>-</v>
      </c>
      <c r="F418" t="str">
        <f>IFERROR(__xludf.DUMMYFUNCTION("""COMPUTED_VALUE"""),"-")</f>
        <v>-</v>
      </c>
      <c r="G418" t="str">
        <f>IFERROR(__xludf.DUMMYFUNCTION("""COMPUTED_VALUE"""),"-")</f>
        <v>-</v>
      </c>
      <c r="H418" t="str">
        <f>IFERROR(__xludf.DUMMYFUNCTION("""COMPUTED_VALUE"""),"-")</f>
        <v>-</v>
      </c>
      <c r="I418" t="str">
        <f>IFERROR(__xludf.DUMMYFUNCTION("""COMPUTED_VALUE"""),"-")</f>
        <v>-</v>
      </c>
      <c r="J418" t="str">
        <f>IFERROR(__xludf.DUMMYFUNCTION("""COMPUTED_VALUE"""),"-")</f>
        <v>-</v>
      </c>
      <c r="K418" t="str">
        <f>IFERROR(__xludf.DUMMYFUNCTION("""COMPUTED_VALUE"""),"-")</f>
        <v>-</v>
      </c>
      <c r="L418" t="str">
        <f>IFERROR(__xludf.DUMMYFUNCTION("""COMPUTED_VALUE"""),"-")</f>
        <v>-</v>
      </c>
      <c r="M418" t="str">
        <f>IFERROR(__xludf.DUMMYFUNCTION("""COMPUTED_VALUE"""),"-")</f>
        <v>-</v>
      </c>
      <c r="O418" t="str">
        <f>IFERROR(__xludf.DUMMYFUNCTION("""COMPUTED_VALUE"""),"#417")</f>
        <v>#417</v>
      </c>
      <c r="P418" t="str">
        <f>IFERROR(__xludf.DUMMYFUNCTION("""COMPUTED_VALUE"""),"Sophie Robert")</f>
        <v>Sophie Robert</v>
      </c>
      <c r="Q418">
        <f>IFERROR(__xludf.DUMMYFUNCTION("""COMPUTED_VALUE"""),5603.0)</f>
        <v>5603</v>
      </c>
      <c r="R418" t="str">
        <f>IFERROR(__xludf.DUMMYFUNCTION("""COMPUTED_VALUE"""),"-")</f>
        <v>-</v>
      </c>
      <c r="S418" t="str">
        <f>IFERROR(__xludf.DUMMYFUNCTION("""COMPUTED_VALUE"""),"-")</f>
        <v>-</v>
      </c>
      <c r="T418" t="str">
        <f>IFERROR(__xludf.DUMMYFUNCTION("""COMPUTED_VALUE"""),"-")</f>
        <v>-</v>
      </c>
      <c r="U418" t="str">
        <f>IFERROR(__xludf.DUMMYFUNCTION("""COMPUTED_VALUE"""),"-")</f>
        <v>-</v>
      </c>
      <c r="V418" t="str">
        <f>IFERROR(__xludf.DUMMYFUNCTION("""COMPUTED_VALUE"""),"-")</f>
        <v>-</v>
      </c>
      <c r="W418" t="str">
        <f>IFERROR(__xludf.DUMMYFUNCTION("""COMPUTED_VALUE"""),"-")</f>
        <v>-</v>
      </c>
      <c r="X418" t="str">
        <f>IFERROR(__xludf.DUMMYFUNCTION("""COMPUTED_VALUE"""),"-")</f>
        <v>-</v>
      </c>
      <c r="Y418" t="str">
        <f>IFERROR(__xludf.DUMMYFUNCTION("""COMPUTED_VALUE"""),"-")</f>
        <v>-</v>
      </c>
      <c r="Z418" t="str">
        <f>IFERROR(__xludf.DUMMYFUNCTION("""COMPUTED_VALUE"""),"-")</f>
        <v>-</v>
      </c>
      <c r="AA418" t="str">
        <f>IFERROR(__xludf.DUMMYFUNCTION("""COMPUTED_VALUE"""),"-")</f>
        <v>-</v>
      </c>
    </row>
    <row r="419">
      <c r="A419" t="str">
        <f>IFERROR(__xludf.DUMMYFUNCTION("""COMPUTED_VALUE"""),"#418")</f>
        <v>#418</v>
      </c>
      <c r="B419" t="str">
        <f>IFERROR(__xludf.DUMMYFUNCTION("""COMPUTED_VALUE"""),"Nicolas Daragon")</f>
        <v>Nicolas Daragon</v>
      </c>
      <c r="C419">
        <f>IFERROR(__xludf.DUMMYFUNCTION("""COMPUTED_VALUE"""),5584.0)</f>
        <v>5584</v>
      </c>
      <c r="D419" t="str">
        <f>IFERROR(__xludf.DUMMYFUNCTION("""COMPUTED_VALUE"""),"-")</f>
        <v>-</v>
      </c>
      <c r="E419" t="str">
        <f>IFERROR(__xludf.DUMMYFUNCTION("""COMPUTED_VALUE"""),"-")</f>
        <v>-</v>
      </c>
      <c r="F419" t="str">
        <f>IFERROR(__xludf.DUMMYFUNCTION("""COMPUTED_VALUE"""),"-")</f>
        <v>-</v>
      </c>
      <c r="G419" t="str">
        <f>IFERROR(__xludf.DUMMYFUNCTION("""COMPUTED_VALUE"""),"-")</f>
        <v>-</v>
      </c>
      <c r="H419" t="str">
        <f>IFERROR(__xludf.DUMMYFUNCTION("""COMPUTED_VALUE"""),"-")</f>
        <v>-</v>
      </c>
      <c r="I419" t="str">
        <f>IFERROR(__xludf.DUMMYFUNCTION("""COMPUTED_VALUE"""),"-")</f>
        <v>-</v>
      </c>
      <c r="J419" t="str">
        <f>IFERROR(__xludf.DUMMYFUNCTION("""COMPUTED_VALUE"""),"-")</f>
        <v>-</v>
      </c>
      <c r="K419" t="str">
        <f>IFERROR(__xludf.DUMMYFUNCTION("""COMPUTED_VALUE"""),"-")</f>
        <v>-</v>
      </c>
      <c r="L419" t="str">
        <f>IFERROR(__xludf.DUMMYFUNCTION("""COMPUTED_VALUE"""),"-")</f>
        <v>-</v>
      </c>
      <c r="M419" t="str">
        <f>IFERROR(__xludf.DUMMYFUNCTION("""COMPUTED_VALUE"""),"-")</f>
        <v>-</v>
      </c>
      <c r="O419" t="str">
        <f>IFERROR(__xludf.DUMMYFUNCTION("""COMPUTED_VALUE"""),"#418")</f>
        <v>#418</v>
      </c>
      <c r="P419" t="str">
        <f>IFERROR(__xludf.DUMMYFUNCTION("""COMPUTED_VALUE"""),"Nicolas Daragon")</f>
        <v>Nicolas Daragon</v>
      </c>
      <c r="Q419">
        <f>IFERROR(__xludf.DUMMYFUNCTION("""COMPUTED_VALUE"""),5584.0)</f>
        <v>5584</v>
      </c>
      <c r="R419" t="str">
        <f>IFERROR(__xludf.DUMMYFUNCTION("""COMPUTED_VALUE"""),"-")</f>
        <v>-</v>
      </c>
      <c r="S419" t="str">
        <f>IFERROR(__xludf.DUMMYFUNCTION("""COMPUTED_VALUE"""),"-")</f>
        <v>-</v>
      </c>
      <c r="T419" t="str">
        <f>IFERROR(__xludf.DUMMYFUNCTION("""COMPUTED_VALUE"""),"-")</f>
        <v>-</v>
      </c>
      <c r="U419" t="str">
        <f>IFERROR(__xludf.DUMMYFUNCTION("""COMPUTED_VALUE"""),"-")</f>
        <v>-</v>
      </c>
      <c r="V419" t="str">
        <f>IFERROR(__xludf.DUMMYFUNCTION("""COMPUTED_VALUE"""),"-")</f>
        <v>-</v>
      </c>
      <c r="W419" t="str">
        <f>IFERROR(__xludf.DUMMYFUNCTION("""COMPUTED_VALUE"""),"-")</f>
        <v>-</v>
      </c>
      <c r="X419" t="str">
        <f>IFERROR(__xludf.DUMMYFUNCTION("""COMPUTED_VALUE"""),"-")</f>
        <v>-</v>
      </c>
      <c r="Y419" t="str">
        <f>IFERROR(__xludf.DUMMYFUNCTION("""COMPUTED_VALUE"""),"-")</f>
        <v>-</v>
      </c>
      <c r="Z419" t="str">
        <f>IFERROR(__xludf.DUMMYFUNCTION("""COMPUTED_VALUE"""),"-")</f>
        <v>-</v>
      </c>
      <c r="AA419" t="str">
        <f>IFERROR(__xludf.DUMMYFUNCTION("""COMPUTED_VALUE"""),"-")</f>
        <v>-</v>
      </c>
    </row>
    <row r="420">
      <c r="A420" t="str">
        <f>IFERROR(__xludf.DUMMYFUNCTION("""COMPUTED_VALUE"""),"#419")</f>
        <v>#419</v>
      </c>
      <c r="B420" t="str">
        <f>IFERROR(__xludf.DUMMYFUNCTION("""COMPUTED_VALUE"""),"Christophe Caresche")</f>
        <v>Christophe Caresche</v>
      </c>
      <c r="C420">
        <f>IFERROR(__xludf.DUMMYFUNCTION("""COMPUTED_VALUE"""),5541.0)</f>
        <v>5541</v>
      </c>
      <c r="D420" t="str">
        <f>IFERROR(__xludf.DUMMYFUNCTION("""COMPUTED_VALUE"""),"-")</f>
        <v>-</v>
      </c>
      <c r="E420" t="str">
        <f>IFERROR(__xludf.DUMMYFUNCTION("""COMPUTED_VALUE"""),"-")</f>
        <v>-</v>
      </c>
      <c r="F420" t="str">
        <f>IFERROR(__xludf.DUMMYFUNCTION("""COMPUTED_VALUE"""),"-")</f>
        <v>-</v>
      </c>
      <c r="G420" t="str">
        <f>IFERROR(__xludf.DUMMYFUNCTION("""COMPUTED_VALUE"""),"-")</f>
        <v>-</v>
      </c>
      <c r="H420" t="str">
        <f>IFERROR(__xludf.DUMMYFUNCTION("""COMPUTED_VALUE"""),"-")</f>
        <v>-</v>
      </c>
      <c r="I420" t="str">
        <f>IFERROR(__xludf.DUMMYFUNCTION("""COMPUTED_VALUE"""),"-")</f>
        <v>-</v>
      </c>
      <c r="J420" t="str">
        <f>IFERROR(__xludf.DUMMYFUNCTION("""COMPUTED_VALUE"""),"-")</f>
        <v>-</v>
      </c>
      <c r="K420" t="str">
        <f>IFERROR(__xludf.DUMMYFUNCTION("""COMPUTED_VALUE"""),"-")</f>
        <v>-</v>
      </c>
      <c r="L420" t="str">
        <f>IFERROR(__xludf.DUMMYFUNCTION("""COMPUTED_VALUE"""),"-")</f>
        <v>-</v>
      </c>
      <c r="M420" t="str">
        <f>IFERROR(__xludf.DUMMYFUNCTION("""COMPUTED_VALUE"""),"-")</f>
        <v>-</v>
      </c>
      <c r="O420" t="str">
        <f>IFERROR(__xludf.DUMMYFUNCTION("""COMPUTED_VALUE"""),"#419")</f>
        <v>#419</v>
      </c>
      <c r="P420" t="str">
        <f>IFERROR(__xludf.DUMMYFUNCTION("""COMPUTED_VALUE"""),"Christophe Caresche")</f>
        <v>Christophe Caresche</v>
      </c>
      <c r="Q420">
        <f>IFERROR(__xludf.DUMMYFUNCTION("""COMPUTED_VALUE"""),5541.0)</f>
        <v>5541</v>
      </c>
      <c r="R420" t="str">
        <f>IFERROR(__xludf.DUMMYFUNCTION("""COMPUTED_VALUE"""),"-")</f>
        <v>-</v>
      </c>
      <c r="S420" t="str">
        <f>IFERROR(__xludf.DUMMYFUNCTION("""COMPUTED_VALUE"""),"-")</f>
        <v>-</v>
      </c>
      <c r="T420" t="str">
        <f>IFERROR(__xludf.DUMMYFUNCTION("""COMPUTED_VALUE"""),"-")</f>
        <v>-</v>
      </c>
      <c r="U420" t="str">
        <f>IFERROR(__xludf.DUMMYFUNCTION("""COMPUTED_VALUE"""),"-")</f>
        <v>-</v>
      </c>
      <c r="V420" t="str">
        <f>IFERROR(__xludf.DUMMYFUNCTION("""COMPUTED_VALUE"""),"-")</f>
        <v>-</v>
      </c>
      <c r="W420" t="str">
        <f>IFERROR(__xludf.DUMMYFUNCTION("""COMPUTED_VALUE"""),"-")</f>
        <v>-</v>
      </c>
      <c r="X420" t="str">
        <f>IFERROR(__xludf.DUMMYFUNCTION("""COMPUTED_VALUE"""),"-")</f>
        <v>-</v>
      </c>
      <c r="Y420" t="str">
        <f>IFERROR(__xludf.DUMMYFUNCTION("""COMPUTED_VALUE"""),"-")</f>
        <v>-</v>
      </c>
      <c r="Z420" t="str">
        <f>IFERROR(__xludf.DUMMYFUNCTION("""COMPUTED_VALUE"""),"-")</f>
        <v>-</v>
      </c>
      <c r="AA420" t="str">
        <f>IFERROR(__xludf.DUMMYFUNCTION("""COMPUTED_VALUE"""),"-")</f>
        <v>-</v>
      </c>
    </row>
    <row r="421">
      <c r="A421" t="str">
        <f>IFERROR(__xludf.DUMMYFUNCTION("""COMPUTED_VALUE"""),"#420")</f>
        <v>#420</v>
      </c>
      <c r="B421" t="str">
        <f>IFERROR(__xludf.DUMMYFUNCTION("""COMPUTED_VALUE"""),"Estelle Grelier")</f>
        <v>Estelle Grelier</v>
      </c>
      <c r="C421">
        <f>IFERROR(__xludf.DUMMYFUNCTION("""COMPUTED_VALUE"""),5534.0)</f>
        <v>5534</v>
      </c>
      <c r="D421" t="str">
        <f>IFERROR(__xludf.DUMMYFUNCTION("""COMPUTED_VALUE"""),"-")</f>
        <v>-</v>
      </c>
      <c r="E421" t="str">
        <f>IFERROR(__xludf.DUMMYFUNCTION("""COMPUTED_VALUE"""),"-")</f>
        <v>-</v>
      </c>
      <c r="F421" t="str">
        <f>IFERROR(__xludf.DUMMYFUNCTION("""COMPUTED_VALUE"""),"-")</f>
        <v>-</v>
      </c>
      <c r="G421" t="str">
        <f>IFERROR(__xludf.DUMMYFUNCTION("""COMPUTED_VALUE"""),"-")</f>
        <v>-</v>
      </c>
      <c r="H421" t="str">
        <f>IFERROR(__xludf.DUMMYFUNCTION("""COMPUTED_VALUE"""),"-")</f>
        <v>-</v>
      </c>
      <c r="I421" t="str">
        <f>IFERROR(__xludf.DUMMYFUNCTION("""COMPUTED_VALUE"""),"-")</f>
        <v>-</v>
      </c>
      <c r="J421" t="str">
        <f>IFERROR(__xludf.DUMMYFUNCTION("""COMPUTED_VALUE"""),"-")</f>
        <v>-</v>
      </c>
      <c r="K421" t="str">
        <f>IFERROR(__xludf.DUMMYFUNCTION("""COMPUTED_VALUE"""),"-")</f>
        <v>-</v>
      </c>
      <c r="L421" t="str">
        <f>IFERROR(__xludf.DUMMYFUNCTION("""COMPUTED_VALUE"""),"-")</f>
        <v>-</v>
      </c>
      <c r="M421" t="str">
        <f>IFERROR(__xludf.DUMMYFUNCTION("""COMPUTED_VALUE"""),"-")</f>
        <v>-</v>
      </c>
      <c r="O421" t="str">
        <f>IFERROR(__xludf.DUMMYFUNCTION("""COMPUTED_VALUE"""),"#420")</f>
        <v>#420</v>
      </c>
      <c r="P421" t="str">
        <f>IFERROR(__xludf.DUMMYFUNCTION("""COMPUTED_VALUE"""),"Estelle Grelier")</f>
        <v>Estelle Grelier</v>
      </c>
      <c r="Q421">
        <f>IFERROR(__xludf.DUMMYFUNCTION("""COMPUTED_VALUE"""),5534.0)</f>
        <v>5534</v>
      </c>
      <c r="R421" t="str">
        <f>IFERROR(__xludf.DUMMYFUNCTION("""COMPUTED_VALUE"""),"-")</f>
        <v>-</v>
      </c>
      <c r="S421" t="str">
        <f>IFERROR(__xludf.DUMMYFUNCTION("""COMPUTED_VALUE"""),"-")</f>
        <v>-</v>
      </c>
      <c r="T421" t="str">
        <f>IFERROR(__xludf.DUMMYFUNCTION("""COMPUTED_VALUE"""),"-")</f>
        <v>-</v>
      </c>
      <c r="U421" t="str">
        <f>IFERROR(__xludf.DUMMYFUNCTION("""COMPUTED_VALUE"""),"-")</f>
        <v>-</v>
      </c>
      <c r="V421" t="str">
        <f>IFERROR(__xludf.DUMMYFUNCTION("""COMPUTED_VALUE"""),"-")</f>
        <v>-</v>
      </c>
      <c r="W421" t="str">
        <f>IFERROR(__xludf.DUMMYFUNCTION("""COMPUTED_VALUE"""),"-")</f>
        <v>-</v>
      </c>
      <c r="X421" t="str">
        <f>IFERROR(__xludf.DUMMYFUNCTION("""COMPUTED_VALUE"""),"-")</f>
        <v>-</v>
      </c>
      <c r="Y421" t="str">
        <f>IFERROR(__xludf.DUMMYFUNCTION("""COMPUTED_VALUE"""),"-")</f>
        <v>-</v>
      </c>
      <c r="Z421" t="str">
        <f>IFERROR(__xludf.DUMMYFUNCTION("""COMPUTED_VALUE"""),"-")</f>
        <v>-</v>
      </c>
      <c r="AA421" t="str">
        <f>IFERROR(__xludf.DUMMYFUNCTION("""COMPUTED_VALUE"""),"-")</f>
        <v>-</v>
      </c>
    </row>
    <row r="422">
      <c r="A422" t="str">
        <f>IFERROR(__xludf.DUMMYFUNCTION("""COMPUTED_VALUE"""),"#421")</f>
        <v>#421</v>
      </c>
      <c r="B422" t="str">
        <f>IFERROR(__xludf.DUMMYFUNCTION("""COMPUTED_VALUE"""),"Pierre Cohen")</f>
        <v>Pierre Cohen</v>
      </c>
      <c r="C422">
        <f>IFERROR(__xludf.DUMMYFUNCTION("""COMPUTED_VALUE"""),5470.0)</f>
        <v>5470</v>
      </c>
      <c r="D422" t="str">
        <f>IFERROR(__xludf.DUMMYFUNCTION("""COMPUTED_VALUE"""),"-")</f>
        <v>-</v>
      </c>
      <c r="E422" t="str">
        <f>IFERROR(__xludf.DUMMYFUNCTION("""COMPUTED_VALUE"""),"-")</f>
        <v>-</v>
      </c>
      <c r="F422" t="str">
        <f>IFERROR(__xludf.DUMMYFUNCTION("""COMPUTED_VALUE"""),"-")</f>
        <v>-</v>
      </c>
      <c r="G422" t="str">
        <f>IFERROR(__xludf.DUMMYFUNCTION("""COMPUTED_VALUE"""),"-")</f>
        <v>-</v>
      </c>
      <c r="H422" t="str">
        <f>IFERROR(__xludf.DUMMYFUNCTION("""COMPUTED_VALUE"""),"-")</f>
        <v>-</v>
      </c>
      <c r="I422" t="str">
        <f>IFERROR(__xludf.DUMMYFUNCTION("""COMPUTED_VALUE"""),"-")</f>
        <v>-</v>
      </c>
      <c r="J422" t="str">
        <f>IFERROR(__xludf.DUMMYFUNCTION("""COMPUTED_VALUE"""),"-")</f>
        <v>-</v>
      </c>
      <c r="K422" t="str">
        <f>IFERROR(__xludf.DUMMYFUNCTION("""COMPUTED_VALUE"""),"-")</f>
        <v>-</v>
      </c>
      <c r="L422" t="str">
        <f>IFERROR(__xludf.DUMMYFUNCTION("""COMPUTED_VALUE"""),"-")</f>
        <v>-</v>
      </c>
      <c r="M422" t="str">
        <f>IFERROR(__xludf.DUMMYFUNCTION("""COMPUTED_VALUE"""),"-")</f>
        <v>-</v>
      </c>
      <c r="O422" t="str">
        <f>IFERROR(__xludf.DUMMYFUNCTION("""COMPUTED_VALUE"""),"#421")</f>
        <v>#421</v>
      </c>
      <c r="P422" t="str">
        <f>IFERROR(__xludf.DUMMYFUNCTION("""COMPUTED_VALUE"""),"Pierre Cohen")</f>
        <v>Pierre Cohen</v>
      </c>
      <c r="Q422">
        <f>IFERROR(__xludf.DUMMYFUNCTION("""COMPUTED_VALUE"""),5470.0)</f>
        <v>5470</v>
      </c>
      <c r="R422" t="str">
        <f>IFERROR(__xludf.DUMMYFUNCTION("""COMPUTED_VALUE"""),"-")</f>
        <v>-</v>
      </c>
      <c r="S422" t="str">
        <f>IFERROR(__xludf.DUMMYFUNCTION("""COMPUTED_VALUE"""),"-")</f>
        <v>-</v>
      </c>
      <c r="T422" t="str">
        <f>IFERROR(__xludf.DUMMYFUNCTION("""COMPUTED_VALUE"""),"-")</f>
        <v>-</v>
      </c>
      <c r="U422" t="str">
        <f>IFERROR(__xludf.DUMMYFUNCTION("""COMPUTED_VALUE"""),"-")</f>
        <v>-</v>
      </c>
      <c r="V422" t="str">
        <f>IFERROR(__xludf.DUMMYFUNCTION("""COMPUTED_VALUE"""),"-")</f>
        <v>-</v>
      </c>
      <c r="W422" t="str">
        <f>IFERROR(__xludf.DUMMYFUNCTION("""COMPUTED_VALUE"""),"-")</f>
        <v>-</v>
      </c>
      <c r="X422" t="str">
        <f>IFERROR(__xludf.DUMMYFUNCTION("""COMPUTED_VALUE"""),"-")</f>
        <v>-</v>
      </c>
      <c r="Y422" t="str">
        <f>IFERROR(__xludf.DUMMYFUNCTION("""COMPUTED_VALUE"""),"-")</f>
        <v>-</v>
      </c>
      <c r="Z422" t="str">
        <f>IFERROR(__xludf.DUMMYFUNCTION("""COMPUTED_VALUE"""),"-")</f>
        <v>-</v>
      </c>
      <c r="AA422" t="str">
        <f>IFERROR(__xludf.DUMMYFUNCTION("""COMPUTED_VALUE"""),"-")</f>
        <v>-</v>
      </c>
    </row>
    <row r="423">
      <c r="A423" t="str">
        <f>IFERROR(__xludf.DUMMYFUNCTION("""COMPUTED_VALUE"""),"#422")</f>
        <v>#422</v>
      </c>
      <c r="B423" t="str">
        <f>IFERROR(__xludf.DUMMYFUNCTION("""COMPUTED_VALUE"""),"Christophe Boudot")</f>
        <v>Christophe Boudot</v>
      </c>
      <c r="C423">
        <f>IFERROR(__xludf.DUMMYFUNCTION("""COMPUTED_VALUE"""),5467.0)</f>
        <v>5467</v>
      </c>
      <c r="D423" t="str">
        <f>IFERROR(__xludf.DUMMYFUNCTION("""COMPUTED_VALUE"""),"-")</f>
        <v>-</v>
      </c>
      <c r="E423" t="str">
        <f>IFERROR(__xludf.DUMMYFUNCTION("""COMPUTED_VALUE"""),"-")</f>
        <v>-</v>
      </c>
      <c r="F423" t="str">
        <f>IFERROR(__xludf.DUMMYFUNCTION("""COMPUTED_VALUE"""),"-")</f>
        <v>-</v>
      </c>
      <c r="G423" t="str">
        <f>IFERROR(__xludf.DUMMYFUNCTION("""COMPUTED_VALUE"""),"-")</f>
        <v>-</v>
      </c>
      <c r="H423" t="str">
        <f>IFERROR(__xludf.DUMMYFUNCTION("""COMPUTED_VALUE"""),"-")</f>
        <v>-</v>
      </c>
      <c r="I423" t="str">
        <f>IFERROR(__xludf.DUMMYFUNCTION("""COMPUTED_VALUE"""),"-")</f>
        <v>-</v>
      </c>
      <c r="J423" t="str">
        <f>IFERROR(__xludf.DUMMYFUNCTION("""COMPUTED_VALUE"""),"-")</f>
        <v>-</v>
      </c>
      <c r="K423" t="str">
        <f>IFERROR(__xludf.DUMMYFUNCTION("""COMPUTED_VALUE"""),"-")</f>
        <v>-</v>
      </c>
      <c r="L423" t="str">
        <f>IFERROR(__xludf.DUMMYFUNCTION("""COMPUTED_VALUE"""),"-")</f>
        <v>-</v>
      </c>
      <c r="M423" t="str">
        <f>IFERROR(__xludf.DUMMYFUNCTION("""COMPUTED_VALUE"""),"-")</f>
        <v>-</v>
      </c>
      <c r="O423" t="str">
        <f>IFERROR(__xludf.DUMMYFUNCTION("""COMPUTED_VALUE"""),"#422")</f>
        <v>#422</v>
      </c>
      <c r="P423" t="str">
        <f>IFERROR(__xludf.DUMMYFUNCTION("""COMPUTED_VALUE"""),"Christophe Boudot")</f>
        <v>Christophe Boudot</v>
      </c>
      <c r="Q423">
        <f>IFERROR(__xludf.DUMMYFUNCTION("""COMPUTED_VALUE"""),5467.0)</f>
        <v>5467</v>
      </c>
      <c r="R423" t="str">
        <f>IFERROR(__xludf.DUMMYFUNCTION("""COMPUTED_VALUE"""),"-")</f>
        <v>-</v>
      </c>
      <c r="S423" t="str">
        <f>IFERROR(__xludf.DUMMYFUNCTION("""COMPUTED_VALUE"""),"-")</f>
        <v>-</v>
      </c>
      <c r="T423" t="str">
        <f>IFERROR(__xludf.DUMMYFUNCTION("""COMPUTED_VALUE"""),"-")</f>
        <v>-</v>
      </c>
      <c r="U423" t="str">
        <f>IFERROR(__xludf.DUMMYFUNCTION("""COMPUTED_VALUE"""),"-")</f>
        <v>-</v>
      </c>
      <c r="V423" t="str">
        <f>IFERROR(__xludf.DUMMYFUNCTION("""COMPUTED_VALUE"""),"-")</f>
        <v>-</v>
      </c>
      <c r="W423" t="str">
        <f>IFERROR(__xludf.DUMMYFUNCTION("""COMPUTED_VALUE"""),"-")</f>
        <v>-</v>
      </c>
      <c r="X423" t="str">
        <f>IFERROR(__xludf.DUMMYFUNCTION("""COMPUTED_VALUE"""),"-")</f>
        <v>-</v>
      </c>
      <c r="Y423" t="str">
        <f>IFERROR(__xludf.DUMMYFUNCTION("""COMPUTED_VALUE"""),"-")</f>
        <v>-</v>
      </c>
      <c r="Z423" t="str">
        <f>IFERROR(__xludf.DUMMYFUNCTION("""COMPUTED_VALUE"""),"-")</f>
        <v>-</v>
      </c>
      <c r="AA423" t="str">
        <f>IFERROR(__xludf.DUMMYFUNCTION("""COMPUTED_VALUE"""),"-")</f>
        <v>-</v>
      </c>
    </row>
    <row r="424">
      <c r="A424" t="str">
        <f>IFERROR(__xludf.DUMMYFUNCTION("""COMPUTED_VALUE"""),"#423")</f>
        <v>#423</v>
      </c>
      <c r="B424" t="str">
        <f>IFERROR(__xludf.DUMMYFUNCTION("""COMPUTED_VALUE"""),"Vincent Chauvet")</f>
        <v>Vincent Chauvet</v>
      </c>
      <c r="C424">
        <f>IFERROR(__xludf.DUMMYFUNCTION("""COMPUTED_VALUE"""),5432.0)</f>
        <v>5432</v>
      </c>
      <c r="D424" t="str">
        <f>IFERROR(__xludf.DUMMYFUNCTION("""COMPUTED_VALUE"""),"-")</f>
        <v>-</v>
      </c>
      <c r="E424" t="str">
        <f>IFERROR(__xludf.DUMMYFUNCTION("""COMPUTED_VALUE"""),"-")</f>
        <v>-</v>
      </c>
      <c r="F424" t="str">
        <f>IFERROR(__xludf.DUMMYFUNCTION("""COMPUTED_VALUE"""),"-")</f>
        <v>-</v>
      </c>
      <c r="G424" t="str">
        <f>IFERROR(__xludf.DUMMYFUNCTION("""COMPUTED_VALUE"""),"-")</f>
        <v>-</v>
      </c>
      <c r="H424" t="str">
        <f>IFERROR(__xludf.DUMMYFUNCTION("""COMPUTED_VALUE"""),"-")</f>
        <v>-</v>
      </c>
      <c r="I424" t="str">
        <f>IFERROR(__xludf.DUMMYFUNCTION("""COMPUTED_VALUE"""),"-")</f>
        <v>-</v>
      </c>
      <c r="J424" t="str">
        <f>IFERROR(__xludf.DUMMYFUNCTION("""COMPUTED_VALUE"""),"-")</f>
        <v>-</v>
      </c>
      <c r="K424" t="str">
        <f>IFERROR(__xludf.DUMMYFUNCTION("""COMPUTED_VALUE"""),"-")</f>
        <v>-</v>
      </c>
      <c r="L424" t="str">
        <f>IFERROR(__xludf.DUMMYFUNCTION("""COMPUTED_VALUE"""),"-")</f>
        <v>-</v>
      </c>
      <c r="M424" t="str">
        <f>IFERROR(__xludf.DUMMYFUNCTION("""COMPUTED_VALUE"""),"-")</f>
        <v>-</v>
      </c>
      <c r="O424" t="str">
        <f>IFERROR(__xludf.DUMMYFUNCTION("""COMPUTED_VALUE"""),"#423")</f>
        <v>#423</v>
      </c>
      <c r="P424" t="str">
        <f>IFERROR(__xludf.DUMMYFUNCTION("""COMPUTED_VALUE"""),"Vincent Chauvet")</f>
        <v>Vincent Chauvet</v>
      </c>
      <c r="Q424">
        <f>IFERROR(__xludf.DUMMYFUNCTION("""COMPUTED_VALUE"""),5432.0)</f>
        <v>5432</v>
      </c>
      <c r="R424" t="str">
        <f>IFERROR(__xludf.DUMMYFUNCTION("""COMPUTED_VALUE"""),"-")</f>
        <v>-</v>
      </c>
      <c r="S424" t="str">
        <f>IFERROR(__xludf.DUMMYFUNCTION("""COMPUTED_VALUE"""),"-")</f>
        <v>-</v>
      </c>
      <c r="T424" t="str">
        <f>IFERROR(__xludf.DUMMYFUNCTION("""COMPUTED_VALUE"""),"-")</f>
        <v>-</v>
      </c>
      <c r="U424" t="str">
        <f>IFERROR(__xludf.DUMMYFUNCTION("""COMPUTED_VALUE"""),"-")</f>
        <v>-</v>
      </c>
      <c r="V424" t="str">
        <f>IFERROR(__xludf.DUMMYFUNCTION("""COMPUTED_VALUE"""),"-")</f>
        <v>-</v>
      </c>
      <c r="W424" t="str">
        <f>IFERROR(__xludf.DUMMYFUNCTION("""COMPUTED_VALUE"""),"-")</f>
        <v>-</v>
      </c>
      <c r="X424" t="str">
        <f>IFERROR(__xludf.DUMMYFUNCTION("""COMPUTED_VALUE"""),"-")</f>
        <v>-</v>
      </c>
      <c r="Y424" t="str">
        <f>IFERROR(__xludf.DUMMYFUNCTION("""COMPUTED_VALUE"""),"-")</f>
        <v>-</v>
      </c>
      <c r="Z424" t="str">
        <f>IFERROR(__xludf.DUMMYFUNCTION("""COMPUTED_VALUE"""),"-")</f>
        <v>-</v>
      </c>
      <c r="AA424" t="str">
        <f>IFERROR(__xludf.DUMMYFUNCTION("""COMPUTED_VALUE"""),"-")</f>
        <v>-</v>
      </c>
    </row>
    <row r="425">
      <c r="A425" t="str">
        <f>IFERROR(__xludf.DUMMYFUNCTION("""COMPUTED_VALUE"""),"#424")</f>
        <v>#424</v>
      </c>
      <c r="B425" t="str">
        <f>IFERROR(__xludf.DUMMYFUNCTION("""COMPUTED_VALUE"""),"Philippe Loiseau")</f>
        <v>Philippe Loiseau</v>
      </c>
      <c r="C425">
        <f>IFERROR(__xludf.DUMMYFUNCTION("""COMPUTED_VALUE"""),5430.0)</f>
        <v>5430</v>
      </c>
      <c r="D425" t="str">
        <f>IFERROR(__xludf.DUMMYFUNCTION("""COMPUTED_VALUE"""),"-")</f>
        <v>-</v>
      </c>
      <c r="E425" t="str">
        <f>IFERROR(__xludf.DUMMYFUNCTION("""COMPUTED_VALUE"""),"-")</f>
        <v>-</v>
      </c>
      <c r="F425" t="str">
        <f>IFERROR(__xludf.DUMMYFUNCTION("""COMPUTED_VALUE"""),"-")</f>
        <v>-</v>
      </c>
      <c r="G425" t="str">
        <f>IFERROR(__xludf.DUMMYFUNCTION("""COMPUTED_VALUE"""),"-")</f>
        <v>-</v>
      </c>
      <c r="H425" t="str">
        <f>IFERROR(__xludf.DUMMYFUNCTION("""COMPUTED_VALUE"""),"-")</f>
        <v>-</v>
      </c>
      <c r="I425" t="str">
        <f>IFERROR(__xludf.DUMMYFUNCTION("""COMPUTED_VALUE"""),"-")</f>
        <v>-</v>
      </c>
      <c r="J425" t="str">
        <f>IFERROR(__xludf.DUMMYFUNCTION("""COMPUTED_VALUE"""),"-")</f>
        <v>-</v>
      </c>
      <c r="K425" t="str">
        <f>IFERROR(__xludf.DUMMYFUNCTION("""COMPUTED_VALUE"""),"-")</f>
        <v>-</v>
      </c>
      <c r="L425" t="str">
        <f>IFERROR(__xludf.DUMMYFUNCTION("""COMPUTED_VALUE"""),"-")</f>
        <v>-</v>
      </c>
      <c r="M425" t="str">
        <f>IFERROR(__xludf.DUMMYFUNCTION("""COMPUTED_VALUE"""),"-")</f>
        <v>-</v>
      </c>
      <c r="O425" t="str">
        <f>IFERROR(__xludf.DUMMYFUNCTION("""COMPUTED_VALUE"""),"#424")</f>
        <v>#424</v>
      </c>
      <c r="P425" t="str">
        <f>IFERROR(__xludf.DUMMYFUNCTION("""COMPUTED_VALUE"""),"Philippe Loiseau")</f>
        <v>Philippe Loiseau</v>
      </c>
      <c r="Q425">
        <f>IFERROR(__xludf.DUMMYFUNCTION("""COMPUTED_VALUE"""),5430.0)</f>
        <v>5430</v>
      </c>
      <c r="R425" t="str">
        <f>IFERROR(__xludf.DUMMYFUNCTION("""COMPUTED_VALUE"""),"-")</f>
        <v>-</v>
      </c>
      <c r="S425" t="str">
        <f>IFERROR(__xludf.DUMMYFUNCTION("""COMPUTED_VALUE"""),"-")</f>
        <v>-</v>
      </c>
      <c r="T425" t="str">
        <f>IFERROR(__xludf.DUMMYFUNCTION("""COMPUTED_VALUE"""),"-")</f>
        <v>-</v>
      </c>
      <c r="U425" t="str">
        <f>IFERROR(__xludf.DUMMYFUNCTION("""COMPUTED_VALUE"""),"-")</f>
        <v>-</v>
      </c>
      <c r="V425" t="str">
        <f>IFERROR(__xludf.DUMMYFUNCTION("""COMPUTED_VALUE"""),"-")</f>
        <v>-</v>
      </c>
      <c r="W425" t="str">
        <f>IFERROR(__xludf.DUMMYFUNCTION("""COMPUTED_VALUE"""),"-")</f>
        <v>-</v>
      </c>
      <c r="X425" t="str">
        <f>IFERROR(__xludf.DUMMYFUNCTION("""COMPUTED_VALUE"""),"-")</f>
        <v>-</v>
      </c>
      <c r="Y425" t="str">
        <f>IFERROR(__xludf.DUMMYFUNCTION("""COMPUTED_VALUE"""),"-")</f>
        <v>-</v>
      </c>
      <c r="Z425" t="str">
        <f>IFERROR(__xludf.DUMMYFUNCTION("""COMPUTED_VALUE"""),"-")</f>
        <v>-</v>
      </c>
      <c r="AA425" t="str">
        <f>IFERROR(__xludf.DUMMYFUNCTION("""COMPUTED_VALUE"""),"-")</f>
        <v>-</v>
      </c>
    </row>
    <row r="426">
      <c r="A426" t="str">
        <f>IFERROR(__xludf.DUMMYFUNCTION("""COMPUTED_VALUE"""),"#425")</f>
        <v>#425</v>
      </c>
      <c r="B426" t="str">
        <f>IFERROR(__xludf.DUMMYFUNCTION("""COMPUTED_VALUE"""),"Didier Tauzin")</f>
        <v>Didier Tauzin</v>
      </c>
      <c r="C426">
        <f>IFERROR(__xludf.DUMMYFUNCTION("""COMPUTED_VALUE"""),5379.0)</f>
        <v>5379</v>
      </c>
      <c r="D426" t="str">
        <f>IFERROR(__xludf.DUMMYFUNCTION("""COMPUTED_VALUE"""),"-")</f>
        <v>-</v>
      </c>
      <c r="E426" t="str">
        <f>IFERROR(__xludf.DUMMYFUNCTION("""COMPUTED_VALUE"""),"-")</f>
        <v>-</v>
      </c>
      <c r="F426" t="str">
        <f>IFERROR(__xludf.DUMMYFUNCTION("""COMPUTED_VALUE"""),"-")</f>
        <v>-</v>
      </c>
      <c r="G426" t="str">
        <f>IFERROR(__xludf.DUMMYFUNCTION("""COMPUTED_VALUE"""),"-")</f>
        <v>-</v>
      </c>
      <c r="H426" t="str">
        <f>IFERROR(__xludf.DUMMYFUNCTION("""COMPUTED_VALUE"""),"-")</f>
        <v>-</v>
      </c>
      <c r="I426" t="str">
        <f>IFERROR(__xludf.DUMMYFUNCTION("""COMPUTED_VALUE"""),"-")</f>
        <v>-</v>
      </c>
      <c r="J426" t="str">
        <f>IFERROR(__xludf.DUMMYFUNCTION("""COMPUTED_VALUE"""),"-")</f>
        <v>-</v>
      </c>
      <c r="K426" t="str">
        <f>IFERROR(__xludf.DUMMYFUNCTION("""COMPUTED_VALUE"""),"-")</f>
        <v>-</v>
      </c>
      <c r="L426" t="str">
        <f>IFERROR(__xludf.DUMMYFUNCTION("""COMPUTED_VALUE"""),"-")</f>
        <v>-</v>
      </c>
      <c r="M426" t="str">
        <f>IFERROR(__xludf.DUMMYFUNCTION("""COMPUTED_VALUE"""),"-")</f>
        <v>-</v>
      </c>
      <c r="O426" t="str">
        <f>IFERROR(__xludf.DUMMYFUNCTION("""COMPUTED_VALUE"""),"#425")</f>
        <v>#425</v>
      </c>
      <c r="P426" t="str">
        <f>IFERROR(__xludf.DUMMYFUNCTION("""COMPUTED_VALUE"""),"Didier Tauzin")</f>
        <v>Didier Tauzin</v>
      </c>
      <c r="Q426">
        <f>IFERROR(__xludf.DUMMYFUNCTION("""COMPUTED_VALUE"""),5379.0)</f>
        <v>5379</v>
      </c>
      <c r="R426" t="str">
        <f>IFERROR(__xludf.DUMMYFUNCTION("""COMPUTED_VALUE"""),"-")</f>
        <v>-</v>
      </c>
      <c r="S426" t="str">
        <f>IFERROR(__xludf.DUMMYFUNCTION("""COMPUTED_VALUE"""),"-")</f>
        <v>-</v>
      </c>
      <c r="T426" t="str">
        <f>IFERROR(__xludf.DUMMYFUNCTION("""COMPUTED_VALUE"""),"-")</f>
        <v>-</v>
      </c>
      <c r="U426" t="str">
        <f>IFERROR(__xludf.DUMMYFUNCTION("""COMPUTED_VALUE"""),"-")</f>
        <v>-</v>
      </c>
      <c r="V426" t="str">
        <f>IFERROR(__xludf.DUMMYFUNCTION("""COMPUTED_VALUE"""),"-")</f>
        <v>-</v>
      </c>
      <c r="W426" t="str">
        <f>IFERROR(__xludf.DUMMYFUNCTION("""COMPUTED_VALUE"""),"-")</f>
        <v>-</v>
      </c>
      <c r="X426" t="str">
        <f>IFERROR(__xludf.DUMMYFUNCTION("""COMPUTED_VALUE"""),"-")</f>
        <v>-</v>
      </c>
      <c r="Y426" t="str">
        <f>IFERROR(__xludf.DUMMYFUNCTION("""COMPUTED_VALUE"""),"-")</f>
        <v>-</v>
      </c>
      <c r="Z426" t="str">
        <f>IFERROR(__xludf.DUMMYFUNCTION("""COMPUTED_VALUE"""),"-")</f>
        <v>-</v>
      </c>
      <c r="AA426" t="str">
        <f>IFERROR(__xludf.DUMMYFUNCTION("""COMPUTED_VALUE"""),"-")</f>
        <v>-</v>
      </c>
    </row>
    <row r="427">
      <c r="A427" t="str">
        <f>IFERROR(__xludf.DUMMYFUNCTION("""COMPUTED_VALUE"""),"#426")</f>
        <v>#426</v>
      </c>
      <c r="B427" t="str">
        <f>IFERROR(__xludf.DUMMYFUNCTION("""COMPUTED_VALUE"""),"Guillaume Guérin")</f>
        <v>Guillaume Guérin</v>
      </c>
      <c r="C427">
        <f>IFERROR(__xludf.DUMMYFUNCTION("""COMPUTED_VALUE"""),5361.0)</f>
        <v>5361</v>
      </c>
      <c r="D427" t="str">
        <f>IFERROR(__xludf.DUMMYFUNCTION("""COMPUTED_VALUE"""),"-")</f>
        <v>-</v>
      </c>
      <c r="E427" t="str">
        <f>IFERROR(__xludf.DUMMYFUNCTION("""COMPUTED_VALUE"""),"-")</f>
        <v>-</v>
      </c>
      <c r="F427" t="str">
        <f>IFERROR(__xludf.DUMMYFUNCTION("""COMPUTED_VALUE"""),"-")</f>
        <v>-</v>
      </c>
      <c r="G427" t="str">
        <f>IFERROR(__xludf.DUMMYFUNCTION("""COMPUTED_VALUE"""),"-")</f>
        <v>-</v>
      </c>
      <c r="H427" t="str">
        <f>IFERROR(__xludf.DUMMYFUNCTION("""COMPUTED_VALUE"""),"-")</f>
        <v>-</v>
      </c>
      <c r="I427" t="str">
        <f>IFERROR(__xludf.DUMMYFUNCTION("""COMPUTED_VALUE"""),"-")</f>
        <v>-</v>
      </c>
      <c r="J427" t="str">
        <f>IFERROR(__xludf.DUMMYFUNCTION("""COMPUTED_VALUE"""),"-")</f>
        <v>-</v>
      </c>
      <c r="K427" t="str">
        <f>IFERROR(__xludf.DUMMYFUNCTION("""COMPUTED_VALUE"""),"-")</f>
        <v>-</v>
      </c>
      <c r="L427" t="str">
        <f>IFERROR(__xludf.DUMMYFUNCTION("""COMPUTED_VALUE"""),"-")</f>
        <v>-</v>
      </c>
      <c r="M427" t="str">
        <f>IFERROR(__xludf.DUMMYFUNCTION("""COMPUTED_VALUE"""),"-")</f>
        <v>-</v>
      </c>
      <c r="O427" t="str">
        <f>IFERROR(__xludf.DUMMYFUNCTION("""COMPUTED_VALUE"""),"#426")</f>
        <v>#426</v>
      </c>
      <c r="P427" t="str">
        <f>IFERROR(__xludf.DUMMYFUNCTION("""COMPUTED_VALUE"""),"Guillaume Guérin")</f>
        <v>Guillaume Guérin</v>
      </c>
      <c r="Q427">
        <f>IFERROR(__xludf.DUMMYFUNCTION("""COMPUTED_VALUE"""),5361.0)</f>
        <v>5361</v>
      </c>
      <c r="R427" t="str">
        <f>IFERROR(__xludf.DUMMYFUNCTION("""COMPUTED_VALUE"""),"-")</f>
        <v>-</v>
      </c>
      <c r="S427" t="str">
        <f>IFERROR(__xludf.DUMMYFUNCTION("""COMPUTED_VALUE"""),"-")</f>
        <v>-</v>
      </c>
      <c r="T427" t="str">
        <f>IFERROR(__xludf.DUMMYFUNCTION("""COMPUTED_VALUE"""),"-")</f>
        <v>-</v>
      </c>
      <c r="U427" t="str">
        <f>IFERROR(__xludf.DUMMYFUNCTION("""COMPUTED_VALUE"""),"-")</f>
        <v>-</v>
      </c>
      <c r="V427" t="str">
        <f>IFERROR(__xludf.DUMMYFUNCTION("""COMPUTED_VALUE"""),"-")</f>
        <v>-</v>
      </c>
      <c r="W427" t="str">
        <f>IFERROR(__xludf.DUMMYFUNCTION("""COMPUTED_VALUE"""),"-")</f>
        <v>-</v>
      </c>
      <c r="X427" t="str">
        <f>IFERROR(__xludf.DUMMYFUNCTION("""COMPUTED_VALUE"""),"-")</f>
        <v>-</v>
      </c>
      <c r="Y427" t="str">
        <f>IFERROR(__xludf.DUMMYFUNCTION("""COMPUTED_VALUE"""),"-")</f>
        <v>-</v>
      </c>
      <c r="Z427" t="str">
        <f>IFERROR(__xludf.DUMMYFUNCTION("""COMPUTED_VALUE"""),"-")</f>
        <v>-</v>
      </c>
      <c r="AA427" t="str">
        <f>IFERROR(__xludf.DUMMYFUNCTION("""COMPUTED_VALUE"""),"-")</f>
        <v>-</v>
      </c>
    </row>
    <row r="428">
      <c r="A428" t="str">
        <f>IFERROR(__xludf.DUMMYFUNCTION("""COMPUTED_VALUE"""),"#427")</f>
        <v>#427</v>
      </c>
      <c r="B428" t="str">
        <f>IFERROR(__xludf.DUMMYFUNCTION("""COMPUTED_VALUE"""),"Dominique Tian")</f>
        <v>Dominique Tian</v>
      </c>
      <c r="C428">
        <f>IFERROR(__xludf.DUMMYFUNCTION("""COMPUTED_VALUE"""),5336.0)</f>
        <v>5336</v>
      </c>
      <c r="D428" t="str">
        <f>IFERROR(__xludf.DUMMYFUNCTION("""COMPUTED_VALUE"""),"-")</f>
        <v>-</v>
      </c>
      <c r="E428" t="str">
        <f>IFERROR(__xludf.DUMMYFUNCTION("""COMPUTED_VALUE"""),"-")</f>
        <v>-</v>
      </c>
      <c r="F428" t="str">
        <f>IFERROR(__xludf.DUMMYFUNCTION("""COMPUTED_VALUE"""),"-")</f>
        <v>-</v>
      </c>
      <c r="G428" t="str">
        <f>IFERROR(__xludf.DUMMYFUNCTION("""COMPUTED_VALUE"""),"-")</f>
        <v>-</v>
      </c>
      <c r="H428" t="str">
        <f>IFERROR(__xludf.DUMMYFUNCTION("""COMPUTED_VALUE"""),"-")</f>
        <v>-</v>
      </c>
      <c r="I428" t="str">
        <f>IFERROR(__xludf.DUMMYFUNCTION("""COMPUTED_VALUE"""),"-")</f>
        <v>-</v>
      </c>
      <c r="J428" t="str">
        <f>IFERROR(__xludf.DUMMYFUNCTION("""COMPUTED_VALUE"""),"-")</f>
        <v>-</v>
      </c>
      <c r="K428" t="str">
        <f>IFERROR(__xludf.DUMMYFUNCTION("""COMPUTED_VALUE"""),"-")</f>
        <v>-</v>
      </c>
      <c r="L428" t="str">
        <f>IFERROR(__xludf.DUMMYFUNCTION("""COMPUTED_VALUE"""),"-")</f>
        <v>-</v>
      </c>
      <c r="M428" t="str">
        <f>IFERROR(__xludf.DUMMYFUNCTION("""COMPUTED_VALUE"""),"-")</f>
        <v>-</v>
      </c>
      <c r="O428" t="str">
        <f>IFERROR(__xludf.DUMMYFUNCTION("""COMPUTED_VALUE"""),"#427")</f>
        <v>#427</v>
      </c>
      <c r="P428" t="str">
        <f>IFERROR(__xludf.DUMMYFUNCTION("""COMPUTED_VALUE"""),"Dominique Tian")</f>
        <v>Dominique Tian</v>
      </c>
      <c r="Q428">
        <f>IFERROR(__xludf.DUMMYFUNCTION("""COMPUTED_VALUE"""),5336.0)</f>
        <v>5336</v>
      </c>
      <c r="R428" t="str">
        <f>IFERROR(__xludf.DUMMYFUNCTION("""COMPUTED_VALUE"""),"-")</f>
        <v>-</v>
      </c>
      <c r="S428" t="str">
        <f>IFERROR(__xludf.DUMMYFUNCTION("""COMPUTED_VALUE"""),"-")</f>
        <v>-</v>
      </c>
      <c r="T428" t="str">
        <f>IFERROR(__xludf.DUMMYFUNCTION("""COMPUTED_VALUE"""),"-")</f>
        <v>-</v>
      </c>
      <c r="U428" t="str">
        <f>IFERROR(__xludf.DUMMYFUNCTION("""COMPUTED_VALUE"""),"-")</f>
        <v>-</v>
      </c>
      <c r="V428" t="str">
        <f>IFERROR(__xludf.DUMMYFUNCTION("""COMPUTED_VALUE"""),"-")</f>
        <v>-</v>
      </c>
      <c r="W428" t="str">
        <f>IFERROR(__xludf.DUMMYFUNCTION("""COMPUTED_VALUE"""),"-")</f>
        <v>-</v>
      </c>
      <c r="X428" t="str">
        <f>IFERROR(__xludf.DUMMYFUNCTION("""COMPUTED_VALUE"""),"-")</f>
        <v>-</v>
      </c>
      <c r="Y428" t="str">
        <f>IFERROR(__xludf.DUMMYFUNCTION("""COMPUTED_VALUE"""),"-")</f>
        <v>-</v>
      </c>
      <c r="Z428" t="str">
        <f>IFERROR(__xludf.DUMMYFUNCTION("""COMPUTED_VALUE"""),"-")</f>
        <v>-</v>
      </c>
      <c r="AA428" t="str">
        <f>IFERROR(__xludf.DUMMYFUNCTION("""COMPUTED_VALUE"""),"-")</f>
        <v>-</v>
      </c>
    </row>
    <row r="429">
      <c r="A429" t="str">
        <f>IFERROR(__xludf.DUMMYFUNCTION("""COMPUTED_VALUE"""),"#428")</f>
        <v>#428</v>
      </c>
      <c r="B429" t="str">
        <f>IFERROR(__xludf.DUMMYFUNCTION("""COMPUTED_VALUE"""),"Philippe Richert")</f>
        <v>Philippe Richert</v>
      </c>
      <c r="C429">
        <f>IFERROR(__xludf.DUMMYFUNCTION("""COMPUTED_VALUE"""),5323.0)</f>
        <v>5323</v>
      </c>
      <c r="D429" t="str">
        <f>IFERROR(__xludf.DUMMYFUNCTION("""COMPUTED_VALUE"""),"-")</f>
        <v>-</v>
      </c>
      <c r="E429" t="str">
        <f>IFERROR(__xludf.DUMMYFUNCTION("""COMPUTED_VALUE"""),"-")</f>
        <v>-</v>
      </c>
      <c r="F429" t="str">
        <f>IFERROR(__xludf.DUMMYFUNCTION("""COMPUTED_VALUE"""),"-")</f>
        <v>-</v>
      </c>
      <c r="G429" t="str">
        <f>IFERROR(__xludf.DUMMYFUNCTION("""COMPUTED_VALUE"""),"-")</f>
        <v>-</v>
      </c>
      <c r="H429" t="str">
        <f>IFERROR(__xludf.DUMMYFUNCTION("""COMPUTED_VALUE"""),"-")</f>
        <v>-</v>
      </c>
      <c r="I429" t="str">
        <f>IFERROR(__xludf.DUMMYFUNCTION("""COMPUTED_VALUE"""),"-")</f>
        <v>-</v>
      </c>
      <c r="J429" t="str">
        <f>IFERROR(__xludf.DUMMYFUNCTION("""COMPUTED_VALUE"""),"-")</f>
        <v>-</v>
      </c>
      <c r="K429" t="str">
        <f>IFERROR(__xludf.DUMMYFUNCTION("""COMPUTED_VALUE"""),"-")</f>
        <v>-</v>
      </c>
      <c r="L429" t="str">
        <f>IFERROR(__xludf.DUMMYFUNCTION("""COMPUTED_VALUE"""),"-")</f>
        <v>-</v>
      </c>
      <c r="M429" t="str">
        <f>IFERROR(__xludf.DUMMYFUNCTION("""COMPUTED_VALUE"""),"-")</f>
        <v>-</v>
      </c>
      <c r="O429" t="str">
        <f>IFERROR(__xludf.DUMMYFUNCTION("""COMPUTED_VALUE"""),"#428")</f>
        <v>#428</v>
      </c>
      <c r="P429" t="str">
        <f>IFERROR(__xludf.DUMMYFUNCTION("""COMPUTED_VALUE"""),"Philippe Richert")</f>
        <v>Philippe Richert</v>
      </c>
      <c r="Q429">
        <f>IFERROR(__xludf.DUMMYFUNCTION("""COMPUTED_VALUE"""),5323.0)</f>
        <v>5323</v>
      </c>
      <c r="R429" t="str">
        <f>IFERROR(__xludf.DUMMYFUNCTION("""COMPUTED_VALUE"""),"-")</f>
        <v>-</v>
      </c>
      <c r="S429" t="str">
        <f>IFERROR(__xludf.DUMMYFUNCTION("""COMPUTED_VALUE"""),"-")</f>
        <v>-</v>
      </c>
      <c r="T429" t="str">
        <f>IFERROR(__xludf.DUMMYFUNCTION("""COMPUTED_VALUE"""),"-")</f>
        <v>-</v>
      </c>
      <c r="U429" t="str">
        <f>IFERROR(__xludf.DUMMYFUNCTION("""COMPUTED_VALUE"""),"-")</f>
        <v>-</v>
      </c>
      <c r="V429" t="str">
        <f>IFERROR(__xludf.DUMMYFUNCTION("""COMPUTED_VALUE"""),"-")</f>
        <v>-</v>
      </c>
      <c r="W429" t="str">
        <f>IFERROR(__xludf.DUMMYFUNCTION("""COMPUTED_VALUE"""),"-")</f>
        <v>-</v>
      </c>
      <c r="X429" t="str">
        <f>IFERROR(__xludf.DUMMYFUNCTION("""COMPUTED_VALUE"""),"-")</f>
        <v>-</v>
      </c>
      <c r="Y429" t="str">
        <f>IFERROR(__xludf.DUMMYFUNCTION("""COMPUTED_VALUE"""),"-")</f>
        <v>-</v>
      </c>
      <c r="Z429" t="str">
        <f>IFERROR(__xludf.DUMMYFUNCTION("""COMPUTED_VALUE"""),"-")</f>
        <v>-</v>
      </c>
      <c r="AA429" t="str">
        <f>IFERROR(__xludf.DUMMYFUNCTION("""COMPUTED_VALUE"""),"-")</f>
        <v>-</v>
      </c>
    </row>
    <row r="430">
      <c r="A430" t="str">
        <f>IFERROR(__xludf.DUMMYFUNCTION("""COMPUTED_VALUE"""),"#429")</f>
        <v>#429</v>
      </c>
      <c r="B430" t="str">
        <f>IFERROR(__xludf.DUMMYFUNCTION("""COMPUTED_VALUE"""),"Brigitte Fouré")</f>
        <v>Brigitte Fouré</v>
      </c>
      <c r="C430">
        <f>IFERROR(__xludf.DUMMYFUNCTION("""COMPUTED_VALUE"""),5247.0)</f>
        <v>5247</v>
      </c>
      <c r="D430" t="str">
        <f>IFERROR(__xludf.DUMMYFUNCTION("""COMPUTED_VALUE"""),"-")</f>
        <v>-</v>
      </c>
      <c r="E430" t="str">
        <f>IFERROR(__xludf.DUMMYFUNCTION("""COMPUTED_VALUE"""),"-")</f>
        <v>-</v>
      </c>
      <c r="F430" t="str">
        <f>IFERROR(__xludf.DUMMYFUNCTION("""COMPUTED_VALUE"""),"-")</f>
        <v>-</v>
      </c>
      <c r="G430" t="str">
        <f>IFERROR(__xludf.DUMMYFUNCTION("""COMPUTED_VALUE"""),"-")</f>
        <v>-</v>
      </c>
      <c r="H430" t="str">
        <f>IFERROR(__xludf.DUMMYFUNCTION("""COMPUTED_VALUE"""),"-")</f>
        <v>-</v>
      </c>
      <c r="I430" t="str">
        <f>IFERROR(__xludf.DUMMYFUNCTION("""COMPUTED_VALUE"""),"-")</f>
        <v>-</v>
      </c>
      <c r="J430" t="str">
        <f>IFERROR(__xludf.DUMMYFUNCTION("""COMPUTED_VALUE"""),"-")</f>
        <v>-</v>
      </c>
      <c r="K430" t="str">
        <f>IFERROR(__xludf.DUMMYFUNCTION("""COMPUTED_VALUE"""),"-")</f>
        <v>-</v>
      </c>
      <c r="L430" t="str">
        <f>IFERROR(__xludf.DUMMYFUNCTION("""COMPUTED_VALUE"""),"-")</f>
        <v>-</v>
      </c>
      <c r="M430" t="str">
        <f>IFERROR(__xludf.DUMMYFUNCTION("""COMPUTED_VALUE"""),"-")</f>
        <v>-</v>
      </c>
      <c r="O430" t="str">
        <f>IFERROR(__xludf.DUMMYFUNCTION("""COMPUTED_VALUE"""),"#429")</f>
        <v>#429</v>
      </c>
      <c r="P430" t="str">
        <f>IFERROR(__xludf.DUMMYFUNCTION("""COMPUTED_VALUE"""),"Brigitte Fouré")</f>
        <v>Brigitte Fouré</v>
      </c>
      <c r="Q430">
        <f>IFERROR(__xludf.DUMMYFUNCTION("""COMPUTED_VALUE"""),5247.0)</f>
        <v>5247</v>
      </c>
      <c r="R430" t="str">
        <f>IFERROR(__xludf.DUMMYFUNCTION("""COMPUTED_VALUE"""),"-")</f>
        <v>-</v>
      </c>
      <c r="S430" t="str">
        <f>IFERROR(__xludf.DUMMYFUNCTION("""COMPUTED_VALUE"""),"-")</f>
        <v>-</v>
      </c>
      <c r="T430" t="str">
        <f>IFERROR(__xludf.DUMMYFUNCTION("""COMPUTED_VALUE"""),"-")</f>
        <v>-</v>
      </c>
      <c r="U430" t="str">
        <f>IFERROR(__xludf.DUMMYFUNCTION("""COMPUTED_VALUE"""),"-")</f>
        <v>-</v>
      </c>
      <c r="V430" t="str">
        <f>IFERROR(__xludf.DUMMYFUNCTION("""COMPUTED_VALUE"""),"-")</f>
        <v>-</v>
      </c>
      <c r="W430" t="str">
        <f>IFERROR(__xludf.DUMMYFUNCTION("""COMPUTED_VALUE"""),"-")</f>
        <v>-</v>
      </c>
      <c r="X430" t="str">
        <f>IFERROR(__xludf.DUMMYFUNCTION("""COMPUTED_VALUE"""),"-")</f>
        <v>-</v>
      </c>
      <c r="Y430" t="str">
        <f>IFERROR(__xludf.DUMMYFUNCTION("""COMPUTED_VALUE"""),"-")</f>
        <v>-</v>
      </c>
      <c r="Z430" t="str">
        <f>IFERROR(__xludf.DUMMYFUNCTION("""COMPUTED_VALUE"""),"-")</f>
        <v>-</v>
      </c>
      <c r="AA430" t="str">
        <f>IFERROR(__xludf.DUMMYFUNCTION("""COMPUTED_VALUE"""),"-")</f>
        <v>-</v>
      </c>
    </row>
    <row r="431">
      <c r="A431" t="str">
        <f>IFERROR(__xludf.DUMMYFUNCTION("""COMPUTED_VALUE"""),"#430")</f>
        <v>#430</v>
      </c>
      <c r="B431" t="str">
        <f>IFERROR(__xludf.DUMMYFUNCTION("""COMPUTED_VALUE"""),"Dominique Dord")</f>
        <v>Dominique Dord</v>
      </c>
      <c r="C431">
        <f>IFERROR(__xludf.DUMMYFUNCTION("""COMPUTED_VALUE"""),5225.0)</f>
        <v>5225</v>
      </c>
      <c r="D431" t="str">
        <f>IFERROR(__xludf.DUMMYFUNCTION("""COMPUTED_VALUE"""),"-")</f>
        <v>-</v>
      </c>
      <c r="E431" t="str">
        <f>IFERROR(__xludf.DUMMYFUNCTION("""COMPUTED_VALUE"""),"-")</f>
        <v>-</v>
      </c>
      <c r="F431" t="str">
        <f>IFERROR(__xludf.DUMMYFUNCTION("""COMPUTED_VALUE"""),"-")</f>
        <v>-</v>
      </c>
      <c r="G431" t="str">
        <f>IFERROR(__xludf.DUMMYFUNCTION("""COMPUTED_VALUE"""),"-")</f>
        <v>-</v>
      </c>
      <c r="H431" t="str">
        <f>IFERROR(__xludf.DUMMYFUNCTION("""COMPUTED_VALUE"""),"-")</f>
        <v>-</v>
      </c>
      <c r="I431" t="str">
        <f>IFERROR(__xludf.DUMMYFUNCTION("""COMPUTED_VALUE"""),"-")</f>
        <v>-</v>
      </c>
      <c r="J431" t="str">
        <f>IFERROR(__xludf.DUMMYFUNCTION("""COMPUTED_VALUE"""),"-")</f>
        <v>-</v>
      </c>
      <c r="K431" t="str">
        <f>IFERROR(__xludf.DUMMYFUNCTION("""COMPUTED_VALUE"""),"-")</f>
        <v>-</v>
      </c>
      <c r="L431" t="str">
        <f>IFERROR(__xludf.DUMMYFUNCTION("""COMPUTED_VALUE"""),"-")</f>
        <v>-</v>
      </c>
      <c r="M431" t="str">
        <f>IFERROR(__xludf.DUMMYFUNCTION("""COMPUTED_VALUE"""),"-")</f>
        <v>-</v>
      </c>
      <c r="O431" t="str">
        <f>IFERROR(__xludf.DUMMYFUNCTION("""COMPUTED_VALUE"""),"#430")</f>
        <v>#430</v>
      </c>
      <c r="P431" t="str">
        <f>IFERROR(__xludf.DUMMYFUNCTION("""COMPUTED_VALUE"""),"Dominique Dord")</f>
        <v>Dominique Dord</v>
      </c>
      <c r="Q431">
        <f>IFERROR(__xludf.DUMMYFUNCTION("""COMPUTED_VALUE"""),5225.0)</f>
        <v>5225</v>
      </c>
      <c r="R431" t="str">
        <f>IFERROR(__xludf.DUMMYFUNCTION("""COMPUTED_VALUE"""),"-")</f>
        <v>-</v>
      </c>
      <c r="S431" t="str">
        <f>IFERROR(__xludf.DUMMYFUNCTION("""COMPUTED_VALUE"""),"-")</f>
        <v>-</v>
      </c>
      <c r="T431" t="str">
        <f>IFERROR(__xludf.DUMMYFUNCTION("""COMPUTED_VALUE"""),"-")</f>
        <v>-</v>
      </c>
      <c r="U431" t="str">
        <f>IFERROR(__xludf.DUMMYFUNCTION("""COMPUTED_VALUE"""),"-")</f>
        <v>-</v>
      </c>
      <c r="V431" t="str">
        <f>IFERROR(__xludf.DUMMYFUNCTION("""COMPUTED_VALUE"""),"-")</f>
        <v>-</v>
      </c>
      <c r="W431" t="str">
        <f>IFERROR(__xludf.DUMMYFUNCTION("""COMPUTED_VALUE"""),"-")</f>
        <v>-</v>
      </c>
      <c r="X431" t="str">
        <f>IFERROR(__xludf.DUMMYFUNCTION("""COMPUTED_VALUE"""),"-")</f>
        <v>-</v>
      </c>
      <c r="Y431" t="str">
        <f>IFERROR(__xludf.DUMMYFUNCTION("""COMPUTED_VALUE"""),"-")</f>
        <v>-</v>
      </c>
      <c r="Z431" t="str">
        <f>IFERROR(__xludf.DUMMYFUNCTION("""COMPUTED_VALUE"""),"-")</f>
        <v>-</v>
      </c>
      <c r="AA431" t="str">
        <f>IFERROR(__xludf.DUMMYFUNCTION("""COMPUTED_VALUE"""),"-")</f>
        <v>-</v>
      </c>
    </row>
    <row r="432">
      <c r="A432" t="str">
        <f>IFERROR(__xludf.DUMMYFUNCTION("""COMPUTED_VALUE"""),"#431")</f>
        <v>#431</v>
      </c>
      <c r="B432" t="str">
        <f>IFERROR(__xludf.DUMMYFUNCTION("""COMPUTED_VALUE"""),"Déborah Pawlik")</f>
        <v>Déborah Pawlik</v>
      </c>
      <c r="C432">
        <f>IFERROR(__xludf.DUMMYFUNCTION("""COMPUTED_VALUE"""),5155.0)</f>
        <v>5155</v>
      </c>
      <c r="D432" t="str">
        <f>IFERROR(__xludf.DUMMYFUNCTION("""COMPUTED_VALUE"""),"-")</f>
        <v>-</v>
      </c>
      <c r="E432" t="str">
        <f>IFERROR(__xludf.DUMMYFUNCTION("""COMPUTED_VALUE"""),"-")</f>
        <v>-</v>
      </c>
      <c r="F432" t="str">
        <f>IFERROR(__xludf.DUMMYFUNCTION("""COMPUTED_VALUE"""),"-")</f>
        <v>-</v>
      </c>
      <c r="G432" t="str">
        <f>IFERROR(__xludf.DUMMYFUNCTION("""COMPUTED_VALUE"""),"-")</f>
        <v>-</v>
      </c>
      <c r="H432" t="str">
        <f>IFERROR(__xludf.DUMMYFUNCTION("""COMPUTED_VALUE"""),"-")</f>
        <v>-</v>
      </c>
      <c r="I432" t="str">
        <f>IFERROR(__xludf.DUMMYFUNCTION("""COMPUTED_VALUE"""),"-")</f>
        <v>-</v>
      </c>
      <c r="J432" t="str">
        <f>IFERROR(__xludf.DUMMYFUNCTION("""COMPUTED_VALUE"""),"-")</f>
        <v>-</v>
      </c>
      <c r="K432" t="str">
        <f>IFERROR(__xludf.DUMMYFUNCTION("""COMPUTED_VALUE"""),"-")</f>
        <v>-</v>
      </c>
      <c r="L432" t="str">
        <f>IFERROR(__xludf.DUMMYFUNCTION("""COMPUTED_VALUE"""),"-")</f>
        <v>-</v>
      </c>
      <c r="M432" t="str">
        <f>IFERROR(__xludf.DUMMYFUNCTION("""COMPUTED_VALUE"""),"-")</f>
        <v>-</v>
      </c>
      <c r="O432" t="str">
        <f>IFERROR(__xludf.DUMMYFUNCTION("""COMPUTED_VALUE"""),"#431")</f>
        <v>#431</v>
      </c>
      <c r="P432" t="str">
        <f>IFERROR(__xludf.DUMMYFUNCTION("""COMPUTED_VALUE"""),"Déborah Pawlik")</f>
        <v>Déborah Pawlik</v>
      </c>
      <c r="Q432">
        <f>IFERROR(__xludf.DUMMYFUNCTION("""COMPUTED_VALUE"""),5155.0)</f>
        <v>5155</v>
      </c>
      <c r="R432" t="str">
        <f>IFERROR(__xludf.DUMMYFUNCTION("""COMPUTED_VALUE"""),"-")</f>
        <v>-</v>
      </c>
      <c r="S432" t="str">
        <f>IFERROR(__xludf.DUMMYFUNCTION("""COMPUTED_VALUE"""),"-")</f>
        <v>-</v>
      </c>
      <c r="T432" t="str">
        <f>IFERROR(__xludf.DUMMYFUNCTION("""COMPUTED_VALUE"""),"-")</f>
        <v>-</v>
      </c>
      <c r="U432" t="str">
        <f>IFERROR(__xludf.DUMMYFUNCTION("""COMPUTED_VALUE"""),"-")</f>
        <v>-</v>
      </c>
      <c r="V432" t="str">
        <f>IFERROR(__xludf.DUMMYFUNCTION("""COMPUTED_VALUE"""),"-")</f>
        <v>-</v>
      </c>
      <c r="W432" t="str">
        <f>IFERROR(__xludf.DUMMYFUNCTION("""COMPUTED_VALUE"""),"-")</f>
        <v>-</v>
      </c>
      <c r="X432" t="str">
        <f>IFERROR(__xludf.DUMMYFUNCTION("""COMPUTED_VALUE"""),"-")</f>
        <v>-</v>
      </c>
      <c r="Y432" t="str">
        <f>IFERROR(__xludf.DUMMYFUNCTION("""COMPUTED_VALUE"""),"-")</f>
        <v>-</v>
      </c>
      <c r="Z432" t="str">
        <f>IFERROR(__xludf.DUMMYFUNCTION("""COMPUTED_VALUE"""),"-")</f>
        <v>-</v>
      </c>
      <c r="AA432" t="str">
        <f>IFERROR(__xludf.DUMMYFUNCTION("""COMPUTED_VALUE"""),"-")</f>
        <v>-</v>
      </c>
    </row>
    <row r="433">
      <c r="A433" t="str">
        <f>IFERROR(__xludf.DUMMYFUNCTION("""COMPUTED_VALUE"""),"#432")</f>
        <v>#432</v>
      </c>
      <c r="B433" t="str">
        <f>IFERROR(__xludf.DUMMYFUNCTION("""COMPUTED_VALUE"""),"Vincent Terrail-Noves")</f>
        <v>Vincent Terrail-Noves</v>
      </c>
      <c r="C433">
        <f>IFERROR(__xludf.DUMMYFUNCTION("""COMPUTED_VALUE"""),5149.0)</f>
        <v>5149</v>
      </c>
      <c r="D433" t="str">
        <f>IFERROR(__xludf.DUMMYFUNCTION("""COMPUTED_VALUE"""),"-")</f>
        <v>-</v>
      </c>
      <c r="E433" t="str">
        <f>IFERROR(__xludf.DUMMYFUNCTION("""COMPUTED_VALUE"""),"-")</f>
        <v>-</v>
      </c>
      <c r="F433" t="str">
        <f>IFERROR(__xludf.DUMMYFUNCTION("""COMPUTED_VALUE"""),"-")</f>
        <v>-</v>
      </c>
      <c r="G433" t="str">
        <f>IFERROR(__xludf.DUMMYFUNCTION("""COMPUTED_VALUE"""),"-")</f>
        <v>-</v>
      </c>
      <c r="H433" t="str">
        <f>IFERROR(__xludf.DUMMYFUNCTION("""COMPUTED_VALUE"""),"-")</f>
        <v>-</v>
      </c>
      <c r="I433" t="str">
        <f>IFERROR(__xludf.DUMMYFUNCTION("""COMPUTED_VALUE"""),"-")</f>
        <v>-</v>
      </c>
      <c r="J433" t="str">
        <f>IFERROR(__xludf.DUMMYFUNCTION("""COMPUTED_VALUE"""),"-")</f>
        <v>-</v>
      </c>
      <c r="K433" t="str">
        <f>IFERROR(__xludf.DUMMYFUNCTION("""COMPUTED_VALUE"""),"-")</f>
        <v>-</v>
      </c>
      <c r="L433" t="str">
        <f>IFERROR(__xludf.DUMMYFUNCTION("""COMPUTED_VALUE"""),"-")</f>
        <v>-</v>
      </c>
      <c r="M433" t="str">
        <f>IFERROR(__xludf.DUMMYFUNCTION("""COMPUTED_VALUE"""),"-")</f>
        <v>-</v>
      </c>
      <c r="O433" t="str">
        <f>IFERROR(__xludf.DUMMYFUNCTION("""COMPUTED_VALUE"""),"#432")</f>
        <v>#432</v>
      </c>
      <c r="P433" t="str">
        <f>IFERROR(__xludf.DUMMYFUNCTION("""COMPUTED_VALUE"""),"Vincent Terrail-Noves")</f>
        <v>Vincent Terrail-Noves</v>
      </c>
      <c r="Q433">
        <f>IFERROR(__xludf.DUMMYFUNCTION("""COMPUTED_VALUE"""),5149.0)</f>
        <v>5149</v>
      </c>
      <c r="R433" t="str">
        <f>IFERROR(__xludf.DUMMYFUNCTION("""COMPUTED_VALUE"""),"-")</f>
        <v>-</v>
      </c>
      <c r="S433" t="str">
        <f>IFERROR(__xludf.DUMMYFUNCTION("""COMPUTED_VALUE"""),"-")</f>
        <v>-</v>
      </c>
      <c r="T433" t="str">
        <f>IFERROR(__xludf.DUMMYFUNCTION("""COMPUTED_VALUE"""),"-")</f>
        <v>-</v>
      </c>
      <c r="U433" t="str">
        <f>IFERROR(__xludf.DUMMYFUNCTION("""COMPUTED_VALUE"""),"-")</f>
        <v>-</v>
      </c>
      <c r="V433" t="str">
        <f>IFERROR(__xludf.DUMMYFUNCTION("""COMPUTED_VALUE"""),"-")</f>
        <v>-</v>
      </c>
      <c r="W433" t="str">
        <f>IFERROR(__xludf.DUMMYFUNCTION("""COMPUTED_VALUE"""),"-")</f>
        <v>-</v>
      </c>
      <c r="X433" t="str">
        <f>IFERROR(__xludf.DUMMYFUNCTION("""COMPUTED_VALUE"""),"-")</f>
        <v>-</v>
      </c>
      <c r="Y433" t="str">
        <f>IFERROR(__xludf.DUMMYFUNCTION("""COMPUTED_VALUE"""),"-")</f>
        <v>-</v>
      </c>
      <c r="Z433" t="str">
        <f>IFERROR(__xludf.DUMMYFUNCTION("""COMPUTED_VALUE"""),"-")</f>
        <v>-</v>
      </c>
      <c r="AA433" t="str">
        <f>IFERROR(__xludf.DUMMYFUNCTION("""COMPUTED_VALUE"""),"-")</f>
        <v>-</v>
      </c>
    </row>
    <row r="434">
      <c r="A434" t="str">
        <f>IFERROR(__xludf.DUMMYFUNCTION("""COMPUTED_VALUE"""),"#433")</f>
        <v>#433</v>
      </c>
      <c r="B434" t="str">
        <f>IFERROR(__xludf.DUMMYFUNCTION("""COMPUTED_VALUE"""),"Grégory Besson-Moreau")</f>
        <v>Grégory Besson-Moreau</v>
      </c>
      <c r="C434">
        <f>IFERROR(__xludf.DUMMYFUNCTION("""COMPUTED_VALUE"""),5147.0)</f>
        <v>5147</v>
      </c>
      <c r="D434" t="str">
        <f>IFERROR(__xludf.DUMMYFUNCTION("""COMPUTED_VALUE"""),"-")</f>
        <v>-</v>
      </c>
      <c r="E434" t="str">
        <f>IFERROR(__xludf.DUMMYFUNCTION("""COMPUTED_VALUE"""),"-")</f>
        <v>-</v>
      </c>
      <c r="F434" t="str">
        <f>IFERROR(__xludf.DUMMYFUNCTION("""COMPUTED_VALUE"""),"-")</f>
        <v>-</v>
      </c>
      <c r="G434" t="str">
        <f>IFERROR(__xludf.DUMMYFUNCTION("""COMPUTED_VALUE"""),"-")</f>
        <v>-</v>
      </c>
      <c r="H434" t="str">
        <f>IFERROR(__xludf.DUMMYFUNCTION("""COMPUTED_VALUE"""),"-")</f>
        <v>-</v>
      </c>
      <c r="I434" t="str">
        <f>IFERROR(__xludf.DUMMYFUNCTION("""COMPUTED_VALUE"""),"-")</f>
        <v>-</v>
      </c>
      <c r="J434" t="str">
        <f>IFERROR(__xludf.DUMMYFUNCTION("""COMPUTED_VALUE"""),"-")</f>
        <v>-</v>
      </c>
      <c r="K434" t="str">
        <f>IFERROR(__xludf.DUMMYFUNCTION("""COMPUTED_VALUE"""),"-")</f>
        <v>-</v>
      </c>
      <c r="L434" t="str">
        <f>IFERROR(__xludf.DUMMYFUNCTION("""COMPUTED_VALUE"""),"-")</f>
        <v>-</v>
      </c>
      <c r="M434" t="str">
        <f>IFERROR(__xludf.DUMMYFUNCTION("""COMPUTED_VALUE"""),"-")</f>
        <v>-</v>
      </c>
      <c r="O434" t="str">
        <f>IFERROR(__xludf.DUMMYFUNCTION("""COMPUTED_VALUE"""),"#433")</f>
        <v>#433</v>
      </c>
      <c r="P434" t="str">
        <f>IFERROR(__xludf.DUMMYFUNCTION("""COMPUTED_VALUE"""),"Grégory Besson-Moreau")</f>
        <v>Grégory Besson-Moreau</v>
      </c>
      <c r="Q434">
        <f>IFERROR(__xludf.DUMMYFUNCTION("""COMPUTED_VALUE"""),5147.0)</f>
        <v>5147</v>
      </c>
      <c r="R434" t="str">
        <f>IFERROR(__xludf.DUMMYFUNCTION("""COMPUTED_VALUE"""),"-")</f>
        <v>-</v>
      </c>
      <c r="S434" t="str">
        <f>IFERROR(__xludf.DUMMYFUNCTION("""COMPUTED_VALUE"""),"-")</f>
        <v>-</v>
      </c>
      <c r="T434" t="str">
        <f>IFERROR(__xludf.DUMMYFUNCTION("""COMPUTED_VALUE"""),"-")</f>
        <v>-</v>
      </c>
      <c r="U434" t="str">
        <f>IFERROR(__xludf.DUMMYFUNCTION("""COMPUTED_VALUE"""),"-")</f>
        <v>-</v>
      </c>
      <c r="V434" t="str">
        <f>IFERROR(__xludf.DUMMYFUNCTION("""COMPUTED_VALUE"""),"-")</f>
        <v>-</v>
      </c>
      <c r="W434" t="str">
        <f>IFERROR(__xludf.DUMMYFUNCTION("""COMPUTED_VALUE"""),"-")</f>
        <v>-</v>
      </c>
      <c r="X434" t="str">
        <f>IFERROR(__xludf.DUMMYFUNCTION("""COMPUTED_VALUE"""),"-")</f>
        <v>-</v>
      </c>
      <c r="Y434" t="str">
        <f>IFERROR(__xludf.DUMMYFUNCTION("""COMPUTED_VALUE"""),"-")</f>
        <v>-</v>
      </c>
      <c r="Z434" t="str">
        <f>IFERROR(__xludf.DUMMYFUNCTION("""COMPUTED_VALUE"""),"-")</f>
        <v>-</v>
      </c>
      <c r="AA434" t="str">
        <f>IFERROR(__xludf.DUMMYFUNCTION("""COMPUTED_VALUE"""),"-")</f>
        <v>-</v>
      </c>
    </row>
    <row r="435">
      <c r="A435" t="str">
        <f>IFERROR(__xludf.DUMMYFUNCTION("""COMPUTED_VALUE"""),"#434")</f>
        <v>#434</v>
      </c>
      <c r="B435" t="str">
        <f>IFERROR(__xludf.DUMMYFUNCTION("""COMPUTED_VALUE"""),"Mireille d'Ornano")</f>
        <v>Mireille d'Ornano</v>
      </c>
      <c r="C435">
        <f>IFERROR(__xludf.DUMMYFUNCTION("""COMPUTED_VALUE"""),5098.0)</f>
        <v>5098</v>
      </c>
      <c r="D435" t="str">
        <f>IFERROR(__xludf.DUMMYFUNCTION("""COMPUTED_VALUE"""),"-")</f>
        <v>-</v>
      </c>
      <c r="E435" t="str">
        <f>IFERROR(__xludf.DUMMYFUNCTION("""COMPUTED_VALUE"""),"-")</f>
        <v>-</v>
      </c>
      <c r="F435" t="str">
        <f>IFERROR(__xludf.DUMMYFUNCTION("""COMPUTED_VALUE"""),"-")</f>
        <v>-</v>
      </c>
      <c r="G435" t="str">
        <f>IFERROR(__xludf.DUMMYFUNCTION("""COMPUTED_VALUE"""),"-")</f>
        <v>-</v>
      </c>
      <c r="H435" t="str">
        <f>IFERROR(__xludf.DUMMYFUNCTION("""COMPUTED_VALUE"""),"-")</f>
        <v>-</v>
      </c>
      <c r="I435" t="str">
        <f>IFERROR(__xludf.DUMMYFUNCTION("""COMPUTED_VALUE"""),"-")</f>
        <v>-</v>
      </c>
      <c r="J435" t="str">
        <f>IFERROR(__xludf.DUMMYFUNCTION("""COMPUTED_VALUE"""),"-")</f>
        <v>-</v>
      </c>
      <c r="K435" t="str">
        <f>IFERROR(__xludf.DUMMYFUNCTION("""COMPUTED_VALUE"""),"-")</f>
        <v>-</v>
      </c>
      <c r="L435" t="str">
        <f>IFERROR(__xludf.DUMMYFUNCTION("""COMPUTED_VALUE"""),"-")</f>
        <v>-</v>
      </c>
      <c r="M435" t="str">
        <f>IFERROR(__xludf.DUMMYFUNCTION("""COMPUTED_VALUE"""),"-")</f>
        <v>-</v>
      </c>
      <c r="O435" t="str">
        <f>IFERROR(__xludf.DUMMYFUNCTION("""COMPUTED_VALUE"""),"#434")</f>
        <v>#434</v>
      </c>
      <c r="P435" t="str">
        <f>IFERROR(__xludf.DUMMYFUNCTION("""COMPUTED_VALUE"""),"Mireille d'Ornano")</f>
        <v>Mireille d'Ornano</v>
      </c>
      <c r="Q435">
        <f>IFERROR(__xludf.DUMMYFUNCTION("""COMPUTED_VALUE"""),5098.0)</f>
        <v>5098</v>
      </c>
      <c r="R435" t="str">
        <f>IFERROR(__xludf.DUMMYFUNCTION("""COMPUTED_VALUE"""),"-")</f>
        <v>-</v>
      </c>
      <c r="S435" t="str">
        <f>IFERROR(__xludf.DUMMYFUNCTION("""COMPUTED_VALUE"""),"-")</f>
        <v>-</v>
      </c>
      <c r="T435" t="str">
        <f>IFERROR(__xludf.DUMMYFUNCTION("""COMPUTED_VALUE"""),"-")</f>
        <v>-</v>
      </c>
      <c r="U435" t="str">
        <f>IFERROR(__xludf.DUMMYFUNCTION("""COMPUTED_VALUE"""),"-")</f>
        <v>-</v>
      </c>
      <c r="V435" t="str">
        <f>IFERROR(__xludf.DUMMYFUNCTION("""COMPUTED_VALUE"""),"-")</f>
        <v>-</v>
      </c>
      <c r="W435" t="str">
        <f>IFERROR(__xludf.DUMMYFUNCTION("""COMPUTED_VALUE"""),"-")</f>
        <v>-</v>
      </c>
      <c r="X435" t="str">
        <f>IFERROR(__xludf.DUMMYFUNCTION("""COMPUTED_VALUE"""),"-")</f>
        <v>-</v>
      </c>
      <c r="Y435" t="str">
        <f>IFERROR(__xludf.DUMMYFUNCTION("""COMPUTED_VALUE"""),"-")</f>
        <v>-</v>
      </c>
      <c r="Z435" t="str">
        <f>IFERROR(__xludf.DUMMYFUNCTION("""COMPUTED_VALUE"""),"-")</f>
        <v>-</v>
      </c>
      <c r="AA435" t="str">
        <f>IFERROR(__xludf.DUMMYFUNCTION("""COMPUTED_VALUE"""),"-")</f>
        <v>-</v>
      </c>
    </row>
    <row r="436">
      <c r="A436" t="str">
        <f>IFERROR(__xludf.DUMMYFUNCTION("""COMPUTED_VALUE"""),"#435")</f>
        <v>#435</v>
      </c>
      <c r="B436" t="str">
        <f>IFERROR(__xludf.DUMMYFUNCTION("""COMPUTED_VALUE"""),"André Gattolin")</f>
        <v>André Gattolin</v>
      </c>
      <c r="C436">
        <f>IFERROR(__xludf.DUMMYFUNCTION("""COMPUTED_VALUE"""),5093.0)</f>
        <v>5093</v>
      </c>
      <c r="D436" t="str">
        <f>IFERROR(__xludf.DUMMYFUNCTION("""COMPUTED_VALUE"""),"-")</f>
        <v>-</v>
      </c>
      <c r="E436" t="str">
        <f>IFERROR(__xludf.DUMMYFUNCTION("""COMPUTED_VALUE"""),"-")</f>
        <v>-</v>
      </c>
      <c r="F436" t="str">
        <f>IFERROR(__xludf.DUMMYFUNCTION("""COMPUTED_VALUE"""),"-")</f>
        <v>-</v>
      </c>
      <c r="G436" t="str">
        <f>IFERROR(__xludf.DUMMYFUNCTION("""COMPUTED_VALUE"""),"-")</f>
        <v>-</v>
      </c>
      <c r="H436" t="str">
        <f>IFERROR(__xludf.DUMMYFUNCTION("""COMPUTED_VALUE"""),"-")</f>
        <v>-</v>
      </c>
      <c r="I436" t="str">
        <f>IFERROR(__xludf.DUMMYFUNCTION("""COMPUTED_VALUE"""),"-")</f>
        <v>-</v>
      </c>
      <c r="J436" t="str">
        <f>IFERROR(__xludf.DUMMYFUNCTION("""COMPUTED_VALUE"""),"-")</f>
        <v>-</v>
      </c>
      <c r="K436" t="str">
        <f>IFERROR(__xludf.DUMMYFUNCTION("""COMPUTED_VALUE"""),"-")</f>
        <v>-</v>
      </c>
      <c r="L436" t="str">
        <f>IFERROR(__xludf.DUMMYFUNCTION("""COMPUTED_VALUE"""),"-")</f>
        <v>-</v>
      </c>
      <c r="M436" t="str">
        <f>IFERROR(__xludf.DUMMYFUNCTION("""COMPUTED_VALUE"""),"-")</f>
        <v>-</v>
      </c>
      <c r="O436" t="str">
        <f>IFERROR(__xludf.DUMMYFUNCTION("""COMPUTED_VALUE"""),"#435")</f>
        <v>#435</v>
      </c>
      <c r="P436" t="str">
        <f>IFERROR(__xludf.DUMMYFUNCTION("""COMPUTED_VALUE"""),"André Gattolin")</f>
        <v>André Gattolin</v>
      </c>
      <c r="Q436">
        <f>IFERROR(__xludf.DUMMYFUNCTION("""COMPUTED_VALUE"""),5093.0)</f>
        <v>5093</v>
      </c>
      <c r="R436" t="str">
        <f>IFERROR(__xludf.DUMMYFUNCTION("""COMPUTED_VALUE"""),"-")</f>
        <v>-</v>
      </c>
      <c r="S436" t="str">
        <f>IFERROR(__xludf.DUMMYFUNCTION("""COMPUTED_VALUE"""),"-")</f>
        <v>-</v>
      </c>
      <c r="T436" t="str">
        <f>IFERROR(__xludf.DUMMYFUNCTION("""COMPUTED_VALUE"""),"-")</f>
        <v>-</v>
      </c>
      <c r="U436" t="str">
        <f>IFERROR(__xludf.DUMMYFUNCTION("""COMPUTED_VALUE"""),"-")</f>
        <v>-</v>
      </c>
      <c r="V436" t="str">
        <f>IFERROR(__xludf.DUMMYFUNCTION("""COMPUTED_VALUE"""),"-")</f>
        <v>-</v>
      </c>
      <c r="W436" t="str">
        <f>IFERROR(__xludf.DUMMYFUNCTION("""COMPUTED_VALUE"""),"-")</f>
        <v>-</v>
      </c>
      <c r="X436" t="str">
        <f>IFERROR(__xludf.DUMMYFUNCTION("""COMPUTED_VALUE"""),"-")</f>
        <v>-</v>
      </c>
      <c r="Y436" t="str">
        <f>IFERROR(__xludf.DUMMYFUNCTION("""COMPUTED_VALUE"""),"-")</f>
        <v>-</v>
      </c>
      <c r="Z436" t="str">
        <f>IFERROR(__xludf.DUMMYFUNCTION("""COMPUTED_VALUE"""),"-")</f>
        <v>-</v>
      </c>
      <c r="AA436" t="str">
        <f>IFERROR(__xludf.DUMMYFUNCTION("""COMPUTED_VALUE"""),"-")</f>
        <v>-</v>
      </c>
    </row>
    <row r="437">
      <c r="A437" t="str">
        <f>IFERROR(__xludf.DUMMYFUNCTION("""COMPUTED_VALUE"""),"#436")</f>
        <v>#436</v>
      </c>
      <c r="B437" t="str">
        <f>IFERROR(__xludf.DUMMYFUNCTION("""COMPUTED_VALUE"""),"Ali Soumaré")</f>
        <v>Ali Soumaré</v>
      </c>
      <c r="C437">
        <f>IFERROR(__xludf.DUMMYFUNCTION("""COMPUTED_VALUE"""),5040.0)</f>
        <v>5040</v>
      </c>
      <c r="D437" t="str">
        <f>IFERROR(__xludf.DUMMYFUNCTION("""COMPUTED_VALUE"""),"-")</f>
        <v>-</v>
      </c>
      <c r="E437" t="str">
        <f>IFERROR(__xludf.DUMMYFUNCTION("""COMPUTED_VALUE"""),"-")</f>
        <v>-</v>
      </c>
      <c r="F437" t="str">
        <f>IFERROR(__xludf.DUMMYFUNCTION("""COMPUTED_VALUE"""),"-")</f>
        <v>-</v>
      </c>
      <c r="G437" t="str">
        <f>IFERROR(__xludf.DUMMYFUNCTION("""COMPUTED_VALUE"""),"-")</f>
        <v>-</v>
      </c>
      <c r="H437" t="str">
        <f>IFERROR(__xludf.DUMMYFUNCTION("""COMPUTED_VALUE"""),"-")</f>
        <v>-</v>
      </c>
      <c r="I437" t="str">
        <f>IFERROR(__xludf.DUMMYFUNCTION("""COMPUTED_VALUE"""),"-")</f>
        <v>-</v>
      </c>
      <c r="J437" t="str">
        <f>IFERROR(__xludf.DUMMYFUNCTION("""COMPUTED_VALUE"""),"-")</f>
        <v>-</v>
      </c>
      <c r="K437" t="str">
        <f>IFERROR(__xludf.DUMMYFUNCTION("""COMPUTED_VALUE"""),"-")</f>
        <v>-</v>
      </c>
      <c r="L437" t="str">
        <f>IFERROR(__xludf.DUMMYFUNCTION("""COMPUTED_VALUE"""),"-")</f>
        <v>-</v>
      </c>
      <c r="M437" t="str">
        <f>IFERROR(__xludf.DUMMYFUNCTION("""COMPUTED_VALUE"""),"-")</f>
        <v>-</v>
      </c>
      <c r="O437" t="str">
        <f>IFERROR(__xludf.DUMMYFUNCTION("""COMPUTED_VALUE"""),"#436")</f>
        <v>#436</v>
      </c>
      <c r="P437" t="str">
        <f>IFERROR(__xludf.DUMMYFUNCTION("""COMPUTED_VALUE"""),"Ali Soumaré")</f>
        <v>Ali Soumaré</v>
      </c>
      <c r="Q437">
        <f>IFERROR(__xludf.DUMMYFUNCTION("""COMPUTED_VALUE"""),5040.0)</f>
        <v>5040</v>
      </c>
      <c r="R437" t="str">
        <f>IFERROR(__xludf.DUMMYFUNCTION("""COMPUTED_VALUE"""),"-")</f>
        <v>-</v>
      </c>
      <c r="S437" t="str">
        <f>IFERROR(__xludf.DUMMYFUNCTION("""COMPUTED_VALUE"""),"-")</f>
        <v>-</v>
      </c>
      <c r="T437" t="str">
        <f>IFERROR(__xludf.DUMMYFUNCTION("""COMPUTED_VALUE"""),"-")</f>
        <v>-</v>
      </c>
      <c r="U437" t="str">
        <f>IFERROR(__xludf.DUMMYFUNCTION("""COMPUTED_VALUE"""),"-")</f>
        <v>-</v>
      </c>
      <c r="V437" t="str">
        <f>IFERROR(__xludf.DUMMYFUNCTION("""COMPUTED_VALUE"""),"-")</f>
        <v>-</v>
      </c>
      <c r="W437" t="str">
        <f>IFERROR(__xludf.DUMMYFUNCTION("""COMPUTED_VALUE"""),"-")</f>
        <v>-</v>
      </c>
      <c r="X437" t="str">
        <f>IFERROR(__xludf.DUMMYFUNCTION("""COMPUTED_VALUE"""),"-")</f>
        <v>-</v>
      </c>
      <c r="Y437" t="str">
        <f>IFERROR(__xludf.DUMMYFUNCTION("""COMPUTED_VALUE"""),"-")</f>
        <v>-</v>
      </c>
      <c r="Z437" t="str">
        <f>IFERROR(__xludf.DUMMYFUNCTION("""COMPUTED_VALUE"""),"-")</f>
        <v>-</v>
      </c>
      <c r="AA437" t="str">
        <f>IFERROR(__xludf.DUMMYFUNCTION("""COMPUTED_VALUE"""),"-")</f>
        <v>-</v>
      </c>
    </row>
    <row r="438">
      <c r="A438" t="str">
        <f>IFERROR(__xludf.DUMMYFUNCTION("""COMPUTED_VALUE"""),"#437")</f>
        <v>#437</v>
      </c>
      <c r="B438" t="str">
        <f>IFERROR(__xludf.DUMMYFUNCTION("""COMPUTED_VALUE"""),"Frédérique Lardet")</f>
        <v>Frédérique Lardet</v>
      </c>
      <c r="C438">
        <f>IFERROR(__xludf.DUMMYFUNCTION("""COMPUTED_VALUE"""),5038.0)</f>
        <v>5038</v>
      </c>
      <c r="D438" t="str">
        <f>IFERROR(__xludf.DUMMYFUNCTION("""COMPUTED_VALUE"""),"-")</f>
        <v>-</v>
      </c>
      <c r="E438" t="str">
        <f>IFERROR(__xludf.DUMMYFUNCTION("""COMPUTED_VALUE"""),"-")</f>
        <v>-</v>
      </c>
      <c r="F438" t="str">
        <f>IFERROR(__xludf.DUMMYFUNCTION("""COMPUTED_VALUE"""),"-")</f>
        <v>-</v>
      </c>
      <c r="G438" t="str">
        <f>IFERROR(__xludf.DUMMYFUNCTION("""COMPUTED_VALUE"""),"-")</f>
        <v>-</v>
      </c>
      <c r="H438" t="str">
        <f>IFERROR(__xludf.DUMMYFUNCTION("""COMPUTED_VALUE"""),"-")</f>
        <v>-</v>
      </c>
      <c r="I438" t="str">
        <f>IFERROR(__xludf.DUMMYFUNCTION("""COMPUTED_VALUE"""),"-")</f>
        <v>-</v>
      </c>
      <c r="J438" t="str">
        <f>IFERROR(__xludf.DUMMYFUNCTION("""COMPUTED_VALUE"""),"-")</f>
        <v>-</v>
      </c>
      <c r="K438" t="str">
        <f>IFERROR(__xludf.DUMMYFUNCTION("""COMPUTED_VALUE"""),"-")</f>
        <v>-</v>
      </c>
      <c r="L438" t="str">
        <f>IFERROR(__xludf.DUMMYFUNCTION("""COMPUTED_VALUE"""),"-")</f>
        <v>-</v>
      </c>
      <c r="M438" t="str">
        <f>IFERROR(__xludf.DUMMYFUNCTION("""COMPUTED_VALUE"""),"-")</f>
        <v>-</v>
      </c>
      <c r="O438" t="str">
        <f>IFERROR(__xludf.DUMMYFUNCTION("""COMPUTED_VALUE"""),"#437")</f>
        <v>#437</v>
      </c>
      <c r="P438" t="str">
        <f>IFERROR(__xludf.DUMMYFUNCTION("""COMPUTED_VALUE"""),"Frédérique Lardet")</f>
        <v>Frédérique Lardet</v>
      </c>
      <c r="Q438">
        <f>IFERROR(__xludf.DUMMYFUNCTION("""COMPUTED_VALUE"""),5038.0)</f>
        <v>5038</v>
      </c>
      <c r="R438" t="str">
        <f>IFERROR(__xludf.DUMMYFUNCTION("""COMPUTED_VALUE"""),"-")</f>
        <v>-</v>
      </c>
      <c r="S438" t="str">
        <f>IFERROR(__xludf.DUMMYFUNCTION("""COMPUTED_VALUE"""),"-")</f>
        <v>-</v>
      </c>
      <c r="T438" t="str">
        <f>IFERROR(__xludf.DUMMYFUNCTION("""COMPUTED_VALUE"""),"-")</f>
        <v>-</v>
      </c>
      <c r="U438" t="str">
        <f>IFERROR(__xludf.DUMMYFUNCTION("""COMPUTED_VALUE"""),"-")</f>
        <v>-</v>
      </c>
      <c r="V438" t="str">
        <f>IFERROR(__xludf.DUMMYFUNCTION("""COMPUTED_VALUE"""),"-")</f>
        <v>-</v>
      </c>
      <c r="W438" t="str">
        <f>IFERROR(__xludf.DUMMYFUNCTION("""COMPUTED_VALUE"""),"-")</f>
        <v>-</v>
      </c>
      <c r="X438" t="str">
        <f>IFERROR(__xludf.DUMMYFUNCTION("""COMPUTED_VALUE"""),"-")</f>
        <v>-</v>
      </c>
      <c r="Y438" t="str">
        <f>IFERROR(__xludf.DUMMYFUNCTION("""COMPUTED_VALUE"""),"-")</f>
        <v>-</v>
      </c>
      <c r="Z438" t="str">
        <f>IFERROR(__xludf.DUMMYFUNCTION("""COMPUTED_VALUE"""),"-")</f>
        <v>-</v>
      </c>
      <c r="AA438" t="str">
        <f>IFERROR(__xludf.DUMMYFUNCTION("""COMPUTED_VALUE"""),"-")</f>
        <v>-</v>
      </c>
    </row>
    <row r="439">
      <c r="A439" t="str">
        <f>IFERROR(__xludf.DUMMYFUNCTION("""COMPUTED_VALUE"""),"#438")</f>
        <v>#438</v>
      </c>
      <c r="B439" t="str">
        <f>IFERROR(__xludf.DUMMYFUNCTION("""COMPUTED_VALUE"""),"Martin Malvy")</f>
        <v>Martin Malvy</v>
      </c>
      <c r="C439">
        <f>IFERROR(__xludf.DUMMYFUNCTION("""COMPUTED_VALUE"""),5034.0)</f>
        <v>5034</v>
      </c>
      <c r="D439" t="str">
        <f>IFERROR(__xludf.DUMMYFUNCTION("""COMPUTED_VALUE"""),"-")</f>
        <v>-</v>
      </c>
      <c r="E439" t="str">
        <f>IFERROR(__xludf.DUMMYFUNCTION("""COMPUTED_VALUE"""),"-")</f>
        <v>-</v>
      </c>
      <c r="F439" t="str">
        <f>IFERROR(__xludf.DUMMYFUNCTION("""COMPUTED_VALUE"""),"-")</f>
        <v>-</v>
      </c>
      <c r="G439" t="str">
        <f>IFERROR(__xludf.DUMMYFUNCTION("""COMPUTED_VALUE"""),"-")</f>
        <v>-</v>
      </c>
      <c r="H439" t="str">
        <f>IFERROR(__xludf.DUMMYFUNCTION("""COMPUTED_VALUE"""),"-")</f>
        <v>-</v>
      </c>
      <c r="I439" t="str">
        <f>IFERROR(__xludf.DUMMYFUNCTION("""COMPUTED_VALUE"""),"-")</f>
        <v>-</v>
      </c>
      <c r="J439" t="str">
        <f>IFERROR(__xludf.DUMMYFUNCTION("""COMPUTED_VALUE"""),"-")</f>
        <v>-</v>
      </c>
      <c r="K439" t="str">
        <f>IFERROR(__xludf.DUMMYFUNCTION("""COMPUTED_VALUE"""),"-")</f>
        <v>-</v>
      </c>
      <c r="L439" t="str">
        <f>IFERROR(__xludf.DUMMYFUNCTION("""COMPUTED_VALUE"""),"-")</f>
        <v>-</v>
      </c>
      <c r="M439" t="str">
        <f>IFERROR(__xludf.DUMMYFUNCTION("""COMPUTED_VALUE"""),"-")</f>
        <v>-</v>
      </c>
      <c r="O439" t="str">
        <f>IFERROR(__xludf.DUMMYFUNCTION("""COMPUTED_VALUE"""),"#438")</f>
        <v>#438</v>
      </c>
      <c r="P439" t="str">
        <f>IFERROR(__xludf.DUMMYFUNCTION("""COMPUTED_VALUE"""),"Martin Malvy")</f>
        <v>Martin Malvy</v>
      </c>
      <c r="Q439">
        <f>IFERROR(__xludf.DUMMYFUNCTION("""COMPUTED_VALUE"""),5034.0)</f>
        <v>5034</v>
      </c>
      <c r="R439" t="str">
        <f>IFERROR(__xludf.DUMMYFUNCTION("""COMPUTED_VALUE"""),"-")</f>
        <v>-</v>
      </c>
      <c r="S439" t="str">
        <f>IFERROR(__xludf.DUMMYFUNCTION("""COMPUTED_VALUE"""),"-")</f>
        <v>-</v>
      </c>
      <c r="T439" t="str">
        <f>IFERROR(__xludf.DUMMYFUNCTION("""COMPUTED_VALUE"""),"-")</f>
        <v>-</v>
      </c>
      <c r="U439" t="str">
        <f>IFERROR(__xludf.DUMMYFUNCTION("""COMPUTED_VALUE"""),"-")</f>
        <v>-</v>
      </c>
      <c r="V439" t="str">
        <f>IFERROR(__xludf.DUMMYFUNCTION("""COMPUTED_VALUE"""),"-")</f>
        <v>-</v>
      </c>
      <c r="W439" t="str">
        <f>IFERROR(__xludf.DUMMYFUNCTION("""COMPUTED_VALUE"""),"-")</f>
        <v>-</v>
      </c>
      <c r="X439" t="str">
        <f>IFERROR(__xludf.DUMMYFUNCTION("""COMPUTED_VALUE"""),"-")</f>
        <v>-</v>
      </c>
      <c r="Y439" t="str">
        <f>IFERROR(__xludf.DUMMYFUNCTION("""COMPUTED_VALUE"""),"-")</f>
        <v>-</v>
      </c>
      <c r="Z439" t="str">
        <f>IFERROR(__xludf.DUMMYFUNCTION("""COMPUTED_VALUE"""),"-")</f>
        <v>-</v>
      </c>
      <c r="AA439" t="str">
        <f>IFERROR(__xludf.DUMMYFUNCTION("""COMPUTED_VALUE"""),"-")</f>
        <v>-</v>
      </c>
    </row>
    <row r="440">
      <c r="A440" t="str">
        <f>IFERROR(__xludf.DUMMYFUNCTION("""COMPUTED_VALUE"""),"#439")</f>
        <v>#439</v>
      </c>
      <c r="B440" t="str">
        <f>IFERROR(__xludf.DUMMYFUNCTION("""COMPUTED_VALUE"""),"Philippe Michel Kleisbauer")</f>
        <v>Philippe Michel Kleisbauer</v>
      </c>
      <c r="C440">
        <f>IFERROR(__xludf.DUMMYFUNCTION("""COMPUTED_VALUE"""),4880.0)</f>
        <v>4880</v>
      </c>
      <c r="D440" t="str">
        <f>IFERROR(__xludf.DUMMYFUNCTION("""COMPUTED_VALUE"""),"-")</f>
        <v>-</v>
      </c>
      <c r="E440" t="str">
        <f>IFERROR(__xludf.DUMMYFUNCTION("""COMPUTED_VALUE"""),"-")</f>
        <v>-</v>
      </c>
      <c r="F440" t="str">
        <f>IFERROR(__xludf.DUMMYFUNCTION("""COMPUTED_VALUE"""),"-")</f>
        <v>-</v>
      </c>
      <c r="G440" t="str">
        <f>IFERROR(__xludf.DUMMYFUNCTION("""COMPUTED_VALUE"""),"-")</f>
        <v>-</v>
      </c>
      <c r="H440" t="str">
        <f>IFERROR(__xludf.DUMMYFUNCTION("""COMPUTED_VALUE"""),"-")</f>
        <v>-</v>
      </c>
      <c r="I440" t="str">
        <f>IFERROR(__xludf.DUMMYFUNCTION("""COMPUTED_VALUE"""),"-")</f>
        <v>-</v>
      </c>
      <c r="J440" t="str">
        <f>IFERROR(__xludf.DUMMYFUNCTION("""COMPUTED_VALUE"""),"-")</f>
        <v>-</v>
      </c>
      <c r="K440" t="str">
        <f>IFERROR(__xludf.DUMMYFUNCTION("""COMPUTED_VALUE"""),"-")</f>
        <v>-</v>
      </c>
      <c r="L440" t="str">
        <f>IFERROR(__xludf.DUMMYFUNCTION("""COMPUTED_VALUE"""),"-")</f>
        <v>-</v>
      </c>
      <c r="M440" t="str">
        <f>IFERROR(__xludf.DUMMYFUNCTION("""COMPUTED_VALUE"""),"-")</f>
        <v>-</v>
      </c>
      <c r="O440" t="str">
        <f>IFERROR(__xludf.DUMMYFUNCTION("""COMPUTED_VALUE"""),"#439")</f>
        <v>#439</v>
      </c>
      <c r="P440" t="str">
        <f>IFERROR(__xludf.DUMMYFUNCTION("""COMPUTED_VALUE"""),"Philippe Michel Kleisbauer")</f>
        <v>Philippe Michel Kleisbauer</v>
      </c>
      <c r="Q440">
        <f>IFERROR(__xludf.DUMMYFUNCTION("""COMPUTED_VALUE"""),4880.0)</f>
        <v>4880</v>
      </c>
      <c r="R440" t="str">
        <f>IFERROR(__xludf.DUMMYFUNCTION("""COMPUTED_VALUE"""),"-")</f>
        <v>-</v>
      </c>
      <c r="S440" t="str">
        <f>IFERROR(__xludf.DUMMYFUNCTION("""COMPUTED_VALUE"""),"-")</f>
        <v>-</v>
      </c>
      <c r="T440" t="str">
        <f>IFERROR(__xludf.DUMMYFUNCTION("""COMPUTED_VALUE"""),"-")</f>
        <v>-</v>
      </c>
      <c r="U440" t="str">
        <f>IFERROR(__xludf.DUMMYFUNCTION("""COMPUTED_VALUE"""),"-")</f>
        <v>-</v>
      </c>
      <c r="V440" t="str">
        <f>IFERROR(__xludf.DUMMYFUNCTION("""COMPUTED_VALUE"""),"-")</f>
        <v>-</v>
      </c>
      <c r="W440" t="str">
        <f>IFERROR(__xludf.DUMMYFUNCTION("""COMPUTED_VALUE"""),"-")</f>
        <v>-</v>
      </c>
      <c r="X440" t="str">
        <f>IFERROR(__xludf.DUMMYFUNCTION("""COMPUTED_VALUE"""),"-")</f>
        <v>-</v>
      </c>
      <c r="Y440" t="str">
        <f>IFERROR(__xludf.DUMMYFUNCTION("""COMPUTED_VALUE"""),"-")</f>
        <v>-</v>
      </c>
      <c r="Z440" t="str">
        <f>IFERROR(__xludf.DUMMYFUNCTION("""COMPUTED_VALUE"""),"-")</f>
        <v>-</v>
      </c>
      <c r="AA440" t="str">
        <f>IFERROR(__xludf.DUMMYFUNCTION("""COMPUTED_VALUE"""),"-")</f>
        <v>-</v>
      </c>
    </row>
    <row r="441">
      <c r="A441" t="str">
        <f>IFERROR(__xludf.DUMMYFUNCTION("""COMPUTED_VALUE"""),"#440")</f>
        <v>#440</v>
      </c>
      <c r="B441" t="str">
        <f>IFERROR(__xludf.DUMMYFUNCTION("""COMPUTED_VALUE"""),"Alain Joyandet")</f>
        <v>Alain Joyandet</v>
      </c>
      <c r="C441">
        <f>IFERROR(__xludf.DUMMYFUNCTION("""COMPUTED_VALUE"""),4830.0)</f>
        <v>4830</v>
      </c>
      <c r="D441" t="str">
        <f>IFERROR(__xludf.DUMMYFUNCTION("""COMPUTED_VALUE"""),"-")</f>
        <v>-</v>
      </c>
      <c r="E441" t="str">
        <f>IFERROR(__xludf.DUMMYFUNCTION("""COMPUTED_VALUE"""),"-")</f>
        <v>-</v>
      </c>
      <c r="F441" t="str">
        <f>IFERROR(__xludf.DUMMYFUNCTION("""COMPUTED_VALUE"""),"-")</f>
        <v>-</v>
      </c>
      <c r="G441" t="str">
        <f>IFERROR(__xludf.DUMMYFUNCTION("""COMPUTED_VALUE"""),"-")</f>
        <v>-</v>
      </c>
      <c r="H441" t="str">
        <f>IFERROR(__xludf.DUMMYFUNCTION("""COMPUTED_VALUE"""),"-")</f>
        <v>-</v>
      </c>
      <c r="I441" t="str">
        <f>IFERROR(__xludf.DUMMYFUNCTION("""COMPUTED_VALUE"""),"-")</f>
        <v>-</v>
      </c>
      <c r="J441" t="str">
        <f>IFERROR(__xludf.DUMMYFUNCTION("""COMPUTED_VALUE"""),"-")</f>
        <v>-</v>
      </c>
      <c r="K441" t="str">
        <f>IFERROR(__xludf.DUMMYFUNCTION("""COMPUTED_VALUE"""),"-")</f>
        <v>-</v>
      </c>
      <c r="L441" t="str">
        <f>IFERROR(__xludf.DUMMYFUNCTION("""COMPUTED_VALUE"""),"-")</f>
        <v>-</v>
      </c>
      <c r="M441" t="str">
        <f>IFERROR(__xludf.DUMMYFUNCTION("""COMPUTED_VALUE"""),"-")</f>
        <v>-</v>
      </c>
      <c r="O441" t="str">
        <f>IFERROR(__xludf.DUMMYFUNCTION("""COMPUTED_VALUE"""),"#440")</f>
        <v>#440</v>
      </c>
      <c r="P441" t="str">
        <f>IFERROR(__xludf.DUMMYFUNCTION("""COMPUTED_VALUE"""),"Alain Joyandet")</f>
        <v>Alain Joyandet</v>
      </c>
      <c r="Q441">
        <f>IFERROR(__xludf.DUMMYFUNCTION("""COMPUTED_VALUE"""),4830.0)</f>
        <v>4830</v>
      </c>
      <c r="R441" t="str">
        <f>IFERROR(__xludf.DUMMYFUNCTION("""COMPUTED_VALUE"""),"-")</f>
        <v>-</v>
      </c>
      <c r="S441" t="str">
        <f>IFERROR(__xludf.DUMMYFUNCTION("""COMPUTED_VALUE"""),"-")</f>
        <v>-</v>
      </c>
      <c r="T441" t="str">
        <f>IFERROR(__xludf.DUMMYFUNCTION("""COMPUTED_VALUE"""),"-")</f>
        <v>-</v>
      </c>
      <c r="U441" t="str">
        <f>IFERROR(__xludf.DUMMYFUNCTION("""COMPUTED_VALUE"""),"-")</f>
        <v>-</v>
      </c>
      <c r="V441" t="str">
        <f>IFERROR(__xludf.DUMMYFUNCTION("""COMPUTED_VALUE"""),"-")</f>
        <v>-</v>
      </c>
      <c r="W441" t="str">
        <f>IFERROR(__xludf.DUMMYFUNCTION("""COMPUTED_VALUE"""),"-")</f>
        <v>-</v>
      </c>
      <c r="X441" t="str">
        <f>IFERROR(__xludf.DUMMYFUNCTION("""COMPUTED_VALUE"""),"-")</f>
        <v>-</v>
      </c>
      <c r="Y441" t="str">
        <f>IFERROR(__xludf.DUMMYFUNCTION("""COMPUTED_VALUE"""),"-")</f>
        <v>-</v>
      </c>
      <c r="Z441" t="str">
        <f>IFERROR(__xludf.DUMMYFUNCTION("""COMPUTED_VALUE"""),"-")</f>
        <v>-</v>
      </c>
      <c r="AA441" t="str">
        <f>IFERROR(__xludf.DUMMYFUNCTION("""COMPUTED_VALUE"""),"-")</f>
        <v>-</v>
      </c>
    </row>
    <row r="442">
      <c r="A442" t="str">
        <f>IFERROR(__xludf.DUMMYFUNCTION("""COMPUTED_VALUE"""),"#441")</f>
        <v>#441</v>
      </c>
      <c r="B442" t="str">
        <f>IFERROR(__xludf.DUMMYFUNCTION("""COMPUTED_VALUE"""),"Sylvain Waserman")</f>
        <v>Sylvain Waserman</v>
      </c>
      <c r="C442">
        <f>IFERROR(__xludf.DUMMYFUNCTION("""COMPUTED_VALUE"""),4810.0)</f>
        <v>4810</v>
      </c>
      <c r="D442" t="str">
        <f>IFERROR(__xludf.DUMMYFUNCTION("""COMPUTED_VALUE"""),"-")</f>
        <v>-</v>
      </c>
      <c r="E442" t="str">
        <f>IFERROR(__xludf.DUMMYFUNCTION("""COMPUTED_VALUE"""),"-")</f>
        <v>-</v>
      </c>
      <c r="F442" t="str">
        <f>IFERROR(__xludf.DUMMYFUNCTION("""COMPUTED_VALUE"""),"-")</f>
        <v>-</v>
      </c>
      <c r="G442" t="str">
        <f>IFERROR(__xludf.DUMMYFUNCTION("""COMPUTED_VALUE"""),"-")</f>
        <v>-</v>
      </c>
      <c r="H442" t="str">
        <f>IFERROR(__xludf.DUMMYFUNCTION("""COMPUTED_VALUE"""),"-")</f>
        <v>-</v>
      </c>
      <c r="I442" t="str">
        <f>IFERROR(__xludf.DUMMYFUNCTION("""COMPUTED_VALUE"""),"-")</f>
        <v>-</v>
      </c>
      <c r="J442" t="str">
        <f>IFERROR(__xludf.DUMMYFUNCTION("""COMPUTED_VALUE"""),"-")</f>
        <v>-</v>
      </c>
      <c r="K442" t="str">
        <f>IFERROR(__xludf.DUMMYFUNCTION("""COMPUTED_VALUE"""),"-")</f>
        <v>-</v>
      </c>
      <c r="L442" t="str">
        <f>IFERROR(__xludf.DUMMYFUNCTION("""COMPUTED_VALUE"""),"-")</f>
        <v>-</v>
      </c>
      <c r="M442" t="str">
        <f>IFERROR(__xludf.DUMMYFUNCTION("""COMPUTED_VALUE"""),"-")</f>
        <v>-</v>
      </c>
      <c r="O442" t="str">
        <f>IFERROR(__xludf.DUMMYFUNCTION("""COMPUTED_VALUE"""),"#441")</f>
        <v>#441</v>
      </c>
      <c r="P442" t="str">
        <f>IFERROR(__xludf.DUMMYFUNCTION("""COMPUTED_VALUE"""),"Sylvain Waserman")</f>
        <v>Sylvain Waserman</v>
      </c>
      <c r="Q442">
        <f>IFERROR(__xludf.DUMMYFUNCTION("""COMPUTED_VALUE"""),4810.0)</f>
        <v>4810</v>
      </c>
      <c r="R442" t="str">
        <f>IFERROR(__xludf.DUMMYFUNCTION("""COMPUTED_VALUE"""),"-")</f>
        <v>-</v>
      </c>
      <c r="S442" t="str">
        <f>IFERROR(__xludf.DUMMYFUNCTION("""COMPUTED_VALUE"""),"-")</f>
        <v>-</v>
      </c>
      <c r="T442" t="str">
        <f>IFERROR(__xludf.DUMMYFUNCTION("""COMPUTED_VALUE"""),"-")</f>
        <v>-</v>
      </c>
      <c r="U442" t="str">
        <f>IFERROR(__xludf.DUMMYFUNCTION("""COMPUTED_VALUE"""),"-")</f>
        <v>-</v>
      </c>
      <c r="V442" t="str">
        <f>IFERROR(__xludf.DUMMYFUNCTION("""COMPUTED_VALUE"""),"-")</f>
        <v>-</v>
      </c>
      <c r="W442" t="str">
        <f>IFERROR(__xludf.DUMMYFUNCTION("""COMPUTED_VALUE"""),"-")</f>
        <v>-</v>
      </c>
      <c r="X442" t="str">
        <f>IFERROR(__xludf.DUMMYFUNCTION("""COMPUTED_VALUE"""),"-")</f>
        <v>-</v>
      </c>
      <c r="Y442" t="str">
        <f>IFERROR(__xludf.DUMMYFUNCTION("""COMPUTED_VALUE"""),"-")</f>
        <v>-</v>
      </c>
      <c r="Z442" t="str">
        <f>IFERROR(__xludf.DUMMYFUNCTION("""COMPUTED_VALUE"""),"-")</f>
        <v>-</v>
      </c>
      <c r="AA442" t="str">
        <f>IFERROR(__xludf.DUMMYFUNCTION("""COMPUTED_VALUE"""),"-")</f>
        <v>-</v>
      </c>
    </row>
    <row r="443">
      <c r="A443" t="str">
        <f>IFERROR(__xludf.DUMMYFUNCTION("""COMPUTED_VALUE"""),"#442")</f>
        <v>#442</v>
      </c>
      <c r="B443" t="str">
        <f>IFERROR(__xludf.DUMMYFUNCTION("""COMPUTED_VALUE"""),"Jean-Marie Verani")</f>
        <v>Jean-Marie Verani</v>
      </c>
      <c r="C443">
        <f>IFERROR(__xludf.DUMMYFUNCTION("""COMPUTED_VALUE"""),4792.0)</f>
        <v>4792</v>
      </c>
      <c r="D443" t="str">
        <f>IFERROR(__xludf.DUMMYFUNCTION("""COMPUTED_VALUE"""),"-")</f>
        <v>-</v>
      </c>
      <c r="E443" t="str">
        <f>IFERROR(__xludf.DUMMYFUNCTION("""COMPUTED_VALUE"""),"-")</f>
        <v>-</v>
      </c>
      <c r="F443" t="str">
        <f>IFERROR(__xludf.DUMMYFUNCTION("""COMPUTED_VALUE"""),"-")</f>
        <v>-</v>
      </c>
      <c r="G443" t="str">
        <f>IFERROR(__xludf.DUMMYFUNCTION("""COMPUTED_VALUE"""),"-")</f>
        <v>-</v>
      </c>
      <c r="H443" t="str">
        <f>IFERROR(__xludf.DUMMYFUNCTION("""COMPUTED_VALUE"""),"-")</f>
        <v>-</v>
      </c>
      <c r="I443" t="str">
        <f>IFERROR(__xludf.DUMMYFUNCTION("""COMPUTED_VALUE"""),"-")</f>
        <v>-</v>
      </c>
      <c r="J443" t="str">
        <f>IFERROR(__xludf.DUMMYFUNCTION("""COMPUTED_VALUE"""),"-")</f>
        <v>-</v>
      </c>
      <c r="K443" t="str">
        <f>IFERROR(__xludf.DUMMYFUNCTION("""COMPUTED_VALUE"""),"-")</f>
        <v>-</v>
      </c>
      <c r="L443" t="str">
        <f>IFERROR(__xludf.DUMMYFUNCTION("""COMPUTED_VALUE"""),"-")</f>
        <v>-</v>
      </c>
      <c r="M443" t="str">
        <f>IFERROR(__xludf.DUMMYFUNCTION("""COMPUTED_VALUE"""),"-")</f>
        <v>-</v>
      </c>
      <c r="O443" t="str">
        <f>IFERROR(__xludf.DUMMYFUNCTION("""COMPUTED_VALUE"""),"#442")</f>
        <v>#442</v>
      </c>
      <c r="P443" t="str">
        <f>IFERROR(__xludf.DUMMYFUNCTION("""COMPUTED_VALUE"""),"Jean-Marie Verani")</f>
        <v>Jean-Marie Verani</v>
      </c>
      <c r="Q443">
        <f>IFERROR(__xludf.DUMMYFUNCTION("""COMPUTED_VALUE"""),4792.0)</f>
        <v>4792</v>
      </c>
      <c r="R443" t="str">
        <f>IFERROR(__xludf.DUMMYFUNCTION("""COMPUTED_VALUE"""),"-")</f>
        <v>-</v>
      </c>
      <c r="S443" t="str">
        <f>IFERROR(__xludf.DUMMYFUNCTION("""COMPUTED_VALUE"""),"-")</f>
        <v>-</v>
      </c>
      <c r="T443" t="str">
        <f>IFERROR(__xludf.DUMMYFUNCTION("""COMPUTED_VALUE"""),"-")</f>
        <v>-</v>
      </c>
      <c r="U443" t="str">
        <f>IFERROR(__xludf.DUMMYFUNCTION("""COMPUTED_VALUE"""),"-")</f>
        <v>-</v>
      </c>
      <c r="V443" t="str">
        <f>IFERROR(__xludf.DUMMYFUNCTION("""COMPUTED_VALUE"""),"-")</f>
        <v>-</v>
      </c>
      <c r="W443" t="str">
        <f>IFERROR(__xludf.DUMMYFUNCTION("""COMPUTED_VALUE"""),"-")</f>
        <v>-</v>
      </c>
      <c r="X443" t="str">
        <f>IFERROR(__xludf.DUMMYFUNCTION("""COMPUTED_VALUE"""),"-")</f>
        <v>-</v>
      </c>
      <c r="Y443" t="str">
        <f>IFERROR(__xludf.DUMMYFUNCTION("""COMPUTED_VALUE"""),"-")</f>
        <v>-</v>
      </c>
      <c r="Z443" t="str">
        <f>IFERROR(__xludf.DUMMYFUNCTION("""COMPUTED_VALUE"""),"-")</f>
        <v>-</v>
      </c>
      <c r="AA443" t="str">
        <f>IFERROR(__xludf.DUMMYFUNCTION("""COMPUTED_VALUE"""),"-")</f>
        <v>-</v>
      </c>
    </row>
    <row r="444">
      <c r="A444" t="str">
        <f>IFERROR(__xludf.DUMMYFUNCTION("""COMPUTED_VALUE"""),"#443")</f>
        <v>#443</v>
      </c>
      <c r="B444" t="str">
        <f>IFERROR(__xludf.DUMMYFUNCTION("""COMPUTED_VALUE"""),"Quentin Lamotte")</f>
        <v>Quentin Lamotte</v>
      </c>
      <c r="C444">
        <f>IFERROR(__xludf.DUMMYFUNCTION("""COMPUTED_VALUE"""),4770.0)</f>
        <v>4770</v>
      </c>
      <c r="D444" t="str">
        <f>IFERROR(__xludf.DUMMYFUNCTION("""COMPUTED_VALUE"""),"-")</f>
        <v>-</v>
      </c>
      <c r="E444" t="str">
        <f>IFERROR(__xludf.DUMMYFUNCTION("""COMPUTED_VALUE"""),"-")</f>
        <v>-</v>
      </c>
      <c r="F444" t="str">
        <f>IFERROR(__xludf.DUMMYFUNCTION("""COMPUTED_VALUE"""),"-")</f>
        <v>-</v>
      </c>
      <c r="G444" t="str">
        <f>IFERROR(__xludf.DUMMYFUNCTION("""COMPUTED_VALUE"""),"-")</f>
        <v>-</v>
      </c>
      <c r="H444" t="str">
        <f>IFERROR(__xludf.DUMMYFUNCTION("""COMPUTED_VALUE"""),"-")</f>
        <v>-</v>
      </c>
      <c r="I444" t="str">
        <f>IFERROR(__xludf.DUMMYFUNCTION("""COMPUTED_VALUE"""),"-")</f>
        <v>-</v>
      </c>
      <c r="J444" t="str">
        <f>IFERROR(__xludf.DUMMYFUNCTION("""COMPUTED_VALUE"""),"-")</f>
        <v>-</v>
      </c>
      <c r="K444" t="str">
        <f>IFERROR(__xludf.DUMMYFUNCTION("""COMPUTED_VALUE"""),"-")</f>
        <v>-</v>
      </c>
      <c r="L444" t="str">
        <f>IFERROR(__xludf.DUMMYFUNCTION("""COMPUTED_VALUE"""),"-")</f>
        <v>-</v>
      </c>
      <c r="M444" t="str">
        <f>IFERROR(__xludf.DUMMYFUNCTION("""COMPUTED_VALUE"""),"-")</f>
        <v>-</v>
      </c>
      <c r="O444" t="str">
        <f>IFERROR(__xludf.DUMMYFUNCTION("""COMPUTED_VALUE"""),"#443")</f>
        <v>#443</v>
      </c>
      <c r="P444" t="str">
        <f>IFERROR(__xludf.DUMMYFUNCTION("""COMPUTED_VALUE"""),"Quentin Lamotte")</f>
        <v>Quentin Lamotte</v>
      </c>
      <c r="Q444">
        <f>IFERROR(__xludf.DUMMYFUNCTION("""COMPUTED_VALUE"""),4770.0)</f>
        <v>4770</v>
      </c>
      <c r="R444" t="str">
        <f>IFERROR(__xludf.DUMMYFUNCTION("""COMPUTED_VALUE"""),"-")</f>
        <v>-</v>
      </c>
      <c r="S444" t="str">
        <f>IFERROR(__xludf.DUMMYFUNCTION("""COMPUTED_VALUE"""),"-")</f>
        <v>-</v>
      </c>
      <c r="T444" t="str">
        <f>IFERROR(__xludf.DUMMYFUNCTION("""COMPUTED_VALUE"""),"-")</f>
        <v>-</v>
      </c>
      <c r="U444" t="str">
        <f>IFERROR(__xludf.DUMMYFUNCTION("""COMPUTED_VALUE"""),"-")</f>
        <v>-</v>
      </c>
      <c r="V444" t="str">
        <f>IFERROR(__xludf.DUMMYFUNCTION("""COMPUTED_VALUE"""),"-")</f>
        <v>-</v>
      </c>
      <c r="W444" t="str">
        <f>IFERROR(__xludf.DUMMYFUNCTION("""COMPUTED_VALUE"""),"-")</f>
        <v>-</v>
      </c>
      <c r="X444" t="str">
        <f>IFERROR(__xludf.DUMMYFUNCTION("""COMPUTED_VALUE"""),"-")</f>
        <v>-</v>
      </c>
      <c r="Y444" t="str">
        <f>IFERROR(__xludf.DUMMYFUNCTION("""COMPUTED_VALUE"""),"-")</f>
        <v>-</v>
      </c>
      <c r="Z444" t="str">
        <f>IFERROR(__xludf.DUMMYFUNCTION("""COMPUTED_VALUE"""),"-")</f>
        <v>-</v>
      </c>
      <c r="AA444" t="str">
        <f>IFERROR(__xludf.DUMMYFUNCTION("""COMPUTED_VALUE"""),"-")</f>
        <v>-</v>
      </c>
    </row>
    <row r="445">
      <c r="A445" t="str">
        <f>IFERROR(__xludf.DUMMYFUNCTION("""COMPUTED_VALUE"""),"#444")</f>
        <v>#444</v>
      </c>
      <c r="B445" t="str">
        <f>IFERROR(__xludf.DUMMYFUNCTION("""COMPUTED_VALUE"""),"Sophie Dion")</f>
        <v>Sophie Dion</v>
      </c>
      <c r="C445">
        <f>IFERROR(__xludf.DUMMYFUNCTION("""COMPUTED_VALUE"""),4766.0)</f>
        <v>4766</v>
      </c>
      <c r="D445" t="str">
        <f>IFERROR(__xludf.DUMMYFUNCTION("""COMPUTED_VALUE"""),"-")</f>
        <v>-</v>
      </c>
      <c r="E445" t="str">
        <f>IFERROR(__xludf.DUMMYFUNCTION("""COMPUTED_VALUE"""),"-")</f>
        <v>-</v>
      </c>
      <c r="F445" t="str">
        <f>IFERROR(__xludf.DUMMYFUNCTION("""COMPUTED_VALUE"""),"-")</f>
        <v>-</v>
      </c>
      <c r="G445" t="str">
        <f>IFERROR(__xludf.DUMMYFUNCTION("""COMPUTED_VALUE"""),"-")</f>
        <v>-</v>
      </c>
      <c r="H445" t="str">
        <f>IFERROR(__xludf.DUMMYFUNCTION("""COMPUTED_VALUE"""),"-")</f>
        <v>-</v>
      </c>
      <c r="I445" t="str">
        <f>IFERROR(__xludf.DUMMYFUNCTION("""COMPUTED_VALUE"""),"-")</f>
        <v>-</v>
      </c>
      <c r="J445" t="str">
        <f>IFERROR(__xludf.DUMMYFUNCTION("""COMPUTED_VALUE"""),"-")</f>
        <v>-</v>
      </c>
      <c r="K445" t="str">
        <f>IFERROR(__xludf.DUMMYFUNCTION("""COMPUTED_VALUE"""),"-")</f>
        <v>-</v>
      </c>
      <c r="L445" t="str">
        <f>IFERROR(__xludf.DUMMYFUNCTION("""COMPUTED_VALUE"""),"-")</f>
        <v>-</v>
      </c>
      <c r="M445" t="str">
        <f>IFERROR(__xludf.DUMMYFUNCTION("""COMPUTED_VALUE"""),"-")</f>
        <v>-</v>
      </c>
      <c r="O445" t="str">
        <f>IFERROR(__xludf.DUMMYFUNCTION("""COMPUTED_VALUE"""),"#444")</f>
        <v>#444</v>
      </c>
      <c r="P445" t="str">
        <f>IFERROR(__xludf.DUMMYFUNCTION("""COMPUTED_VALUE"""),"Sophie Dion")</f>
        <v>Sophie Dion</v>
      </c>
      <c r="Q445">
        <f>IFERROR(__xludf.DUMMYFUNCTION("""COMPUTED_VALUE"""),4766.0)</f>
        <v>4766</v>
      </c>
      <c r="R445" t="str">
        <f>IFERROR(__xludf.DUMMYFUNCTION("""COMPUTED_VALUE"""),"-")</f>
        <v>-</v>
      </c>
      <c r="S445" t="str">
        <f>IFERROR(__xludf.DUMMYFUNCTION("""COMPUTED_VALUE"""),"-")</f>
        <v>-</v>
      </c>
      <c r="T445" t="str">
        <f>IFERROR(__xludf.DUMMYFUNCTION("""COMPUTED_VALUE"""),"-")</f>
        <v>-</v>
      </c>
      <c r="U445" t="str">
        <f>IFERROR(__xludf.DUMMYFUNCTION("""COMPUTED_VALUE"""),"-")</f>
        <v>-</v>
      </c>
      <c r="V445" t="str">
        <f>IFERROR(__xludf.DUMMYFUNCTION("""COMPUTED_VALUE"""),"-")</f>
        <v>-</v>
      </c>
      <c r="W445" t="str">
        <f>IFERROR(__xludf.DUMMYFUNCTION("""COMPUTED_VALUE"""),"-")</f>
        <v>-</v>
      </c>
      <c r="X445" t="str">
        <f>IFERROR(__xludf.DUMMYFUNCTION("""COMPUTED_VALUE"""),"-")</f>
        <v>-</v>
      </c>
      <c r="Y445" t="str">
        <f>IFERROR(__xludf.DUMMYFUNCTION("""COMPUTED_VALUE"""),"-")</f>
        <v>-</v>
      </c>
      <c r="Z445" t="str">
        <f>IFERROR(__xludf.DUMMYFUNCTION("""COMPUTED_VALUE"""),"-")</f>
        <v>-</v>
      </c>
      <c r="AA445" t="str">
        <f>IFERROR(__xludf.DUMMYFUNCTION("""COMPUTED_VALUE"""),"-")</f>
        <v>-</v>
      </c>
    </row>
    <row r="446">
      <c r="A446" t="str">
        <f>IFERROR(__xludf.DUMMYFUNCTION("""COMPUTED_VALUE"""),"#445")</f>
        <v>#445</v>
      </c>
      <c r="B446" t="str">
        <f>IFERROR(__xludf.DUMMYFUNCTION("""COMPUTED_VALUE"""),"Éric Richermoz")</f>
        <v>Éric Richermoz</v>
      </c>
      <c r="C446">
        <f>IFERROR(__xludf.DUMMYFUNCTION("""COMPUTED_VALUE"""),4745.0)</f>
        <v>4745</v>
      </c>
      <c r="D446" t="str">
        <f>IFERROR(__xludf.DUMMYFUNCTION("""COMPUTED_VALUE"""),"-")</f>
        <v>-</v>
      </c>
      <c r="E446" t="str">
        <f>IFERROR(__xludf.DUMMYFUNCTION("""COMPUTED_VALUE"""),"-")</f>
        <v>-</v>
      </c>
      <c r="F446" t="str">
        <f>IFERROR(__xludf.DUMMYFUNCTION("""COMPUTED_VALUE"""),"-")</f>
        <v>-</v>
      </c>
      <c r="G446" t="str">
        <f>IFERROR(__xludf.DUMMYFUNCTION("""COMPUTED_VALUE"""),"-")</f>
        <v>-</v>
      </c>
      <c r="H446" t="str">
        <f>IFERROR(__xludf.DUMMYFUNCTION("""COMPUTED_VALUE"""),"-")</f>
        <v>-</v>
      </c>
      <c r="I446" t="str">
        <f>IFERROR(__xludf.DUMMYFUNCTION("""COMPUTED_VALUE"""),"-")</f>
        <v>-</v>
      </c>
      <c r="J446" t="str">
        <f>IFERROR(__xludf.DUMMYFUNCTION("""COMPUTED_VALUE"""),"-")</f>
        <v>-</v>
      </c>
      <c r="K446" t="str">
        <f>IFERROR(__xludf.DUMMYFUNCTION("""COMPUTED_VALUE"""),"-")</f>
        <v>-</v>
      </c>
      <c r="L446" t="str">
        <f>IFERROR(__xludf.DUMMYFUNCTION("""COMPUTED_VALUE"""),"-")</f>
        <v>-</v>
      </c>
      <c r="M446" t="str">
        <f>IFERROR(__xludf.DUMMYFUNCTION("""COMPUTED_VALUE"""),"-")</f>
        <v>-</v>
      </c>
      <c r="O446" t="str">
        <f>IFERROR(__xludf.DUMMYFUNCTION("""COMPUTED_VALUE"""),"#445")</f>
        <v>#445</v>
      </c>
      <c r="P446" t="str">
        <f>IFERROR(__xludf.DUMMYFUNCTION("""COMPUTED_VALUE"""),"Éric Richermoz")</f>
        <v>Éric Richermoz</v>
      </c>
      <c r="Q446">
        <f>IFERROR(__xludf.DUMMYFUNCTION("""COMPUTED_VALUE"""),4745.0)</f>
        <v>4745</v>
      </c>
      <c r="R446" t="str">
        <f>IFERROR(__xludf.DUMMYFUNCTION("""COMPUTED_VALUE"""),"-")</f>
        <v>-</v>
      </c>
      <c r="S446" t="str">
        <f>IFERROR(__xludf.DUMMYFUNCTION("""COMPUTED_VALUE"""),"-")</f>
        <v>-</v>
      </c>
      <c r="T446" t="str">
        <f>IFERROR(__xludf.DUMMYFUNCTION("""COMPUTED_VALUE"""),"-")</f>
        <v>-</v>
      </c>
      <c r="U446" t="str">
        <f>IFERROR(__xludf.DUMMYFUNCTION("""COMPUTED_VALUE"""),"-")</f>
        <v>-</v>
      </c>
      <c r="V446" t="str">
        <f>IFERROR(__xludf.DUMMYFUNCTION("""COMPUTED_VALUE"""),"-")</f>
        <v>-</v>
      </c>
      <c r="W446" t="str">
        <f>IFERROR(__xludf.DUMMYFUNCTION("""COMPUTED_VALUE"""),"-")</f>
        <v>-</v>
      </c>
      <c r="X446" t="str">
        <f>IFERROR(__xludf.DUMMYFUNCTION("""COMPUTED_VALUE"""),"-")</f>
        <v>-</v>
      </c>
      <c r="Y446" t="str">
        <f>IFERROR(__xludf.DUMMYFUNCTION("""COMPUTED_VALUE"""),"-")</f>
        <v>-</v>
      </c>
      <c r="Z446" t="str">
        <f>IFERROR(__xludf.DUMMYFUNCTION("""COMPUTED_VALUE"""),"-")</f>
        <v>-</v>
      </c>
      <c r="AA446" t="str">
        <f>IFERROR(__xludf.DUMMYFUNCTION("""COMPUTED_VALUE"""),"-")</f>
        <v>-</v>
      </c>
    </row>
    <row r="447">
      <c r="A447" t="str">
        <f>IFERROR(__xludf.DUMMYFUNCTION("""COMPUTED_VALUE"""),"#446")</f>
        <v>#446</v>
      </c>
      <c r="B447" t="str">
        <f>IFERROR(__xludf.DUMMYFUNCTION("""COMPUTED_VALUE"""),"Jean Pierre Enjalbert")</f>
        <v>Jean Pierre Enjalbert</v>
      </c>
      <c r="C447">
        <f>IFERROR(__xludf.DUMMYFUNCTION("""COMPUTED_VALUE"""),4714.0)</f>
        <v>4714</v>
      </c>
      <c r="D447" t="str">
        <f>IFERROR(__xludf.DUMMYFUNCTION("""COMPUTED_VALUE"""),"-")</f>
        <v>-</v>
      </c>
      <c r="E447" t="str">
        <f>IFERROR(__xludf.DUMMYFUNCTION("""COMPUTED_VALUE"""),"-")</f>
        <v>-</v>
      </c>
      <c r="F447" t="str">
        <f>IFERROR(__xludf.DUMMYFUNCTION("""COMPUTED_VALUE"""),"-")</f>
        <v>-</v>
      </c>
      <c r="G447" t="str">
        <f>IFERROR(__xludf.DUMMYFUNCTION("""COMPUTED_VALUE"""),"-")</f>
        <v>-</v>
      </c>
      <c r="H447" t="str">
        <f>IFERROR(__xludf.DUMMYFUNCTION("""COMPUTED_VALUE"""),"-")</f>
        <v>-</v>
      </c>
      <c r="I447" t="str">
        <f>IFERROR(__xludf.DUMMYFUNCTION("""COMPUTED_VALUE"""),"-")</f>
        <v>-</v>
      </c>
      <c r="J447" t="str">
        <f>IFERROR(__xludf.DUMMYFUNCTION("""COMPUTED_VALUE"""),"-")</f>
        <v>-</v>
      </c>
      <c r="K447" t="str">
        <f>IFERROR(__xludf.DUMMYFUNCTION("""COMPUTED_VALUE"""),"-")</f>
        <v>-</v>
      </c>
      <c r="L447" t="str">
        <f>IFERROR(__xludf.DUMMYFUNCTION("""COMPUTED_VALUE"""),"-")</f>
        <v>-</v>
      </c>
      <c r="M447" t="str">
        <f>IFERROR(__xludf.DUMMYFUNCTION("""COMPUTED_VALUE"""),"-")</f>
        <v>-</v>
      </c>
      <c r="O447" t="str">
        <f>IFERROR(__xludf.DUMMYFUNCTION("""COMPUTED_VALUE"""),"#446")</f>
        <v>#446</v>
      </c>
      <c r="P447" t="str">
        <f>IFERROR(__xludf.DUMMYFUNCTION("""COMPUTED_VALUE"""),"Jean Pierre Enjalbert")</f>
        <v>Jean Pierre Enjalbert</v>
      </c>
      <c r="Q447">
        <f>IFERROR(__xludf.DUMMYFUNCTION("""COMPUTED_VALUE"""),4714.0)</f>
        <v>4714</v>
      </c>
      <c r="R447" t="str">
        <f>IFERROR(__xludf.DUMMYFUNCTION("""COMPUTED_VALUE"""),"-")</f>
        <v>-</v>
      </c>
      <c r="S447" t="str">
        <f>IFERROR(__xludf.DUMMYFUNCTION("""COMPUTED_VALUE"""),"-")</f>
        <v>-</v>
      </c>
      <c r="T447" t="str">
        <f>IFERROR(__xludf.DUMMYFUNCTION("""COMPUTED_VALUE"""),"-")</f>
        <v>-</v>
      </c>
      <c r="U447" t="str">
        <f>IFERROR(__xludf.DUMMYFUNCTION("""COMPUTED_VALUE"""),"-")</f>
        <v>-</v>
      </c>
      <c r="V447" t="str">
        <f>IFERROR(__xludf.DUMMYFUNCTION("""COMPUTED_VALUE"""),"-")</f>
        <v>-</v>
      </c>
      <c r="W447" t="str">
        <f>IFERROR(__xludf.DUMMYFUNCTION("""COMPUTED_VALUE"""),"-")</f>
        <v>-</v>
      </c>
      <c r="X447" t="str">
        <f>IFERROR(__xludf.DUMMYFUNCTION("""COMPUTED_VALUE"""),"-")</f>
        <v>-</v>
      </c>
      <c r="Y447" t="str">
        <f>IFERROR(__xludf.DUMMYFUNCTION("""COMPUTED_VALUE"""),"-")</f>
        <v>-</v>
      </c>
      <c r="Z447" t="str">
        <f>IFERROR(__xludf.DUMMYFUNCTION("""COMPUTED_VALUE"""),"-")</f>
        <v>-</v>
      </c>
      <c r="AA447" t="str">
        <f>IFERROR(__xludf.DUMMYFUNCTION("""COMPUTED_VALUE"""),"-")</f>
        <v>-</v>
      </c>
    </row>
    <row r="448">
      <c r="A448" t="str">
        <f>IFERROR(__xludf.DUMMYFUNCTION("""COMPUTED_VALUE"""),"#447")</f>
        <v>#447</v>
      </c>
      <c r="B448" t="str">
        <f>IFERROR(__xludf.DUMMYFUNCTION("""COMPUTED_VALUE"""),"Guillaume Lacroix")</f>
        <v>Guillaume Lacroix</v>
      </c>
      <c r="C448">
        <f>IFERROR(__xludf.DUMMYFUNCTION("""COMPUTED_VALUE"""),4702.0)</f>
        <v>4702</v>
      </c>
      <c r="D448" t="str">
        <f>IFERROR(__xludf.DUMMYFUNCTION("""COMPUTED_VALUE"""),"-")</f>
        <v>-</v>
      </c>
      <c r="E448" t="str">
        <f>IFERROR(__xludf.DUMMYFUNCTION("""COMPUTED_VALUE"""),"-")</f>
        <v>-</v>
      </c>
      <c r="F448" t="str">
        <f>IFERROR(__xludf.DUMMYFUNCTION("""COMPUTED_VALUE"""),"-")</f>
        <v>-</v>
      </c>
      <c r="G448" t="str">
        <f>IFERROR(__xludf.DUMMYFUNCTION("""COMPUTED_VALUE"""),"-")</f>
        <v>-</v>
      </c>
      <c r="H448" t="str">
        <f>IFERROR(__xludf.DUMMYFUNCTION("""COMPUTED_VALUE"""),"-")</f>
        <v>-</v>
      </c>
      <c r="I448" t="str">
        <f>IFERROR(__xludf.DUMMYFUNCTION("""COMPUTED_VALUE"""),"-")</f>
        <v>-</v>
      </c>
      <c r="J448" t="str">
        <f>IFERROR(__xludf.DUMMYFUNCTION("""COMPUTED_VALUE"""),"-")</f>
        <v>-</v>
      </c>
      <c r="K448" t="str">
        <f>IFERROR(__xludf.DUMMYFUNCTION("""COMPUTED_VALUE"""),"-")</f>
        <v>-</v>
      </c>
      <c r="L448" t="str">
        <f>IFERROR(__xludf.DUMMYFUNCTION("""COMPUTED_VALUE"""),"-")</f>
        <v>-</v>
      </c>
      <c r="M448" t="str">
        <f>IFERROR(__xludf.DUMMYFUNCTION("""COMPUTED_VALUE"""),"-")</f>
        <v>-</v>
      </c>
      <c r="O448" t="str">
        <f>IFERROR(__xludf.DUMMYFUNCTION("""COMPUTED_VALUE"""),"#447")</f>
        <v>#447</v>
      </c>
      <c r="P448" t="str">
        <f>IFERROR(__xludf.DUMMYFUNCTION("""COMPUTED_VALUE"""),"Guillaume Lacroix")</f>
        <v>Guillaume Lacroix</v>
      </c>
      <c r="Q448">
        <f>IFERROR(__xludf.DUMMYFUNCTION("""COMPUTED_VALUE"""),4702.0)</f>
        <v>4702</v>
      </c>
      <c r="R448" t="str">
        <f>IFERROR(__xludf.DUMMYFUNCTION("""COMPUTED_VALUE"""),"-")</f>
        <v>-</v>
      </c>
      <c r="S448" t="str">
        <f>IFERROR(__xludf.DUMMYFUNCTION("""COMPUTED_VALUE"""),"-")</f>
        <v>-</v>
      </c>
      <c r="T448" t="str">
        <f>IFERROR(__xludf.DUMMYFUNCTION("""COMPUTED_VALUE"""),"-")</f>
        <v>-</v>
      </c>
      <c r="U448" t="str">
        <f>IFERROR(__xludf.DUMMYFUNCTION("""COMPUTED_VALUE"""),"-")</f>
        <v>-</v>
      </c>
      <c r="V448" t="str">
        <f>IFERROR(__xludf.DUMMYFUNCTION("""COMPUTED_VALUE"""),"-")</f>
        <v>-</v>
      </c>
      <c r="W448" t="str">
        <f>IFERROR(__xludf.DUMMYFUNCTION("""COMPUTED_VALUE"""),"-")</f>
        <v>-</v>
      </c>
      <c r="X448" t="str">
        <f>IFERROR(__xludf.DUMMYFUNCTION("""COMPUTED_VALUE"""),"-")</f>
        <v>-</v>
      </c>
      <c r="Y448" t="str">
        <f>IFERROR(__xludf.DUMMYFUNCTION("""COMPUTED_VALUE"""),"-")</f>
        <v>-</v>
      </c>
      <c r="Z448" t="str">
        <f>IFERROR(__xludf.DUMMYFUNCTION("""COMPUTED_VALUE"""),"-")</f>
        <v>-</v>
      </c>
      <c r="AA448" t="str">
        <f>IFERROR(__xludf.DUMMYFUNCTION("""COMPUTED_VALUE"""),"-")</f>
        <v>-</v>
      </c>
    </row>
    <row r="449">
      <c r="A449" t="str">
        <f>IFERROR(__xludf.DUMMYFUNCTION("""COMPUTED_VALUE"""),"#448")</f>
        <v>#448</v>
      </c>
      <c r="B449" t="str">
        <f>IFERROR(__xludf.DUMMYFUNCTION("""COMPUTED_VALUE"""),"Hervé de Lépinau")</f>
        <v>Hervé de Lépinau</v>
      </c>
      <c r="C449">
        <f>IFERROR(__xludf.DUMMYFUNCTION("""COMPUTED_VALUE"""),4659.0)</f>
        <v>4659</v>
      </c>
      <c r="D449" t="str">
        <f>IFERROR(__xludf.DUMMYFUNCTION("""COMPUTED_VALUE"""),"-")</f>
        <v>-</v>
      </c>
      <c r="E449" t="str">
        <f>IFERROR(__xludf.DUMMYFUNCTION("""COMPUTED_VALUE"""),"-")</f>
        <v>-</v>
      </c>
      <c r="F449" t="str">
        <f>IFERROR(__xludf.DUMMYFUNCTION("""COMPUTED_VALUE"""),"-")</f>
        <v>-</v>
      </c>
      <c r="G449" t="str">
        <f>IFERROR(__xludf.DUMMYFUNCTION("""COMPUTED_VALUE"""),"-")</f>
        <v>-</v>
      </c>
      <c r="H449" t="str">
        <f>IFERROR(__xludf.DUMMYFUNCTION("""COMPUTED_VALUE"""),"-")</f>
        <v>-</v>
      </c>
      <c r="I449" t="str">
        <f>IFERROR(__xludf.DUMMYFUNCTION("""COMPUTED_VALUE"""),"-")</f>
        <v>-</v>
      </c>
      <c r="J449" t="str">
        <f>IFERROR(__xludf.DUMMYFUNCTION("""COMPUTED_VALUE"""),"-")</f>
        <v>-</v>
      </c>
      <c r="K449" t="str">
        <f>IFERROR(__xludf.DUMMYFUNCTION("""COMPUTED_VALUE"""),"-")</f>
        <v>-</v>
      </c>
      <c r="L449" t="str">
        <f>IFERROR(__xludf.DUMMYFUNCTION("""COMPUTED_VALUE"""),"-")</f>
        <v>-</v>
      </c>
      <c r="M449" t="str">
        <f>IFERROR(__xludf.DUMMYFUNCTION("""COMPUTED_VALUE"""),"-")</f>
        <v>-</v>
      </c>
      <c r="O449" t="str">
        <f>IFERROR(__xludf.DUMMYFUNCTION("""COMPUTED_VALUE"""),"#448")</f>
        <v>#448</v>
      </c>
      <c r="P449" t="str">
        <f>IFERROR(__xludf.DUMMYFUNCTION("""COMPUTED_VALUE"""),"Hervé de Lépinau")</f>
        <v>Hervé de Lépinau</v>
      </c>
      <c r="Q449">
        <f>IFERROR(__xludf.DUMMYFUNCTION("""COMPUTED_VALUE"""),4659.0)</f>
        <v>4659</v>
      </c>
      <c r="R449" t="str">
        <f>IFERROR(__xludf.DUMMYFUNCTION("""COMPUTED_VALUE"""),"-")</f>
        <v>-</v>
      </c>
      <c r="S449" t="str">
        <f>IFERROR(__xludf.DUMMYFUNCTION("""COMPUTED_VALUE"""),"-")</f>
        <v>-</v>
      </c>
      <c r="T449" t="str">
        <f>IFERROR(__xludf.DUMMYFUNCTION("""COMPUTED_VALUE"""),"-")</f>
        <v>-</v>
      </c>
      <c r="U449" t="str">
        <f>IFERROR(__xludf.DUMMYFUNCTION("""COMPUTED_VALUE"""),"-")</f>
        <v>-</v>
      </c>
      <c r="V449" t="str">
        <f>IFERROR(__xludf.DUMMYFUNCTION("""COMPUTED_VALUE"""),"-")</f>
        <v>-</v>
      </c>
      <c r="W449" t="str">
        <f>IFERROR(__xludf.DUMMYFUNCTION("""COMPUTED_VALUE"""),"-")</f>
        <v>-</v>
      </c>
      <c r="X449" t="str">
        <f>IFERROR(__xludf.DUMMYFUNCTION("""COMPUTED_VALUE"""),"-")</f>
        <v>-</v>
      </c>
      <c r="Y449" t="str">
        <f>IFERROR(__xludf.DUMMYFUNCTION("""COMPUTED_VALUE"""),"-")</f>
        <v>-</v>
      </c>
      <c r="Z449" t="str">
        <f>IFERROR(__xludf.DUMMYFUNCTION("""COMPUTED_VALUE"""),"-")</f>
        <v>-</v>
      </c>
      <c r="AA449" t="str">
        <f>IFERROR(__xludf.DUMMYFUNCTION("""COMPUTED_VALUE"""),"-")</f>
        <v>-</v>
      </c>
    </row>
    <row r="450">
      <c r="A450" t="str">
        <f>IFERROR(__xludf.DUMMYFUNCTION("""COMPUTED_VALUE"""),"#449")</f>
        <v>#449</v>
      </c>
      <c r="B450" t="str">
        <f>IFERROR(__xludf.DUMMYFUNCTION("""COMPUTED_VALUE"""),"Patrice Prat")</f>
        <v>Patrice Prat</v>
      </c>
      <c r="C450">
        <f>IFERROR(__xludf.DUMMYFUNCTION("""COMPUTED_VALUE"""),4619.0)</f>
        <v>4619</v>
      </c>
      <c r="D450" t="str">
        <f>IFERROR(__xludf.DUMMYFUNCTION("""COMPUTED_VALUE"""),"-")</f>
        <v>-</v>
      </c>
      <c r="E450" t="str">
        <f>IFERROR(__xludf.DUMMYFUNCTION("""COMPUTED_VALUE"""),"-")</f>
        <v>-</v>
      </c>
      <c r="F450" t="str">
        <f>IFERROR(__xludf.DUMMYFUNCTION("""COMPUTED_VALUE"""),"-")</f>
        <v>-</v>
      </c>
      <c r="G450" t="str">
        <f>IFERROR(__xludf.DUMMYFUNCTION("""COMPUTED_VALUE"""),"-")</f>
        <v>-</v>
      </c>
      <c r="H450" t="str">
        <f>IFERROR(__xludf.DUMMYFUNCTION("""COMPUTED_VALUE"""),"-")</f>
        <v>-</v>
      </c>
      <c r="I450" t="str">
        <f>IFERROR(__xludf.DUMMYFUNCTION("""COMPUTED_VALUE"""),"-")</f>
        <v>-</v>
      </c>
      <c r="J450" t="str">
        <f>IFERROR(__xludf.DUMMYFUNCTION("""COMPUTED_VALUE"""),"-")</f>
        <v>-</v>
      </c>
      <c r="K450" t="str">
        <f>IFERROR(__xludf.DUMMYFUNCTION("""COMPUTED_VALUE"""),"-")</f>
        <v>-</v>
      </c>
      <c r="L450" t="str">
        <f>IFERROR(__xludf.DUMMYFUNCTION("""COMPUTED_VALUE"""),"-")</f>
        <v>-</v>
      </c>
      <c r="M450" t="str">
        <f>IFERROR(__xludf.DUMMYFUNCTION("""COMPUTED_VALUE"""),"-")</f>
        <v>-</v>
      </c>
      <c r="O450" t="str">
        <f>IFERROR(__xludf.DUMMYFUNCTION("""COMPUTED_VALUE"""),"#449")</f>
        <v>#449</v>
      </c>
      <c r="P450" t="str">
        <f>IFERROR(__xludf.DUMMYFUNCTION("""COMPUTED_VALUE"""),"Patrice Prat")</f>
        <v>Patrice Prat</v>
      </c>
      <c r="Q450">
        <f>IFERROR(__xludf.DUMMYFUNCTION("""COMPUTED_VALUE"""),4619.0)</f>
        <v>4619</v>
      </c>
      <c r="R450" t="str">
        <f>IFERROR(__xludf.DUMMYFUNCTION("""COMPUTED_VALUE"""),"-")</f>
        <v>-</v>
      </c>
      <c r="S450" t="str">
        <f>IFERROR(__xludf.DUMMYFUNCTION("""COMPUTED_VALUE"""),"-")</f>
        <v>-</v>
      </c>
      <c r="T450" t="str">
        <f>IFERROR(__xludf.DUMMYFUNCTION("""COMPUTED_VALUE"""),"-")</f>
        <v>-</v>
      </c>
      <c r="U450" t="str">
        <f>IFERROR(__xludf.DUMMYFUNCTION("""COMPUTED_VALUE"""),"-")</f>
        <v>-</v>
      </c>
      <c r="V450" t="str">
        <f>IFERROR(__xludf.DUMMYFUNCTION("""COMPUTED_VALUE"""),"-")</f>
        <v>-</v>
      </c>
      <c r="W450" t="str">
        <f>IFERROR(__xludf.DUMMYFUNCTION("""COMPUTED_VALUE"""),"-")</f>
        <v>-</v>
      </c>
      <c r="X450" t="str">
        <f>IFERROR(__xludf.DUMMYFUNCTION("""COMPUTED_VALUE"""),"-")</f>
        <v>-</v>
      </c>
      <c r="Y450" t="str">
        <f>IFERROR(__xludf.DUMMYFUNCTION("""COMPUTED_VALUE"""),"-")</f>
        <v>-</v>
      </c>
      <c r="Z450" t="str">
        <f>IFERROR(__xludf.DUMMYFUNCTION("""COMPUTED_VALUE"""),"-")</f>
        <v>-</v>
      </c>
      <c r="AA450" t="str">
        <f>IFERROR(__xludf.DUMMYFUNCTION("""COMPUTED_VALUE"""),"-")</f>
        <v>-</v>
      </c>
    </row>
    <row r="451">
      <c r="A451" t="str">
        <f>IFERROR(__xludf.DUMMYFUNCTION("""COMPUTED_VALUE"""),"#450")</f>
        <v>#450</v>
      </c>
      <c r="B451" t="str">
        <f>IFERROR(__xludf.DUMMYFUNCTION("""COMPUTED_VALUE"""),"Naïma CharaÏ")</f>
        <v>Naïma CharaÏ</v>
      </c>
      <c r="C451">
        <f>IFERROR(__xludf.DUMMYFUNCTION("""COMPUTED_VALUE"""),4612.0)</f>
        <v>4612</v>
      </c>
      <c r="D451" t="str">
        <f>IFERROR(__xludf.DUMMYFUNCTION("""COMPUTED_VALUE"""),"-")</f>
        <v>-</v>
      </c>
      <c r="E451" t="str">
        <f>IFERROR(__xludf.DUMMYFUNCTION("""COMPUTED_VALUE"""),"-")</f>
        <v>-</v>
      </c>
      <c r="F451" t="str">
        <f>IFERROR(__xludf.DUMMYFUNCTION("""COMPUTED_VALUE"""),"-")</f>
        <v>-</v>
      </c>
      <c r="G451" t="str">
        <f>IFERROR(__xludf.DUMMYFUNCTION("""COMPUTED_VALUE"""),"-")</f>
        <v>-</v>
      </c>
      <c r="H451" t="str">
        <f>IFERROR(__xludf.DUMMYFUNCTION("""COMPUTED_VALUE"""),"-")</f>
        <v>-</v>
      </c>
      <c r="I451" t="str">
        <f>IFERROR(__xludf.DUMMYFUNCTION("""COMPUTED_VALUE"""),"-")</f>
        <v>-</v>
      </c>
      <c r="J451" t="str">
        <f>IFERROR(__xludf.DUMMYFUNCTION("""COMPUTED_VALUE"""),"-")</f>
        <v>-</v>
      </c>
      <c r="K451" t="str">
        <f>IFERROR(__xludf.DUMMYFUNCTION("""COMPUTED_VALUE"""),"-")</f>
        <v>-</v>
      </c>
      <c r="L451" t="str">
        <f>IFERROR(__xludf.DUMMYFUNCTION("""COMPUTED_VALUE"""),"-")</f>
        <v>-</v>
      </c>
      <c r="M451" t="str">
        <f>IFERROR(__xludf.DUMMYFUNCTION("""COMPUTED_VALUE"""),"-")</f>
        <v>-</v>
      </c>
      <c r="O451" t="str">
        <f>IFERROR(__xludf.DUMMYFUNCTION("""COMPUTED_VALUE"""),"#450")</f>
        <v>#450</v>
      </c>
      <c r="P451" t="str">
        <f>IFERROR(__xludf.DUMMYFUNCTION("""COMPUTED_VALUE"""),"Naïma CharaÏ")</f>
        <v>Naïma CharaÏ</v>
      </c>
      <c r="Q451">
        <f>IFERROR(__xludf.DUMMYFUNCTION("""COMPUTED_VALUE"""),4612.0)</f>
        <v>4612</v>
      </c>
      <c r="R451" t="str">
        <f>IFERROR(__xludf.DUMMYFUNCTION("""COMPUTED_VALUE"""),"-")</f>
        <v>-</v>
      </c>
      <c r="S451" t="str">
        <f>IFERROR(__xludf.DUMMYFUNCTION("""COMPUTED_VALUE"""),"-")</f>
        <v>-</v>
      </c>
      <c r="T451" t="str">
        <f>IFERROR(__xludf.DUMMYFUNCTION("""COMPUTED_VALUE"""),"-")</f>
        <v>-</v>
      </c>
      <c r="U451" t="str">
        <f>IFERROR(__xludf.DUMMYFUNCTION("""COMPUTED_VALUE"""),"-")</f>
        <v>-</v>
      </c>
      <c r="V451" t="str">
        <f>IFERROR(__xludf.DUMMYFUNCTION("""COMPUTED_VALUE"""),"-")</f>
        <v>-</v>
      </c>
      <c r="W451" t="str">
        <f>IFERROR(__xludf.DUMMYFUNCTION("""COMPUTED_VALUE"""),"-")</f>
        <v>-</v>
      </c>
      <c r="X451" t="str">
        <f>IFERROR(__xludf.DUMMYFUNCTION("""COMPUTED_VALUE"""),"-")</f>
        <v>-</v>
      </c>
      <c r="Y451" t="str">
        <f>IFERROR(__xludf.DUMMYFUNCTION("""COMPUTED_VALUE"""),"-")</f>
        <v>-</v>
      </c>
      <c r="Z451" t="str">
        <f>IFERROR(__xludf.DUMMYFUNCTION("""COMPUTED_VALUE"""),"-")</f>
        <v>-</v>
      </c>
      <c r="AA451" t="str">
        <f>IFERROR(__xludf.DUMMYFUNCTION("""COMPUTED_VALUE"""),"-")</f>
        <v>-</v>
      </c>
    </row>
    <row r="452">
      <c r="A452" t="str">
        <f>IFERROR(__xludf.DUMMYFUNCTION("""COMPUTED_VALUE"""),"#451")</f>
        <v>#451</v>
      </c>
      <c r="B452" t="str">
        <f>IFERROR(__xludf.DUMMYFUNCTION("""COMPUTED_VALUE"""),"Mathilde Androuët")</f>
        <v>Mathilde Androuët</v>
      </c>
      <c r="C452">
        <f>IFERROR(__xludf.DUMMYFUNCTION("""COMPUTED_VALUE"""),4592.0)</f>
        <v>4592</v>
      </c>
      <c r="D452" t="str">
        <f>IFERROR(__xludf.DUMMYFUNCTION("""COMPUTED_VALUE"""),"-")</f>
        <v>-</v>
      </c>
      <c r="E452" t="str">
        <f>IFERROR(__xludf.DUMMYFUNCTION("""COMPUTED_VALUE"""),"-")</f>
        <v>-</v>
      </c>
      <c r="F452" t="str">
        <f>IFERROR(__xludf.DUMMYFUNCTION("""COMPUTED_VALUE"""),"-")</f>
        <v>-</v>
      </c>
      <c r="G452" t="str">
        <f>IFERROR(__xludf.DUMMYFUNCTION("""COMPUTED_VALUE"""),"-")</f>
        <v>-</v>
      </c>
      <c r="H452" t="str">
        <f>IFERROR(__xludf.DUMMYFUNCTION("""COMPUTED_VALUE"""),"-")</f>
        <v>-</v>
      </c>
      <c r="I452" t="str">
        <f>IFERROR(__xludf.DUMMYFUNCTION("""COMPUTED_VALUE"""),"-")</f>
        <v>-</v>
      </c>
      <c r="J452" t="str">
        <f>IFERROR(__xludf.DUMMYFUNCTION("""COMPUTED_VALUE"""),"-")</f>
        <v>-</v>
      </c>
      <c r="K452" t="str">
        <f>IFERROR(__xludf.DUMMYFUNCTION("""COMPUTED_VALUE"""),"-")</f>
        <v>-</v>
      </c>
      <c r="L452" t="str">
        <f>IFERROR(__xludf.DUMMYFUNCTION("""COMPUTED_VALUE"""),"-")</f>
        <v>-</v>
      </c>
      <c r="M452" t="str">
        <f>IFERROR(__xludf.DUMMYFUNCTION("""COMPUTED_VALUE"""),"-")</f>
        <v>-</v>
      </c>
      <c r="O452" t="str">
        <f>IFERROR(__xludf.DUMMYFUNCTION("""COMPUTED_VALUE"""),"#451")</f>
        <v>#451</v>
      </c>
      <c r="P452" t="str">
        <f>IFERROR(__xludf.DUMMYFUNCTION("""COMPUTED_VALUE"""),"Mathilde Androuët")</f>
        <v>Mathilde Androuët</v>
      </c>
      <c r="Q452">
        <f>IFERROR(__xludf.DUMMYFUNCTION("""COMPUTED_VALUE"""),4592.0)</f>
        <v>4592</v>
      </c>
      <c r="R452" t="str">
        <f>IFERROR(__xludf.DUMMYFUNCTION("""COMPUTED_VALUE"""),"-")</f>
        <v>-</v>
      </c>
      <c r="S452" t="str">
        <f>IFERROR(__xludf.DUMMYFUNCTION("""COMPUTED_VALUE"""),"-")</f>
        <v>-</v>
      </c>
      <c r="T452" t="str">
        <f>IFERROR(__xludf.DUMMYFUNCTION("""COMPUTED_VALUE"""),"-")</f>
        <v>-</v>
      </c>
      <c r="U452" t="str">
        <f>IFERROR(__xludf.DUMMYFUNCTION("""COMPUTED_VALUE"""),"-")</f>
        <v>-</v>
      </c>
      <c r="V452" t="str">
        <f>IFERROR(__xludf.DUMMYFUNCTION("""COMPUTED_VALUE"""),"-")</f>
        <v>-</v>
      </c>
      <c r="W452" t="str">
        <f>IFERROR(__xludf.DUMMYFUNCTION("""COMPUTED_VALUE"""),"-")</f>
        <v>-</v>
      </c>
      <c r="X452" t="str">
        <f>IFERROR(__xludf.DUMMYFUNCTION("""COMPUTED_VALUE"""),"-")</f>
        <v>-</v>
      </c>
      <c r="Y452" t="str">
        <f>IFERROR(__xludf.DUMMYFUNCTION("""COMPUTED_VALUE"""),"-")</f>
        <v>-</v>
      </c>
      <c r="Z452" t="str">
        <f>IFERROR(__xludf.DUMMYFUNCTION("""COMPUTED_VALUE"""),"-")</f>
        <v>-</v>
      </c>
      <c r="AA452" t="str">
        <f>IFERROR(__xludf.DUMMYFUNCTION("""COMPUTED_VALUE"""),"-")</f>
        <v>-</v>
      </c>
    </row>
    <row r="453">
      <c r="A453" t="str">
        <f>IFERROR(__xludf.DUMMYFUNCTION("""COMPUTED_VALUE"""),"#452")</f>
        <v>#452</v>
      </c>
      <c r="B453" t="str">
        <f>IFERROR(__xludf.DUMMYFUNCTION("""COMPUTED_VALUE"""),"Maud Petit")</f>
        <v>Maud Petit</v>
      </c>
      <c r="C453">
        <f>IFERROR(__xludf.DUMMYFUNCTION("""COMPUTED_VALUE"""),4569.0)</f>
        <v>4569</v>
      </c>
      <c r="D453" t="str">
        <f>IFERROR(__xludf.DUMMYFUNCTION("""COMPUTED_VALUE"""),"-")</f>
        <v>-</v>
      </c>
      <c r="E453" t="str">
        <f>IFERROR(__xludf.DUMMYFUNCTION("""COMPUTED_VALUE"""),"-")</f>
        <v>-</v>
      </c>
      <c r="F453" t="str">
        <f>IFERROR(__xludf.DUMMYFUNCTION("""COMPUTED_VALUE"""),"-")</f>
        <v>-</v>
      </c>
      <c r="G453" t="str">
        <f>IFERROR(__xludf.DUMMYFUNCTION("""COMPUTED_VALUE"""),"-")</f>
        <v>-</v>
      </c>
      <c r="H453" t="str">
        <f>IFERROR(__xludf.DUMMYFUNCTION("""COMPUTED_VALUE"""),"-")</f>
        <v>-</v>
      </c>
      <c r="I453" t="str">
        <f>IFERROR(__xludf.DUMMYFUNCTION("""COMPUTED_VALUE"""),"-")</f>
        <v>-</v>
      </c>
      <c r="J453" t="str">
        <f>IFERROR(__xludf.DUMMYFUNCTION("""COMPUTED_VALUE"""),"-")</f>
        <v>-</v>
      </c>
      <c r="K453" t="str">
        <f>IFERROR(__xludf.DUMMYFUNCTION("""COMPUTED_VALUE"""),"-")</f>
        <v>-</v>
      </c>
      <c r="L453" t="str">
        <f>IFERROR(__xludf.DUMMYFUNCTION("""COMPUTED_VALUE"""),"-")</f>
        <v>-</v>
      </c>
      <c r="M453" t="str">
        <f>IFERROR(__xludf.DUMMYFUNCTION("""COMPUTED_VALUE"""),"-")</f>
        <v>-</v>
      </c>
      <c r="O453" t="str">
        <f>IFERROR(__xludf.DUMMYFUNCTION("""COMPUTED_VALUE"""),"#452")</f>
        <v>#452</v>
      </c>
      <c r="P453" t="str">
        <f>IFERROR(__xludf.DUMMYFUNCTION("""COMPUTED_VALUE"""),"Maud Petit")</f>
        <v>Maud Petit</v>
      </c>
      <c r="Q453">
        <f>IFERROR(__xludf.DUMMYFUNCTION("""COMPUTED_VALUE"""),4569.0)</f>
        <v>4569</v>
      </c>
      <c r="R453" t="str">
        <f>IFERROR(__xludf.DUMMYFUNCTION("""COMPUTED_VALUE"""),"-")</f>
        <v>-</v>
      </c>
      <c r="S453" t="str">
        <f>IFERROR(__xludf.DUMMYFUNCTION("""COMPUTED_VALUE"""),"-")</f>
        <v>-</v>
      </c>
      <c r="T453" t="str">
        <f>IFERROR(__xludf.DUMMYFUNCTION("""COMPUTED_VALUE"""),"-")</f>
        <v>-</v>
      </c>
      <c r="U453" t="str">
        <f>IFERROR(__xludf.DUMMYFUNCTION("""COMPUTED_VALUE"""),"-")</f>
        <v>-</v>
      </c>
      <c r="V453" t="str">
        <f>IFERROR(__xludf.DUMMYFUNCTION("""COMPUTED_VALUE"""),"-")</f>
        <v>-</v>
      </c>
      <c r="W453" t="str">
        <f>IFERROR(__xludf.DUMMYFUNCTION("""COMPUTED_VALUE"""),"-")</f>
        <v>-</v>
      </c>
      <c r="X453" t="str">
        <f>IFERROR(__xludf.DUMMYFUNCTION("""COMPUTED_VALUE"""),"-")</f>
        <v>-</v>
      </c>
      <c r="Y453" t="str">
        <f>IFERROR(__xludf.DUMMYFUNCTION("""COMPUTED_VALUE"""),"-")</f>
        <v>-</v>
      </c>
      <c r="Z453" t="str">
        <f>IFERROR(__xludf.DUMMYFUNCTION("""COMPUTED_VALUE"""),"-")</f>
        <v>-</v>
      </c>
      <c r="AA453" t="str">
        <f>IFERROR(__xludf.DUMMYFUNCTION("""COMPUTED_VALUE"""),"-")</f>
        <v>-</v>
      </c>
    </row>
    <row r="454">
      <c r="A454" t="str">
        <f>IFERROR(__xludf.DUMMYFUNCTION("""COMPUTED_VALUE"""),"#453")</f>
        <v>#453</v>
      </c>
      <c r="B454" t="str">
        <f>IFERROR(__xludf.DUMMYFUNCTION("""COMPUTED_VALUE"""),"Emilie Marche")</f>
        <v>Emilie Marche</v>
      </c>
      <c r="C454">
        <f>IFERROR(__xludf.DUMMYFUNCTION("""COMPUTED_VALUE"""),4445.0)</f>
        <v>4445</v>
      </c>
      <c r="D454" t="str">
        <f>IFERROR(__xludf.DUMMYFUNCTION("""COMPUTED_VALUE"""),"-")</f>
        <v>-</v>
      </c>
      <c r="E454" t="str">
        <f>IFERROR(__xludf.DUMMYFUNCTION("""COMPUTED_VALUE"""),"-")</f>
        <v>-</v>
      </c>
      <c r="F454" t="str">
        <f>IFERROR(__xludf.DUMMYFUNCTION("""COMPUTED_VALUE"""),"-")</f>
        <v>-</v>
      </c>
      <c r="G454" t="str">
        <f>IFERROR(__xludf.DUMMYFUNCTION("""COMPUTED_VALUE"""),"-")</f>
        <v>-</v>
      </c>
      <c r="H454" t="str">
        <f>IFERROR(__xludf.DUMMYFUNCTION("""COMPUTED_VALUE"""),"-")</f>
        <v>-</v>
      </c>
      <c r="I454" t="str">
        <f>IFERROR(__xludf.DUMMYFUNCTION("""COMPUTED_VALUE"""),"-")</f>
        <v>-</v>
      </c>
      <c r="J454" t="str">
        <f>IFERROR(__xludf.DUMMYFUNCTION("""COMPUTED_VALUE"""),"-")</f>
        <v>-</v>
      </c>
      <c r="K454" t="str">
        <f>IFERROR(__xludf.DUMMYFUNCTION("""COMPUTED_VALUE"""),"-")</f>
        <v>-</v>
      </c>
      <c r="L454" t="str">
        <f>IFERROR(__xludf.DUMMYFUNCTION("""COMPUTED_VALUE"""),"-")</f>
        <v>-</v>
      </c>
      <c r="M454" t="str">
        <f>IFERROR(__xludf.DUMMYFUNCTION("""COMPUTED_VALUE"""),"-")</f>
        <v>-</v>
      </c>
      <c r="O454" t="str">
        <f>IFERROR(__xludf.DUMMYFUNCTION("""COMPUTED_VALUE"""),"#453")</f>
        <v>#453</v>
      </c>
      <c r="P454" t="str">
        <f>IFERROR(__xludf.DUMMYFUNCTION("""COMPUTED_VALUE"""),"Emilie Marche")</f>
        <v>Emilie Marche</v>
      </c>
      <c r="Q454">
        <f>IFERROR(__xludf.DUMMYFUNCTION("""COMPUTED_VALUE"""),4445.0)</f>
        <v>4445</v>
      </c>
      <c r="R454" t="str">
        <f>IFERROR(__xludf.DUMMYFUNCTION("""COMPUTED_VALUE"""),"-")</f>
        <v>-</v>
      </c>
      <c r="S454" t="str">
        <f>IFERROR(__xludf.DUMMYFUNCTION("""COMPUTED_VALUE"""),"-")</f>
        <v>-</v>
      </c>
      <c r="T454" t="str">
        <f>IFERROR(__xludf.DUMMYFUNCTION("""COMPUTED_VALUE"""),"-")</f>
        <v>-</v>
      </c>
      <c r="U454" t="str">
        <f>IFERROR(__xludf.DUMMYFUNCTION("""COMPUTED_VALUE"""),"-")</f>
        <v>-</v>
      </c>
      <c r="V454" t="str">
        <f>IFERROR(__xludf.DUMMYFUNCTION("""COMPUTED_VALUE"""),"-")</f>
        <v>-</v>
      </c>
      <c r="W454" t="str">
        <f>IFERROR(__xludf.DUMMYFUNCTION("""COMPUTED_VALUE"""),"-")</f>
        <v>-</v>
      </c>
      <c r="X454" t="str">
        <f>IFERROR(__xludf.DUMMYFUNCTION("""COMPUTED_VALUE"""),"-")</f>
        <v>-</v>
      </c>
      <c r="Y454" t="str">
        <f>IFERROR(__xludf.DUMMYFUNCTION("""COMPUTED_VALUE"""),"-")</f>
        <v>-</v>
      </c>
      <c r="Z454" t="str">
        <f>IFERROR(__xludf.DUMMYFUNCTION("""COMPUTED_VALUE"""),"-")</f>
        <v>-</v>
      </c>
      <c r="AA454" t="str">
        <f>IFERROR(__xludf.DUMMYFUNCTION("""COMPUTED_VALUE"""),"-")</f>
        <v>-</v>
      </c>
    </row>
    <row r="455">
      <c r="A455" t="str">
        <f>IFERROR(__xludf.DUMMYFUNCTION("""COMPUTED_VALUE"""),"#454")</f>
        <v>#454</v>
      </c>
      <c r="B455" t="str">
        <f>IFERROR(__xludf.DUMMYFUNCTION("""COMPUTED_VALUE"""),"Jean-Jacques Bridey")</f>
        <v>Jean-Jacques Bridey</v>
      </c>
      <c r="C455">
        <f>IFERROR(__xludf.DUMMYFUNCTION("""COMPUTED_VALUE"""),4442.0)</f>
        <v>4442</v>
      </c>
      <c r="D455" t="str">
        <f>IFERROR(__xludf.DUMMYFUNCTION("""COMPUTED_VALUE"""),"-")</f>
        <v>-</v>
      </c>
      <c r="E455" t="str">
        <f>IFERROR(__xludf.DUMMYFUNCTION("""COMPUTED_VALUE"""),"-")</f>
        <v>-</v>
      </c>
      <c r="F455" t="str">
        <f>IFERROR(__xludf.DUMMYFUNCTION("""COMPUTED_VALUE"""),"-")</f>
        <v>-</v>
      </c>
      <c r="G455" t="str">
        <f>IFERROR(__xludf.DUMMYFUNCTION("""COMPUTED_VALUE"""),"-")</f>
        <v>-</v>
      </c>
      <c r="H455" t="str">
        <f>IFERROR(__xludf.DUMMYFUNCTION("""COMPUTED_VALUE"""),"-")</f>
        <v>-</v>
      </c>
      <c r="I455" t="str">
        <f>IFERROR(__xludf.DUMMYFUNCTION("""COMPUTED_VALUE"""),"-")</f>
        <v>-</v>
      </c>
      <c r="J455" t="str">
        <f>IFERROR(__xludf.DUMMYFUNCTION("""COMPUTED_VALUE"""),"-")</f>
        <v>-</v>
      </c>
      <c r="K455" t="str">
        <f>IFERROR(__xludf.DUMMYFUNCTION("""COMPUTED_VALUE"""),"-")</f>
        <v>-</v>
      </c>
      <c r="L455" t="str">
        <f>IFERROR(__xludf.DUMMYFUNCTION("""COMPUTED_VALUE"""),"-")</f>
        <v>-</v>
      </c>
      <c r="M455" t="str">
        <f>IFERROR(__xludf.DUMMYFUNCTION("""COMPUTED_VALUE"""),"-")</f>
        <v>-</v>
      </c>
      <c r="O455" t="str">
        <f>IFERROR(__xludf.DUMMYFUNCTION("""COMPUTED_VALUE"""),"#454")</f>
        <v>#454</v>
      </c>
      <c r="P455" t="str">
        <f>IFERROR(__xludf.DUMMYFUNCTION("""COMPUTED_VALUE"""),"Jean-Jacques Bridey")</f>
        <v>Jean-Jacques Bridey</v>
      </c>
      <c r="Q455">
        <f>IFERROR(__xludf.DUMMYFUNCTION("""COMPUTED_VALUE"""),4442.0)</f>
        <v>4442</v>
      </c>
      <c r="R455" t="str">
        <f>IFERROR(__xludf.DUMMYFUNCTION("""COMPUTED_VALUE"""),"-")</f>
        <v>-</v>
      </c>
      <c r="S455" t="str">
        <f>IFERROR(__xludf.DUMMYFUNCTION("""COMPUTED_VALUE"""),"-")</f>
        <v>-</v>
      </c>
      <c r="T455" t="str">
        <f>IFERROR(__xludf.DUMMYFUNCTION("""COMPUTED_VALUE"""),"-")</f>
        <v>-</v>
      </c>
      <c r="U455" t="str">
        <f>IFERROR(__xludf.DUMMYFUNCTION("""COMPUTED_VALUE"""),"-")</f>
        <v>-</v>
      </c>
      <c r="V455" t="str">
        <f>IFERROR(__xludf.DUMMYFUNCTION("""COMPUTED_VALUE"""),"-")</f>
        <v>-</v>
      </c>
      <c r="W455" t="str">
        <f>IFERROR(__xludf.DUMMYFUNCTION("""COMPUTED_VALUE"""),"-")</f>
        <v>-</v>
      </c>
      <c r="X455" t="str">
        <f>IFERROR(__xludf.DUMMYFUNCTION("""COMPUTED_VALUE"""),"-")</f>
        <v>-</v>
      </c>
      <c r="Y455" t="str">
        <f>IFERROR(__xludf.DUMMYFUNCTION("""COMPUTED_VALUE"""),"-")</f>
        <v>-</v>
      </c>
      <c r="Z455" t="str">
        <f>IFERROR(__xludf.DUMMYFUNCTION("""COMPUTED_VALUE"""),"-")</f>
        <v>-</v>
      </c>
      <c r="AA455" t="str">
        <f>IFERROR(__xludf.DUMMYFUNCTION("""COMPUTED_VALUE"""),"-")</f>
        <v>-</v>
      </c>
    </row>
    <row r="456">
      <c r="A456" t="str">
        <f>IFERROR(__xludf.DUMMYFUNCTION("""COMPUTED_VALUE"""),"#455")</f>
        <v>#455</v>
      </c>
      <c r="B456" t="str">
        <f>IFERROR(__xludf.DUMMYFUNCTION("""COMPUTED_VALUE"""),"Pascal Savoldelli")</f>
        <v>Pascal Savoldelli</v>
      </c>
      <c r="C456">
        <f>IFERROR(__xludf.DUMMYFUNCTION("""COMPUTED_VALUE"""),4395.0)</f>
        <v>4395</v>
      </c>
      <c r="D456" t="str">
        <f>IFERROR(__xludf.DUMMYFUNCTION("""COMPUTED_VALUE"""),"-")</f>
        <v>-</v>
      </c>
      <c r="E456" t="str">
        <f>IFERROR(__xludf.DUMMYFUNCTION("""COMPUTED_VALUE"""),"-")</f>
        <v>-</v>
      </c>
      <c r="F456" t="str">
        <f>IFERROR(__xludf.DUMMYFUNCTION("""COMPUTED_VALUE"""),"-")</f>
        <v>-</v>
      </c>
      <c r="G456" t="str">
        <f>IFERROR(__xludf.DUMMYFUNCTION("""COMPUTED_VALUE"""),"-")</f>
        <v>-</v>
      </c>
      <c r="H456" t="str">
        <f>IFERROR(__xludf.DUMMYFUNCTION("""COMPUTED_VALUE"""),"-")</f>
        <v>-</v>
      </c>
      <c r="I456" t="str">
        <f>IFERROR(__xludf.DUMMYFUNCTION("""COMPUTED_VALUE"""),"-")</f>
        <v>-</v>
      </c>
      <c r="J456" t="str">
        <f>IFERROR(__xludf.DUMMYFUNCTION("""COMPUTED_VALUE"""),"-")</f>
        <v>-</v>
      </c>
      <c r="K456" t="str">
        <f>IFERROR(__xludf.DUMMYFUNCTION("""COMPUTED_VALUE"""),"-")</f>
        <v>-</v>
      </c>
      <c r="L456" t="str">
        <f>IFERROR(__xludf.DUMMYFUNCTION("""COMPUTED_VALUE"""),"-")</f>
        <v>-</v>
      </c>
      <c r="M456" t="str">
        <f>IFERROR(__xludf.DUMMYFUNCTION("""COMPUTED_VALUE"""),"-")</f>
        <v>-</v>
      </c>
      <c r="O456" t="str">
        <f>IFERROR(__xludf.DUMMYFUNCTION("""COMPUTED_VALUE"""),"#455")</f>
        <v>#455</v>
      </c>
      <c r="P456" t="str">
        <f>IFERROR(__xludf.DUMMYFUNCTION("""COMPUTED_VALUE"""),"Pascal Savoldelli")</f>
        <v>Pascal Savoldelli</v>
      </c>
      <c r="Q456">
        <f>IFERROR(__xludf.DUMMYFUNCTION("""COMPUTED_VALUE"""),4395.0)</f>
        <v>4395</v>
      </c>
      <c r="R456" t="str">
        <f>IFERROR(__xludf.DUMMYFUNCTION("""COMPUTED_VALUE"""),"-")</f>
        <v>-</v>
      </c>
      <c r="S456" t="str">
        <f>IFERROR(__xludf.DUMMYFUNCTION("""COMPUTED_VALUE"""),"-")</f>
        <v>-</v>
      </c>
      <c r="T456" t="str">
        <f>IFERROR(__xludf.DUMMYFUNCTION("""COMPUTED_VALUE"""),"-")</f>
        <v>-</v>
      </c>
      <c r="U456" t="str">
        <f>IFERROR(__xludf.DUMMYFUNCTION("""COMPUTED_VALUE"""),"-")</f>
        <v>-</v>
      </c>
      <c r="V456" t="str">
        <f>IFERROR(__xludf.DUMMYFUNCTION("""COMPUTED_VALUE"""),"-")</f>
        <v>-</v>
      </c>
      <c r="W456" t="str">
        <f>IFERROR(__xludf.DUMMYFUNCTION("""COMPUTED_VALUE"""),"-")</f>
        <v>-</v>
      </c>
      <c r="X456" t="str">
        <f>IFERROR(__xludf.DUMMYFUNCTION("""COMPUTED_VALUE"""),"-")</f>
        <v>-</v>
      </c>
      <c r="Y456" t="str">
        <f>IFERROR(__xludf.DUMMYFUNCTION("""COMPUTED_VALUE"""),"-")</f>
        <v>-</v>
      </c>
      <c r="Z456" t="str">
        <f>IFERROR(__xludf.DUMMYFUNCTION("""COMPUTED_VALUE"""),"-")</f>
        <v>-</v>
      </c>
      <c r="AA456" t="str">
        <f>IFERROR(__xludf.DUMMYFUNCTION("""COMPUTED_VALUE"""),"-")</f>
        <v>-</v>
      </c>
    </row>
    <row r="457">
      <c r="A457" t="str">
        <f>IFERROR(__xludf.DUMMYFUNCTION("""COMPUTED_VALUE"""),"#456")</f>
        <v>#456</v>
      </c>
      <c r="B457" t="str">
        <f>IFERROR(__xludf.DUMMYFUNCTION("""COMPUTED_VALUE"""),"Anne-Sophie Frigout")</f>
        <v>Anne-Sophie Frigout</v>
      </c>
      <c r="C457">
        <f>IFERROR(__xludf.DUMMYFUNCTION("""COMPUTED_VALUE"""),4375.0)</f>
        <v>4375</v>
      </c>
      <c r="D457" t="str">
        <f>IFERROR(__xludf.DUMMYFUNCTION("""COMPUTED_VALUE"""),"-")</f>
        <v>-</v>
      </c>
      <c r="E457" t="str">
        <f>IFERROR(__xludf.DUMMYFUNCTION("""COMPUTED_VALUE"""),"-")</f>
        <v>-</v>
      </c>
      <c r="F457" t="str">
        <f>IFERROR(__xludf.DUMMYFUNCTION("""COMPUTED_VALUE"""),"-")</f>
        <v>-</v>
      </c>
      <c r="G457" t="str">
        <f>IFERROR(__xludf.DUMMYFUNCTION("""COMPUTED_VALUE"""),"-")</f>
        <v>-</v>
      </c>
      <c r="H457" t="str">
        <f>IFERROR(__xludf.DUMMYFUNCTION("""COMPUTED_VALUE"""),"-")</f>
        <v>-</v>
      </c>
      <c r="I457" t="str">
        <f>IFERROR(__xludf.DUMMYFUNCTION("""COMPUTED_VALUE"""),"-")</f>
        <v>-</v>
      </c>
      <c r="J457" t="str">
        <f>IFERROR(__xludf.DUMMYFUNCTION("""COMPUTED_VALUE"""),"-")</f>
        <v>-</v>
      </c>
      <c r="K457" t="str">
        <f>IFERROR(__xludf.DUMMYFUNCTION("""COMPUTED_VALUE"""),"-")</f>
        <v>-</v>
      </c>
      <c r="L457" t="str">
        <f>IFERROR(__xludf.DUMMYFUNCTION("""COMPUTED_VALUE"""),"-")</f>
        <v>-</v>
      </c>
      <c r="M457" t="str">
        <f>IFERROR(__xludf.DUMMYFUNCTION("""COMPUTED_VALUE"""),"-")</f>
        <v>-</v>
      </c>
      <c r="O457" t="str">
        <f>IFERROR(__xludf.DUMMYFUNCTION("""COMPUTED_VALUE"""),"#456")</f>
        <v>#456</v>
      </c>
      <c r="P457" t="str">
        <f>IFERROR(__xludf.DUMMYFUNCTION("""COMPUTED_VALUE"""),"Anne-Sophie Frigout")</f>
        <v>Anne-Sophie Frigout</v>
      </c>
      <c r="Q457">
        <f>IFERROR(__xludf.DUMMYFUNCTION("""COMPUTED_VALUE"""),4375.0)</f>
        <v>4375</v>
      </c>
      <c r="R457" t="str">
        <f>IFERROR(__xludf.DUMMYFUNCTION("""COMPUTED_VALUE"""),"-")</f>
        <v>-</v>
      </c>
      <c r="S457" t="str">
        <f>IFERROR(__xludf.DUMMYFUNCTION("""COMPUTED_VALUE"""),"-")</f>
        <v>-</v>
      </c>
      <c r="T457" t="str">
        <f>IFERROR(__xludf.DUMMYFUNCTION("""COMPUTED_VALUE"""),"-")</f>
        <v>-</v>
      </c>
      <c r="U457" t="str">
        <f>IFERROR(__xludf.DUMMYFUNCTION("""COMPUTED_VALUE"""),"-")</f>
        <v>-</v>
      </c>
      <c r="V457" t="str">
        <f>IFERROR(__xludf.DUMMYFUNCTION("""COMPUTED_VALUE"""),"-")</f>
        <v>-</v>
      </c>
      <c r="W457" t="str">
        <f>IFERROR(__xludf.DUMMYFUNCTION("""COMPUTED_VALUE"""),"-")</f>
        <v>-</v>
      </c>
      <c r="X457" t="str">
        <f>IFERROR(__xludf.DUMMYFUNCTION("""COMPUTED_VALUE"""),"-")</f>
        <v>-</v>
      </c>
      <c r="Y457" t="str">
        <f>IFERROR(__xludf.DUMMYFUNCTION("""COMPUTED_VALUE"""),"-")</f>
        <v>-</v>
      </c>
      <c r="Z457" t="str">
        <f>IFERROR(__xludf.DUMMYFUNCTION("""COMPUTED_VALUE"""),"-")</f>
        <v>-</v>
      </c>
      <c r="AA457" t="str">
        <f>IFERROR(__xludf.DUMMYFUNCTION("""COMPUTED_VALUE"""),"-")</f>
        <v>-</v>
      </c>
    </row>
    <row r="458">
      <c r="A458" t="str">
        <f>IFERROR(__xludf.DUMMYFUNCTION("""COMPUTED_VALUE"""),"#457")</f>
        <v>#457</v>
      </c>
      <c r="B458" t="str">
        <f>IFERROR(__xludf.DUMMYFUNCTION("""COMPUTED_VALUE"""),"Laurence Pache")</f>
        <v>Laurence Pache</v>
      </c>
      <c r="C458">
        <f>IFERROR(__xludf.DUMMYFUNCTION("""COMPUTED_VALUE"""),4285.0)</f>
        <v>4285</v>
      </c>
      <c r="D458" t="str">
        <f>IFERROR(__xludf.DUMMYFUNCTION("""COMPUTED_VALUE"""),"-")</f>
        <v>-</v>
      </c>
      <c r="E458" t="str">
        <f>IFERROR(__xludf.DUMMYFUNCTION("""COMPUTED_VALUE"""),"-")</f>
        <v>-</v>
      </c>
      <c r="F458" t="str">
        <f>IFERROR(__xludf.DUMMYFUNCTION("""COMPUTED_VALUE"""),"-")</f>
        <v>-</v>
      </c>
      <c r="G458" t="str">
        <f>IFERROR(__xludf.DUMMYFUNCTION("""COMPUTED_VALUE"""),"-")</f>
        <v>-</v>
      </c>
      <c r="H458" t="str">
        <f>IFERROR(__xludf.DUMMYFUNCTION("""COMPUTED_VALUE"""),"-")</f>
        <v>-</v>
      </c>
      <c r="I458" t="str">
        <f>IFERROR(__xludf.DUMMYFUNCTION("""COMPUTED_VALUE"""),"-")</f>
        <v>-</v>
      </c>
      <c r="J458" t="str">
        <f>IFERROR(__xludf.DUMMYFUNCTION("""COMPUTED_VALUE"""),"-")</f>
        <v>-</v>
      </c>
      <c r="K458" t="str">
        <f>IFERROR(__xludf.DUMMYFUNCTION("""COMPUTED_VALUE"""),"-")</f>
        <v>-</v>
      </c>
      <c r="L458" t="str">
        <f>IFERROR(__xludf.DUMMYFUNCTION("""COMPUTED_VALUE"""),"-")</f>
        <v>-</v>
      </c>
      <c r="M458" t="str">
        <f>IFERROR(__xludf.DUMMYFUNCTION("""COMPUTED_VALUE"""),"-")</f>
        <v>-</v>
      </c>
      <c r="O458" t="str">
        <f>IFERROR(__xludf.DUMMYFUNCTION("""COMPUTED_VALUE"""),"#457")</f>
        <v>#457</v>
      </c>
      <c r="P458" t="str">
        <f>IFERROR(__xludf.DUMMYFUNCTION("""COMPUTED_VALUE"""),"Laurence Pache")</f>
        <v>Laurence Pache</v>
      </c>
      <c r="Q458">
        <f>IFERROR(__xludf.DUMMYFUNCTION("""COMPUTED_VALUE"""),4285.0)</f>
        <v>4285</v>
      </c>
      <c r="R458" t="str">
        <f>IFERROR(__xludf.DUMMYFUNCTION("""COMPUTED_VALUE"""),"-")</f>
        <v>-</v>
      </c>
      <c r="S458" t="str">
        <f>IFERROR(__xludf.DUMMYFUNCTION("""COMPUTED_VALUE"""),"-")</f>
        <v>-</v>
      </c>
      <c r="T458" t="str">
        <f>IFERROR(__xludf.DUMMYFUNCTION("""COMPUTED_VALUE"""),"-")</f>
        <v>-</v>
      </c>
      <c r="U458" t="str">
        <f>IFERROR(__xludf.DUMMYFUNCTION("""COMPUTED_VALUE"""),"-")</f>
        <v>-</v>
      </c>
      <c r="V458" t="str">
        <f>IFERROR(__xludf.DUMMYFUNCTION("""COMPUTED_VALUE"""),"-")</f>
        <v>-</v>
      </c>
      <c r="W458" t="str">
        <f>IFERROR(__xludf.DUMMYFUNCTION("""COMPUTED_VALUE"""),"-")</f>
        <v>-</v>
      </c>
      <c r="X458" t="str">
        <f>IFERROR(__xludf.DUMMYFUNCTION("""COMPUTED_VALUE"""),"-")</f>
        <v>-</v>
      </c>
      <c r="Y458" t="str">
        <f>IFERROR(__xludf.DUMMYFUNCTION("""COMPUTED_VALUE"""),"-")</f>
        <v>-</v>
      </c>
      <c r="Z458" t="str">
        <f>IFERROR(__xludf.DUMMYFUNCTION("""COMPUTED_VALUE"""),"-")</f>
        <v>-</v>
      </c>
      <c r="AA458" t="str">
        <f>IFERROR(__xludf.DUMMYFUNCTION("""COMPUTED_VALUE"""),"-")</f>
        <v>-</v>
      </c>
    </row>
    <row r="459">
      <c r="A459" t="str">
        <f>IFERROR(__xludf.DUMMYFUNCTION("""COMPUTED_VALUE"""),"#458")</f>
        <v>#458</v>
      </c>
      <c r="B459" t="str">
        <f>IFERROR(__xludf.DUMMYFUNCTION("""COMPUTED_VALUE"""),"Alain Carignon")</f>
        <v>Alain Carignon</v>
      </c>
      <c r="C459">
        <f>IFERROR(__xludf.DUMMYFUNCTION("""COMPUTED_VALUE"""),4248.0)</f>
        <v>4248</v>
      </c>
      <c r="D459" t="str">
        <f>IFERROR(__xludf.DUMMYFUNCTION("""COMPUTED_VALUE"""),"-")</f>
        <v>-</v>
      </c>
      <c r="E459" t="str">
        <f>IFERROR(__xludf.DUMMYFUNCTION("""COMPUTED_VALUE"""),"-")</f>
        <v>-</v>
      </c>
      <c r="F459" t="str">
        <f>IFERROR(__xludf.DUMMYFUNCTION("""COMPUTED_VALUE"""),"-")</f>
        <v>-</v>
      </c>
      <c r="G459" t="str">
        <f>IFERROR(__xludf.DUMMYFUNCTION("""COMPUTED_VALUE"""),"-")</f>
        <v>-</v>
      </c>
      <c r="H459" t="str">
        <f>IFERROR(__xludf.DUMMYFUNCTION("""COMPUTED_VALUE"""),"-")</f>
        <v>-</v>
      </c>
      <c r="I459" t="str">
        <f>IFERROR(__xludf.DUMMYFUNCTION("""COMPUTED_VALUE"""),"-")</f>
        <v>-</v>
      </c>
      <c r="J459" t="str">
        <f>IFERROR(__xludf.DUMMYFUNCTION("""COMPUTED_VALUE"""),"-")</f>
        <v>-</v>
      </c>
      <c r="K459" t="str">
        <f>IFERROR(__xludf.DUMMYFUNCTION("""COMPUTED_VALUE"""),"-")</f>
        <v>-</v>
      </c>
      <c r="L459" t="str">
        <f>IFERROR(__xludf.DUMMYFUNCTION("""COMPUTED_VALUE"""),"-")</f>
        <v>-</v>
      </c>
      <c r="M459" t="str">
        <f>IFERROR(__xludf.DUMMYFUNCTION("""COMPUTED_VALUE"""),"-")</f>
        <v>-</v>
      </c>
      <c r="O459" t="str">
        <f>IFERROR(__xludf.DUMMYFUNCTION("""COMPUTED_VALUE"""),"#458")</f>
        <v>#458</v>
      </c>
      <c r="P459" t="str">
        <f>IFERROR(__xludf.DUMMYFUNCTION("""COMPUTED_VALUE"""),"Alain Carignon")</f>
        <v>Alain Carignon</v>
      </c>
      <c r="Q459">
        <f>IFERROR(__xludf.DUMMYFUNCTION("""COMPUTED_VALUE"""),4248.0)</f>
        <v>4248</v>
      </c>
      <c r="R459" t="str">
        <f>IFERROR(__xludf.DUMMYFUNCTION("""COMPUTED_VALUE"""),"-")</f>
        <v>-</v>
      </c>
      <c r="S459" t="str">
        <f>IFERROR(__xludf.DUMMYFUNCTION("""COMPUTED_VALUE"""),"-")</f>
        <v>-</v>
      </c>
      <c r="T459" t="str">
        <f>IFERROR(__xludf.DUMMYFUNCTION("""COMPUTED_VALUE"""),"-")</f>
        <v>-</v>
      </c>
      <c r="U459" t="str">
        <f>IFERROR(__xludf.DUMMYFUNCTION("""COMPUTED_VALUE"""),"-")</f>
        <v>-</v>
      </c>
      <c r="V459" t="str">
        <f>IFERROR(__xludf.DUMMYFUNCTION("""COMPUTED_VALUE"""),"-")</f>
        <v>-</v>
      </c>
      <c r="W459" t="str">
        <f>IFERROR(__xludf.DUMMYFUNCTION("""COMPUTED_VALUE"""),"-")</f>
        <v>-</v>
      </c>
      <c r="X459" t="str">
        <f>IFERROR(__xludf.DUMMYFUNCTION("""COMPUTED_VALUE"""),"-")</f>
        <v>-</v>
      </c>
      <c r="Y459" t="str">
        <f>IFERROR(__xludf.DUMMYFUNCTION("""COMPUTED_VALUE"""),"-")</f>
        <v>-</v>
      </c>
      <c r="Z459" t="str">
        <f>IFERROR(__xludf.DUMMYFUNCTION("""COMPUTED_VALUE"""),"-")</f>
        <v>-</v>
      </c>
      <c r="AA459" t="str">
        <f>IFERROR(__xludf.DUMMYFUNCTION("""COMPUTED_VALUE"""),"-")</f>
        <v>-</v>
      </c>
    </row>
    <row r="460">
      <c r="A460" t="str">
        <f>IFERROR(__xludf.DUMMYFUNCTION("""COMPUTED_VALUE"""),"#459")</f>
        <v>#459</v>
      </c>
      <c r="B460" t="str">
        <f>IFERROR(__xludf.DUMMYFUNCTION("""COMPUTED_VALUE"""),"Philippe BOLO")</f>
        <v>Philippe BOLO</v>
      </c>
      <c r="C460">
        <f>IFERROR(__xludf.DUMMYFUNCTION("""COMPUTED_VALUE"""),4241.0)</f>
        <v>4241</v>
      </c>
      <c r="D460" t="str">
        <f>IFERROR(__xludf.DUMMYFUNCTION("""COMPUTED_VALUE"""),"-")</f>
        <v>-</v>
      </c>
      <c r="E460" t="str">
        <f>IFERROR(__xludf.DUMMYFUNCTION("""COMPUTED_VALUE"""),"-")</f>
        <v>-</v>
      </c>
      <c r="F460" t="str">
        <f>IFERROR(__xludf.DUMMYFUNCTION("""COMPUTED_VALUE"""),"-")</f>
        <v>-</v>
      </c>
      <c r="G460" t="str">
        <f>IFERROR(__xludf.DUMMYFUNCTION("""COMPUTED_VALUE"""),"-")</f>
        <v>-</v>
      </c>
      <c r="H460" t="str">
        <f>IFERROR(__xludf.DUMMYFUNCTION("""COMPUTED_VALUE"""),"-")</f>
        <v>-</v>
      </c>
      <c r="I460" t="str">
        <f>IFERROR(__xludf.DUMMYFUNCTION("""COMPUTED_VALUE"""),"-")</f>
        <v>-</v>
      </c>
      <c r="J460" t="str">
        <f>IFERROR(__xludf.DUMMYFUNCTION("""COMPUTED_VALUE"""),"-")</f>
        <v>-</v>
      </c>
      <c r="K460" t="str">
        <f>IFERROR(__xludf.DUMMYFUNCTION("""COMPUTED_VALUE"""),"-")</f>
        <v>-</v>
      </c>
      <c r="L460" t="str">
        <f>IFERROR(__xludf.DUMMYFUNCTION("""COMPUTED_VALUE"""),"-")</f>
        <v>-</v>
      </c>
      <c r="M460" t="str">
        <f>IFERROR(__xludf.DUMMYFUNCTION("""COMPUTED_VALUE"""),"-")</f>
        <v>-</v>
      </c>
      <c r="O460" t="str">
        <f>IFERROR(__xludf.DUMMYFUNCTION("""COMPUTED_VALUE"""),"#459")</f>
        <v>#459</v>
      </c>
      <c r="P460" t="str">
        <f>IFERROR(__xludf.DUMMYFUNCTION("""COMPUTED_VALUE"""),"Philippe BOLO")</f>
        <v>Philippe BOLO</v>
      </c>
      <c r="Q460">
        <f>IFERROR(__xludf.DUMMYFUNCTION("""COMPUTED_VALUE"""),4241.0)</f>
        <v>4241</v>
      </c>
      <c r="R460" t="str">
        <f>IFERROR(__xludf.DUMMYFUNCTION("""COMPUTED_VALUE"""),"-")</f>
        <v>-</v>
      </c>
      <c r="S460" t="str">
        <f>IFERROR(__xludf.DUMMYFUNCTION("""COMPUTED_VALUE"""),"-")</f>
        <v>-</v>
      </c>
      <c r="T460" t="str">
        <f>IFERROR(__xludf.DUMMYFUNCTION("""COMPUTED_VALUE"""),"-")</f>
        <v>-</v>
      </c>
      <c r="U460" t="str">
        <f>IFERROR(__xludf.DUMMYFUNCTION("""COMPUTED_VALUE"""),"-")</f>
        <v>-</v>
      </c>
      <c r="V460" t="str">
        <f>IFERROR(__xludf.DUMMYFUNCTION("""COMPUTED_VALUE"""),"-")</f>
        <v>-</v>
      </c>
      <c r="W460" t="str">
        <f>IFERROR(__xludf.DUMMYFUNCTION("""COMPUTED_VALUE"""),"-")</f>
        <v>-</v>
      </c>
      <c r="X460" t="str">
        <f>IFERROR(__xludf.DUMMYFUNCTION("""COMPUTED_VALUE"""),"-")</f>
        <v>-</v>
      </c>
      <c r="Y460" t="str">
        <f>IFERROR(__xludf.DUMMYFUNCTION("""COMPUTED_VALUE"""),"-")</f>
        <v>-</v>
      </c>
      <c r="Z460" t="str">
        <f>IFERROR(__xludf.DUMMYFUNCTION("""COMPUTED_VALUE"""),"-")</f>
        <v>-</v>
      </c>
      <c r="AA460" t="str">
        <f>IFERROR(__xludf.DUMMYFUNCTION("""COMPUTED_VALUE"""),"-")</f>
        <v>-</v>
      </c>
    </row>
    <row r="461">
      <c r="A461" t="str">
        <f>IFERROR(__xludf.DUMMYFUNCTION("""COMPUTED_VALUE"""),"#460")</f>
        <v>#460</v>
      </c>
      <c r="B461" t="str">
        <f>IFERROR(__xludf.DUMMYFUNCTION("""COMPUTED_VALUE"""),"Olivier Bettati")</f>
        <v>Olivier Bettati</v>
      </c>
      <c r="C461">
        <f>IFERROR(__xludf.DUMMYFUNCTION("""COMPUTED_VALUE"""),4174.0)</f>
        <v>4174</v>
      </c>
      <c r="D461" t="str">
        <f>IFERROR(__xludf.DUMMYFUNCTION("""COMPUTED_VALUE"""),"-")</f>
        <v>-</v>
      </c>
      <c r="E461" t="str">
        <f>IFERROR(__xludf.DUMMYFUNCTION("""COMPUTED_VALUE"""),"-")</f>
        <v>-</v>
      </c>
      <c r="F461" t="str">
        <f>IFERROR(__xludf.DUMMYFUNCTION("""COMPUTED_VALUE"""),"-")</f>
        <v>-</v>
      </c>
      <c r="G461" t="str">
        <f>IFERROR(__xludf.DUMMYFUNCTION("""COMPUTED_VALUE"""),"-")</f>
        <v>-</v>
      </c>
      <c r="H461" t="str">
        <f>IFERROR(__xludf.DUMMYFUNCTION("""COMPUTED_VALUE"""),"-")</f>
        <v>-</v>
      </c>
      <c r="I461" t="str">
        <f>IFERROR(__xludf.DUMMYFUNCTION("""COMPUTED_VALUE"""),"-")</f>
        <v>-</v>
      </c>
      <c r="J461" t="str">
        <f>IFERROR(__xludf.DUMMYFUNCTION("""COMPUTED_VALUE"""),"-")</f>
        <v>-</v>
      </c>
      <c r="K461" t="str">
        <f>IFERROR(__xludf.DUMMYFUNCTION("""COMPUTED_VALUE"""),"-")</f>
        <v>-</v>
      </c>
      <c r="L461" t="str">
        <f>IFERROR(__xludf.DUMMYFUNCTION("""COMPUTED_VALUE"""),"-")</f>
        <v>-</v>
      </c>
      <c r="M461" t="str">
        <f>IFERROR(__xludf.DUMMYFUNCTION("""COMPUTED_VALUE"""),"-")</f>
        <v>-</v>
      </c>
      <c r="O461" t="str">
        <f>IFERROR(__xludf.DUMMYFUNCTION("""COMPUTED_VALUE"""),"#460")</f>
        <v>#460</v>
      </c>
      <c r="P461" t="str">
        <f>IFERROR(__xludf.DUMMYFUNCTION("""COMPUTED_VALUE"""),"Olivier Bettati")</f>
        <v>Olivier Bettati</v>
      </c>
      <c r="Q461">
        <f>IFERROR(__xludf.DUMMYFUNCTION("""COMPUTED_VALUE"""),4174.0)</f>
        <v>4174</v>
      </c>
      <c r="R461" t="str">
        <f>IFERROR(__xludf.DUMMYFUNCTION("""COMPUTED_VALUE"""),"-")</f>
        <v>-</v>
      </c>
      <c r="S461" t="str">
        <f>IFERROR(__xludf.DUMMYFUNCTION("""COMPUTED_VALUE"""),"-")</f>
        <v>-</v>
      </c>
      <c r="T461" t="str">
        <f>IFERROR(__xludf.DUMMYFUNCTION("""COMPUTED_VALUE"""),"-")</f>
        <v>-</v>
      </c>
      <c r="U461" t="str">
        <f>IFERROR(__xludf.DUMMYFUNCTION("""COMPUTED_VALUE"""),"-")</f>
        <v>-</v>
      </c>
      <c r="V461" t="str">
        <f>IFERROR(__xludf.DUMMYFUNCTION("""COMPUTED_VALUE"""),"-")</f>
        <v>-</v>
      </c>
      <c r="W461" t="str">
        <f>IFERROR(__xludf.DUMMYFUNCTION("""COMPUTED_VALUE"""),"-")</f>
        <v>-</v>
      </c>
      <c r="X461" t="str">
        <f>IFERROR(__xludf.DUMMYFUNCTION("""COMPUTED_VALUE"""),"-")</f>
        <v>-</v>
      </c>
      <c r="Y461" t="str">
        <f>IFERROR(__xludf.DUMMYFUNCTION("""COMPUTED_VALUE"""),"-")</f>
        <v>-</v>
      </c>
      <c r="Z461" t="str">
        <f>IFERROR(__xludf.DUMMYFUNCTION("""COMPUTED_VALUE"""),"-")</f>
        <v>-</v>
      </c>
      <c r="AA461" t="str">
        <f>IFERROR(__xludf.DUMMYFUNCTION("""COMPUTED_VALUE"""),"-")</f>
        <v>-</v>
      </c>
    </row>
    <row r="462">
      <c r="A462" t="str">
        <f>IFERROR(__xludf.DUMMYFUNCTION("""COMPUTED_VALUE"""),"#461")</f>
        <v>#461</v>
      </c>
      <c r="B462" t="str">
        <f>IFERROR(__xludf.DUMMYFUNCTION("""COMPUTED_VALUE"""),"Elodie Jacquier-Laforge")</f>
        <v>Elodie Jacquier-Laforge</v>
      </c>
      <c r="C462">
        <f>IFERROR(__xludf.DUMMYFUNCTION("""COMPUTED_VALUE"""),4173.0)</f>
        <v>4173</v>
      </c>
      <c r="D462" t="str">
        <f>IFERROR(__xludf.DUMMYFUNCTION("""COMPUTED_VALUE"""),"-")</f>
        <v>-</v>
      </c>
      <c r="E462" t="str">
        <f>IFERROR(__xludf.DUMMYFUNCTION("""COMPUTED_VALUE"""),"-")</f>
        <v>-</v>
      </c>
      <c r="F462" t="str">
        <f>IFERROR(__xludf.DUMMYFUNCTION("""COMPUTED_VALUE"""),"-")</f>
        <v>-</v>
      </c>
      <c r="G462" t="str">
        <f>IFERROR(__xludf.DUMMYFUNCTION("""COMPUTED_VALUE"""),"-")</f>
        <v>-</v>
      </c>
      <c r="H462" t="str">
        <f>IFERROR(__xludf.DUMMYFUNCTION("""COMPUTED_VALUE"""),"-")</f>
        <v>-</v>
      </c>
      <c r="I462" t="str">
        <f>IFERROR(__xludf.DUMMYFUNCTION("""COMPUTED_VALUE"""),"-")</f>
        <v>-</v>
      </c>
      <c r="J462" t="str">
        <f>IFERROR(__xludf.DUMMYFUNCTION("""COMPUTED_VALUE"""),"-")</f>
        <v>-</v>
      </c>
      <c r="K462" t="str">
        <f>IFERROR(__xludf.DUMMYFUNCTION("""COMPUTED_VALUE"""),"-")</f>
        <v>-</v>
      </c>
      <c r="L462" t="str">
        <f>IFERROR(__xludf.DUMMYFUNCTION("""COMPUTED_VALUE"""),"-")</f>
        <v>-</v>
      </c>
      <c r="M462" t="str">
        <f>IFERROR(__xludf.DUMMYFUNCTION("""COMPUTED_VALUE"""),"-")</f>
        <v>-</v>
      </c>
      <c r="O462" t="str">
        <f>IFERROR(__xludf.DUMMYFUNCTION("""COMPUTED_VALUE"""),"#461")</f>
        <v>#461</v>
      </c>
      <c r="P462" t="str">
        <f>IFERROR(__xludf.DUMMYFUNCTION("""COMPUTED_VALUE"""),"Elodie Jacquier-Laforge")</f>
        <v>Elodie Jacquier-Laforge</v>
      </c>
      <c r="Q462">
        <f>IFERROR(__xludf.DUMMYFUNCTION("""COMPUTED_VALUE"""),4173.0)</f>
        <v>4173</v>
      </c>
      <c r="R462" t="str">
        <f>IFERROR(__xludf.DUMMYFUNCTION("""COMPUTED_VALUE"""),"-")</f>
        <v>-</v>
      </c>
      <c r="S462" t="str">
        <f>IFERROR(__xludf.DUMMYFUNCTION("""COMPUTED_VALUE"""),"-")</f>
        <v>-</v>
      </c>
      <c r="T462" t="str">
        <f>IFERROR(__xludf.DUMMYFUNCTION("""COMPUTED_VALUE"""),"-")</f>
        <v>-</v>
      </c>
      <c r="U462" t="str">
        <f>IFERROR(__xludf.DUMMYFUNCTION("""COMPUTED_VALUE"""),"-")</f>
        <v>-</v>
      </c>
      <c r="V462" t="str">
        <f>IFERROR(__xludf.DUMMYFUNCTION("""COMPUTED_VALUE"""),"-")</f>
        <v>-</v>
      </c>
      <c r="W462" t="str">
        <f>IFERROR(__xludf.DUMMYFUNCTION("""COMPUTED_VALUE"""),"-")</f>
        <v>-</v>
      </c>
      <c r="X462" t="str">
        <f>IFERROR(__xludf.DUMMYFUNCTION("""COMPUTED_VALUE"""),"-")</f>
        <v>-</v>
      </c>
      <c r="Y462" t="str">
        <f>IFERROR(__xludf.DUMMYFUNCTION("""COMPUTED_VALUE"""),"-")</f>
        <v>-</v>
      </c>
      <c r="Z462" t="str">
        <f>IFERROR(__xludf.DUMMYFUNCTION("""COMPUTED_VALUE"""),"-")</f>
        <v>-</v>
      </c>
      <c r="AA462" t="str">
        <f>IFERROR(__xludf.DUMMYFUNCTION("""COMPUTED_VALUE"""),"-")</f>
        <v>-</v>
      </c>
    </row>
    <row r="463">
      <c r="A463" t="str">
        <f>IFERROR(__xludf.DUMMYFUNCTION("""COMPUTED_VALUE"""),"#462")</f>
        <v>#462</v>
      </c>
      <c r="B463" t="str">
        <f>IFERROR(__xludf.DUMMYFUNCTION("""COMPUTED_VALUE"""),"Brigitte Barèges")</f>
        <v>Brigitte Barèges</v>
      </c>
      <c r="C463">
        <f>IFERROR(__xludf.DUMMYFUNCTION("""COMPUTED_VALUE"""),4138.0)</f>
        <v>4138</v>
      </c>
      <c r="D463" t="str">
        <f>IFERROR(__xludf.DUMMYFUNCTION("""COMPUTED_VALUE"""),"-")</f>
        <v>-</v>
      </c>
      <c r="E463" t="str">
        <f>IFERROR(__xludf.DUMMYFUNCTION("""COMPUTED_VALUE"""),"-")</f>
        <v>-</v>
      </c>
      <c r="F463" t="str">
        <f>IFERROR(__xludf.DUMMYFUNCTION("""COMPUTED_VALUE"""),"-")</f>
        <v>-</v>
      </c>
      <c r="G463" t="str">
        <f>IFERROR(__xludf.DUMMYFUNCTION("""COMPUTED_VALUE"""),"-")</f>
        <v>-</v>
      </c>
      <c r="H463" t="str">
        <f>IFERROR(__xludf.DUMMYFUNCTION("""COMPUTED_VALUE"""),"-")</f>
        <v>-</v>
      </c>
      <c r="I463" t="str">
        <f>IFERROR(__xludf.DUMMYFUNCTION("""COMPUTED_VALUE"""),"-")</f>
        <v>-</v>
      </c>
      <c r="J463" t="str">
        <f>IFERROR(__xludf.DUMMYFUNCTION("""COMPUTED_VALUE"""),"-")</f>
        <v>-</v>
      </c>
      <c r="K463" t="str">
        <f>IFERROR(__xludf.DUMMYFUNCTION("""COMPUTED_VALUE"""),"-")</f>
        <v>-</v>
      </c>
      <c r="L463" t="str">
        <f>IFERROR(__xludf.DUMMYFUNCTION("""COMPUTED_VALUE"""),"-")</f>
        <v>-</v>
      </c>
      <c r="M463" t="str">
        <f>IFERROR(__xludf.DUMMYFUNCTION("""COMPUTED_VALUE"""),"-")</f>
        <v>-</v>
      </c>
      <c r="O463" t="str">
        <f>IFERROR(__xludf.DUMMYFUNCTION("""COMPUTED_VALUE"""),"#462")</f>
        <v>#462</v>
      </c>
      <c r="P463" t="str">
        <f>IFERROR(__xludf.DUMMYFUNCTION("""COMPUTED_VALUE"""),"Brigitte Barèges")</f>
        <v>Brigitte Barèges</v>
      </c>
      <c r="Q463">
        <f>IFERROR(__xludf.DUMMYFUNCTION("""COMPUTED_VALUE"""),4138.0)</f>
        <v>4138</v>
      </c>
      <c r="R463" t="str">
        <f>IFERROR(__xludf.DUMMYFUNCTION("""COMPUTED_VALUE"""),"-")</f>
        <v>-</v>
      </c>
      <c r="S463" t="str">
        <f>IFERROR(__xludf.DUMMYFUNCTION("""COMPUTED_VALUE"""),"-")</f>
        <v>-</v>
      </c>
      <c r="T463" t="str">
        <f>IFERROR(__xludf.DUMMYFUNCTION("""COMPUTED_VALUE"""),"-")</f>
        <v>-</v>
      </c>
      <c r="U463" t="str">
        <f>IFERROR(__xludf.DUMMYFUNCTION("""COMPUTED_VALUE"""),"-")</f>
        <v>-</v>
      </c>
      <c r="V463" t="str">
        <f>IFERROR(__xludf.DUMMYFUNCTION("""COMPUTED_VALUE"""),"-")</f>
        <v>-</v>
      </c>
      <c r="W463" t="str">
        <f>IFERROR(__xludf.DUMMYFUNCTION("""COMPUTED_VALUE"""),"-")</f>
        <v>-</v>
      </c>
      <c r="X463" t="str">
        <f>IFERROR(__xludf.DUMMYFUNCTION("""COMPUTED_VALUE"""),"-")</f>
        <v>-</v>
      </c>
      <c r="Y463" t="str">
        <f>IFERROR(__xludf.DUMMYFUNCTION("""COMPUTED_VALUE"""),"-")</f>
        <v>-</v>
      </c>
      <c r="Z463" t="str">
        <f>IFERROR(__xludf.DUMMYFUNCTION("""COMPUTED_VALUE"""),"-")</f>
        <v>-</v>
      </c>
      <c r="AA463" t="str">
        <f>IFERROR(__xludf.DUMMYFUNCTION("""COMPUTED_VALUE"""),"-")</f>
        <v>-</v>
      </c>
    </row>
    <row r="464">
      <c r="A464" t="str">
        <f>IFERROR(__xludf.DUMMYFUNCTION("""COMPUTED_VALUE"""),"#463")</f>
        <v>#463</v>
      </c>
      <c r="B464" t="str">
        <f>IFERROR(__xludf.DUMMYFUNCTION("""COMPUTED_VALUE"""),"Anissa Khedher")</f>
        <v>Anissa Khedher</v>
      </c>
      <c r="C464">
        <f>IFERROR(__xludf.DUMMYFUNCTION("""COMPUTED_VALUE"""),4091.0)</f>
        <v>4091</v>
      </c>
      <c r="D464" t="str">
        <f>IFERROR(__xludf.DUMMYFUNCTION("""COMPUTED_VALUE"""),"-")</f>
        <v>-</v>
      </c>
      <c r="E464" t="str">
        <f>IFERROR(__xludf.DUMMYFUNCTION("""COMPUTED_VALUE"""),"-")</f>
        <v>-</v>
      </c>
      <c r="F464" t="str">
        <f>IFERROR(__xludf.DUMMYFUNCTION("""COMPUTED_VALUE"""),"-")</f>
        <v>-</v>
      </c>
      <c r="G464" t="str">
        <f>IFERROR(__xludf.DUMMYFUNCTION("""COMPUTED_VALUE"""),"-")</f>
        <v>-</v>
      </c>
      <c r="H464" t="str">
        <f>IFERROR(__xludf.DUMMYFUNCTION("""COMPUTED_VALUE"""),"-")</f>
        <v>-</v>
      </c>
      <c r="I464" t="str">
        <f>IFERROR(__xludf.DUMMYFUNCTION("""COMPUTED_VALUE"""),"-")</f>
        <v>-</v>
      </c>
      <c r="J464" t="str">
        <f>IFERROR(__xludf.DUMMYFUNCTION("""COMPUTED_VALUE"""),"-")</f>
        <v>-</v>
      </c>
      <c r="K464" t="str">
        <f>IFERROR(__xludf.DUMMYFUNCTION("""COMPUTED_VALUE"""),"-")</f>
        <v>-</v>
      </c>
      <c r="L464" t="str">
        <f>IFERROR(__xludf.DUMMYFUNCTION("""COMPUTED_VALUE"""),"-")</f>
        <v>-</v>
      </c>
      <c r="M464" t="str">
        <f>IFERROR(__xludf.DUMMYFUNCTION("""COMPUTED_VALUE"""),"-")</f>
        <v>-</v>
      </c>
      <c r="O464" t="str">
        <f>IFERROR(__xludf.DUMMYFUNCTION("""COMPUTED_VALUE"""),"#463")</f>
        <v>#463</v>
      </c>
      <c r="P464" t="str">
        <f>IFERROR(__xludf.DUMMYFUNCTION("""COMPUTED_VALUE"""),"Anissa Khedher")</f>
        <v>Anissa Khedher</v>
      </c>
      <c r="Q464">
        <f>IFERROR(__xludf.DUMMYFUNCTION("""COMPUTED_VALUE"""),4091.0)</f>
        <v>4091</v>
      </c>
      <c r="R464" t="str">
        <f>IFERROR(__xludf.DUMMYFUNCTION("""COMPUTED_VALUE"""),"-")</f>
        <v>-</v>
      </c>
      <c r="S464" t="str">
        <f>IFERROR(__xludf.DUMMYFUNCTION("""COMPUTED_VALUE"""),"-")</f>
        <v>-</v>
      </c>
      <c r="T464" t="str">
        <f>IFERROR(__xludf.DUMMYFUNCTION("""COMPUTED_VALUE"""),"-")</f>
        <v>-</v>
      </c>
      <c r="U464" t="str">
        <f>IFERROR(__xludf.DUMMYFUNCTION("""COMPUTED_VALUE"""),"-")</f>
        <v>-</v>
      </c>
      <c r="V464" t="str">
        <f>IFERROR(__xludf.DUMMYFUNCTION("""COMPUTED_VALUE"""),"-")</f>
        <v>-</v>
      </c>
      <c r="W464" t="str">
        <f>IFERROR(__xludf.DUMMYFUNCTION("""COMPUTED_VALUE"""),"-")</f>
        <v>-</v>
      </c>
      <c r="X464" t="str">
        <f>IFERROR(__xludf.DUMMYFUNCTION("""COMPUTED_VALUE"""),"-")</f>
        <v>-</v>
      </c>
      <c r="Y464" t="str">
        <f>IFERROR(__xludf.DUMMYFUNCTION("""COMPUTED_VALUE"""),"-")</f>
        <v>-</v>
      </c>
      <c r="Z464" t="str">
        <f>IFERROR(__xludf.DUMMYFUNCTION("""COMPUTED_VALUE"""),"-")</f>
        <v>-</v>
      </c>
      <c r="AA464" t="str">
        <f>IFERROR(__xludf.DUMMYFUNCTION("""COMPUTED_VALUE"""),"-")</f>
        <v>-</v>
      </c>
    </row>
    <row r="465">
      <c r="A465" t="str">
        <f>IFERROR(__xludf.DUMMYFUNCTION("""COMPUTED_VALUE"""),"#464")</f>
        <v>#464</v>
      </c>
      <c r="B465" t="str">
        <f>IFERROR(__xludf.DUMMYFUNCTION("""COMPUTED_VALUE"""),"Laurent Degallaix")</f>
        <v>Laurent Degallaix</v>
      </c>
      <c r="C465">
        <f>IFERROR(__xludf.DUMMYFUNCTION("""COMPUTED_VALUE"""),4086.0)</f>
        <v>4086</v>
      </c>
      <c r="D465" t="str">
        <f>IFERROR(__xludf.DUMMYFUNCTION("""COMPUTED_VALUE"""),"-")</f>
        <v>-</v>
      </c>
      <c r="E465" t="str">
        <f>IFERROR(__xludf.DUMMYFUNCTION("""COMPUTED_VALUE"""),"-")</f>
        <v>-</v>
      </c>
      <c r="F465" t="str">
        <f>IFERROR(__xludf.DUMMYFUNCTION("""COMPUTED_VALUE"""),"-")</f>
        <v>-</v>
      </c>
      <c r="G465" t="str">
        <f>IFERROR(__xludf.DUMMYFUNCTION("""COMPUTED_VALUE"""),"-")</f>
        <v>-</v>
      </c>
      <c r="H465" t="str">
        <f>IFERROR(__xludf.DUMMYFUNCTION("""COMPUTED_VALUE"""),"-")</f>
        <v>-</v>
      </c>
      <c r="I465" t="str">
        <f>IFERROR(__xludf.DUMMYFUNCTION("""COMPUTED_VALUE"""),"-")</f>
        <v>-</v>
      </c>
      <c r="J465" t="str">
        <f>IFERROR(__xludf.DUMMYFUNCTION("""COMPUTED_VALUE"""),"-")</f>
        <v>-</v>
      </c>
      <c r="K465" t="str">
        <f>IFERROR(__xludf.DUMMYFUNCTION("""COMPUTED_VALUE"""),"-")</f>
        <v>-</v>
      </c>
      <c r="L465" t="str">
        <f>IFERROR(__xludf.DUMMYFUNCTION("""COMPUTED_VALUE"""),"-")</f>
        <v>-</v>
      </c>
      <c r="M465" t="str">
        <f>IFERROR(__xludf.DUMMYFUNCTION("""COMPUTED_VALUE"""),"-")</f>
        <v>-</v>
      </c>
      <c r="O465" t="str">
        <f>IFERROR(__xludf.DUMMYFUNCTION("""COMPUTED_VALUE"""),"#464")</f>
        <v>#464</v>
      </c>
      <c r="P465" t="str">
        <f>IFERROR(__xludf.DUMMYFUNCTION("""COMPUTED_VALUE"""),"Laurent Degallaix")</f>
        <v>Laurent Degallaix</v>
      </c>
      <c r="Q465">
        <f>IFERROR(__xludf.DUMMYFUNCTION("""COMPUTED_VALUE"""),4086.0)</f>
        <v>4086</v>
      </c>
      <c r="R465" t="str">
        <f>IFERROR(__xludf.DUMMYFUNCTION("""COMPUTED_VALUE"""),"-")</f>
        <v>-</v>
      </c>
      <c r="S465" t="str">
        <f>IFERROR(__xludf.DUMMYFUNCTION("""COMPUTED_VALUE"""),"-")</f>
        <v>-</v>
      </c>
      <c r="T465" t="str">
        <f>IFERROR(__xludf.DUMMYFUNCTION("""COMPUTED_VALUE"""),"-")</f>
        <v>-</v>
      </c>
      <c r="U465" t="str">
        <f>IFERROR(__xludf.DUMMYFUNCTION("""COMPUTED_VALUE"""),"-")</f>
        <v>-</v>
      </c>
      <c r="V465" t="str">
        <f>IFERROR(__xludf.DUMMYFUNCTION("""COMPUTED_VALUE"""),"-")</f>
        <v>-</v>
      </c>
      <c r="W465" t="str">
        <f>IFERROR(__xludf.DUMMYFUNCTION("""COMPUTED_VALUE"""),"-")</f>
        <v>-</v>
      </c>
      <c r="X465" t="str">
        <f>IFERROR(__xludf.DUMMYFUNCTION("""COMPUTED_VALUE"""),"-")</f>
        <v>-</v>
      </c>
      <c r="Y465" t="str">
        <f>IFERROR(__xludf.DUMMYFUNCTION("""COMPUTED_VALUE"""),"-")</f>
        <v>-</v>
      </c>
      <c r="Z465" t="str">
        <f>IFERROR(__xludf.DUMMYFUNCTION("""COMPUTED_VALUE"""),"-")</f>
        <v>-</v>
      </c>
      <c r="AA465" t="str">
        <f>IFERROR(__xludf.DUMMYFUNCTION("""COMPUTED_VALUE"""),"-")</f>
        <v>-</v>
      </c>
    </row>
    <row r="466">
      <c r="A466" t="str">
        <f>IFERROR(__xludf.DUMMYFUNCTION("""COMPUTED_VALUE"""),"#465")</f>
        <v>#465</v>
      </c>
      <c r="B466" t="str">
        <f>IFERROR(__xludf.DUMMYFUNCTION("""COMPUTED_VALUE"""),"Mohamed Laqhila")</f>
        <v>Mohamed Laqhila</v>
      </c>
      <c r="C466">
        <f>IFERROR(__xludf.DUMMYFUNCTION("""COMPUTED_VALUE"""),4084.0)</f>
        <v>4084</v>
      </c>
      <c r="D466" t="str">
        <f>IFERROR(__xludf.DUMMYFUNCTION("""COMPUTED_VALUE"""),"-")</f>
        <v>-</v>
      </c>
      <c r="E466" t="str">
        <f>IFERROR(__xludf.DUMMYFUNCTION("""COMPUTED_VALUE"""),"-")</f>
        <v>-</v>
      </c>
      <c r="F466" t="str">
        <f>IFERROR(__xludf.DUMMYFUNCTION("""COMPUTED_VALUE"""),"-")</f>
        <v>-</v>
      </c>
      <c r="G466" t="str">
        <f>IFERROR(__xludf.DUMMYFUNCTION("""COMPUTED_VALUE"""),"-")</f>
        <v>-</v>
      </c>
      <c r="H466" t="str">
        <f>IFERROR(__xludf.DUMMYFUNCTION("""COMPUTED_VALUE"""),"-")</f>
        <v>-</v>
      </c>
      <c r="I466" t="str">
        <f>IFERROR(__xludf.DUMMYFUNCTION("""COMPUTED_VALUE"""),"-")</f>
        <v>-</v>
      </c>
      <c r="J466" t="str">
        <f>IFERROR(__xludf.DUMMYFUNCTION("""COMPUTED_VALUE"""),"-")</f>
        <v>-</v>
      </c>
      <c r="K466" t="str">
        <f>IFERROR(__xludf.DUMMYFUNCTION("""COMPUTED_VALUE"""),"-")</f>
        <v>-</v>
      </c>
      <c r="L466" t="str">
        <f>IFERROR(__xludf.DUMMYFUNCTION("""COMPUTED_VALUE"""),"-")</f>
        <v>-</v>
      </c>
      <c r="M466" t="str">
        <f>IFERROR(__xludf.DUMMYFUNCTION("""COMPUTED_VALUE"""),"-")</f>
        <v>-</v>
      </c>
      <c r="O466" t="str">
        <f>IFERROR(__xludf.DUMMYFUNCTION("""COMPUTED_VALUE"""),"#465")</f>
        <v>#465</v>
      </c>
      <c r="P466" t="str">
        <f>IFERROR(__xludf.DUMMYFUNCTION("""COMPUTED_VALUE"""),"Mohamed Laqhila")</f>
        <v>Mohamed Laqhila</v>
      </c>
      <c r="Q466">
        <f>IFERROR(__xludf.DUMMYFUNCTION("""COMPUTED_VALUE"""),4084.0)</f>
        <v>4084</v>
      </c>
      <c r="R466" t="str">
        <f>IFERROR(__xludf.DUMMYFUNCTION("""COMPUTED_VALUE"""),"-")</f>
        <v>-</v>
      </c>
      <c r="S466" t="str">
        <f>IFERROR(__xludf.DUMMYFUNCTION("""COMPUTED_VALUE"""),"-")</f>
        <v>-</v>
      </c>
      <c r="T466" t="str">
        <f>IFERROR(__xludf.DUMMYFUNCTION("""COMPUTED_VALUE"""),"-")</f>
        <v>-</v>
      </c>
      <c r="U466" t="str">
        <f>IFERROR(__xludf.DUMMYFUNCTION("""COMPUTED_VALUE"""),"-")</f>
        <v>-</v>
      </c>
      <c r="V466" t="str">
        <f>IFERROR(__xludf.DUMMYFUNCTION("""COMPUTED_VALUE"""),"-")</f>
        <v>-</v>
      </c>
      <c r="W466" t="str">
        <f>IFERROR(__xludf.DUMMYFUNCTION("""COMPUTED_VALUE"""),"-")</f>
        <v>-</v>
      </c>
      <c r="X466" t="str">
        <f>IFERROR(__xludf.DUMMYFUNCTION("""COMPUTED_VALUE"""),"-")</f>
        <v>-</v>
      </c>
      <c r="Y466" t="str">
        <f>IFERROR(__xludf.DUMMYFUNCTION("""COMPUTED_VALUE"""),"-")</f>
        <v>-</v>
      </c>
      <c r="Z466" t="str">
        <f>IFERROR(__xludf.DUMMYFUNCTION("""COMPUTED_VALUE"""),"-")</f>
        <v>-</v>
      </c>
      <c r="AA466" t="str">
        <f>IFERROR(__xludf.DUMMYFUNCTION("""COMPUTED_VALUE"""),"-")</f>
        <v>-</v>
      </c>
    </row>
    <row r="467">
      <c r="A467" t="str">
        <f>IFERROR(__xludf.DUMMYFUNCTION("""COMPUTED_VALUE"""),"#466")</f>
        <v>#466</v>
      </c>
      <c r="B467" t="str">
        <f>IFERROR(__xludf.DUMMYFUNCTION("""COMPUTED_VALUE"""),"Franck Margain")</f>
        <v>Franck Margain</v>
      </c>
      <c r="C467">
        <f>IFERROR(__xludf.DUMMYFUNCTION("""COMPUTED_VALUE"""),4049.0)</f>
        <v>4049</v>
      </c>
      <c r="D467" t="str">
        <f>IFERROR(__xludf.DUMMYFUNCTION("""COMPUTED_VALUE"""),"-")</f>
        <v>-</v>
      </c>
      <c r="E467" t="str">
        <f>IFERROR(__xludf.DUMMYFUNCTION("""COMPUTED_VALUE"""),"-")</f>
        <v>-</v>
      </c>
      <c r="F467" t="str">
        <f>IFERROR(__xludf.DUMMYFUNCTION("""COMPUTED_VALUE"""),"-")</f>
        <v>-</v>
      </c>
      <c r="G467" t="str">
        <f>IFERROR(__xludf.DUMMYFUNCTION("""COMPUTED_VALUE"""),"-")</f>
        <v>-</v>
      </c>
      <c r="H467" t="str">
        <f>IFERROR(__xludf.DUMMYFUNCTION("""COMPUTED_VALUE"""),"-")</f>
        <v>-</v>
      </c>
      <c r="I467" t="str">
        <f>IFERROR(__xludf.DUMMYFUNCTION("""COMPUTED_VALUE"""),"-")</f>
        <v>-</v>
      </c>
      <c r="J467" t="str">
        <f>IFERROR(__xludf.DUMMYFUNCTION("""COMPUTED_VALUE"""),"-")</f>
        <v>-</v>
      </c>
      <c r="K467" t="str">
        <f>IFERROR(__xludf.DUMMYFUNCTION("""COMPUTED_VALUE"""),"-")</f>
        <v>-</v>
      </c>
      <c r="L467" t="str">
        <f>IFERROR(__xludf.DUMMYFUNCTION("""COMPUTED_VALUE"""),"-")</f>
        <v>-</v>
      </c>
      <c r="M467" t="str">
        <f>IFERROR(__xludf.DUMMYFUNCTION("""COMPUTED_VALUE"""),"-")</f>
        <v>-</v>
      </c>
      <c r="O467" t="str">
        <f>IFERROR(__xludf.DUMMYFUNCTION("""COMPUTED_VALUE"""),"#466")</f>
        <v>#466</v>
      </c>
      <c r="P467" t="str">
        <f>IFERROR(__xludf.DUMMYFUNCTION("""COMPUTED_VALUE"""),"Franck Margain")</f>
        <v>Franck Margain</v>
      </c>
      <c r="Q467">
        <f>IFERROR(__xludf.DUMMYFUNCTION("""COMPUTED_VALUE"""),4049.0)</f>
        <v>4049</v>
      </c>
      <c r="R467" t="str">
        <f>IFERROR(__xludf.DUMMYFUNCTION("""COMPUTED_VALUE"""),"-")</f>
        <v>-</v>
      </c>
      <c r="S467" t="str">
        <f>IFERROR(__xludf.DUMMYFUNCTION("""COMPUTED_VALUE"""),"-")</f>
        <v>-</v>
      </c>
      <c r="T467" t="str">
        <f>IFERROR(__xludf.DUMMYFUNCTION("""COMPUTED_VALUE"""),"-")</f>
        <v>-</v>
      </c>
      <c r="U467" t="str">
        <f>IFERROR(__xludf.DUMMYFUNCTION("""COMPUTED_VALUE"""),"-")</f>
        <v>-</v>
      </c>
      <c r="V467" t="str">
        <f>IFERROR(__xludf.DUMMYFUNCTION("""COMPUTED_VALUE"""),"-")</f>
        <v>-</v>
      </c>
      <c r="W467" t="str">
        <f>IFERROR(__xludf.DUMMYFUNCTION("""COMPUTED_VALUE"""),"-")</f>
        <v>-</v>
      </c>
      <c r="X467" t="str">
        <f>IFERROR(__xludf.DUMMYFUNCTION("""COMPUTED_VALUE"""),"-")</f>
        <v>-</v>
      </c>
      <c r="Y467" t="str">
        <f>IFERROR(__xludf.DUMMYFUNCTION("""COMPUTED_VALUE"""),"-")</f>
        <v>-</v>
      </c>
      <c r="Z467" t="str">
        <f>IFERROR(__xludf.DUMMYFUNCTION("""COMPUTED_VALUE"""),"-")</f>
        <v>-</v>
      </c>
      <c r="AA467" t="str">
        <f>IFERROR(__xludf.DUMMYFUNCTION("""COMPUTED_VALUE"""),"-")</f>
        <v>-</v>
      </c>
    </row>
    <row r="468">
      <c r="A468" t="str">
        <f>IFERROR(__xludf.DUMMYFUNCTION("""COMPUTED_VALUE"""),"#467")</f>
        <v>#467</v>
      </c>
      <c r="B468" t="str">
        <f>IFERROR(__xludf.DUMMYFUNCTION("""COMPUTED_VALUE"""),"Antoine BACK")</f>
        <v>Antoine BACK</v>
      </c>
      <c r="C468">
        <f>IFERROR(__xludf.DUMMYFUNCTION("""COMPUTED_VALUE"""),3921.0)</f>
        <v>3921</v>
      </c>
      <c r="D468" t="str">
        <f>IFERROR(__xludf.DUMMYFUNCTION("""COMPUTED_VALUE"""),"-")</f>
        <v>-</v>
      </c>
      <c r="E468" t="str">
        <f>IFERROR(__xludf.DUMMYFUNCTION("""COMPUTED_VALUE"""),"-")</f>
        <v>-</v>
      </c>
      <c r="F468" t="str">
        <f>IFERROR(__xludf.DUMMYFUNCTION("""COMPUTED_VALUE"""),"-")</f>
        <v>-</v>
      </c>
      <c r="G468" t="str">
        <f>IFERROR(__xludf.DUMMYFUNCTION("""COMPUTED_VALUE"""),"-")</f>
        <v>-</v>
      </c>
      <c r="H468" t="str">
        <f>IFERROR(__xludf.DUMMYFUNCTION("""COMPUTED_VALUE"""),"-")</f>
        <v>-</v>
      </c>
      <c r="I468" t="str">
        <f>IFERROR(__xludf.DUMMYFUNCTION("""COMPUTED_VALUE"""),"-")</f>
        <v>-</v>
      </c>
      <c r="J468" t="str">
        <f>IFERROR(__xludf.DUMMYFUNCTION("""COMPUTED_VALUE"""),"-")</f>
        <v>-</v>
      </c>
      <c r="K468" t="str">
        <f>IFERROR(__xludf.DUMMYFUNCTION("""COMPUTED_VALUE"""),"-")</f>
        <v>-</v>
      </c>
      <c r="L468" t="str">
        <f>IFERROR(__xludf.DUMMYFUNCTION("""COMPUTED_VALUE"""),"-")</f>
        <v>-</v>
      </c>
      <c r="M468" t="str">
        <f>IFERROR(__xludf.DUMMYFUNCTION("""COMPUTED_VALUE"""),"-")</f>
        <v>-</v>
      </c>
      <c r="O468" t="str">
        <f>IFERROR(__xludf.DUMMYFUNCTION("""COMPUTED_VALUE"""),"#467")</f>
        <v>#467</v>
      </c>
      <c r="P468" t="str">
        <f>IFERROR(__xludf.DUMMYFUNCTION("""COMPUTED_VALUE"""),"Antoine BACK")</f>
        <v>Antoine BACK</v>
      </c>
      <c r="Q468">
        <f>IFERROR(__xludf.DUMMYFUNCTION("""COMPUTED_VALUE"""),3921.0)</f>
        <v>3921</v>
      </c>
      <c r="R468" t="str">
        <f>IFERROR(__xludf.DUMMYFUNCTION("""COMPUTED_VALUE"""),"-")</f>
        <v>-</v>
      </c>
      <c r="S468" t="str">
        <f>IFERROR(__xludf.DUMMYFUNCTION("""COMPUTED_VALUE"""),"-")</f>
        <v>-</v>
      </c>
      <c r="T468" t="str">
        <f>IFERROR(__xludf.DUMMYFUNCTION("""COMPUTED_VALUE"""),"-")</f>
        <v>-</v>
      </c>
      <c r="U468" t="str">
        <f>IFERROR(__xludf.DUMMYFUNCTION("""COMPUTED_VALUE"""),"-")</f>
        <v>-</v>
      </c>
      <c r="V468" t="str">
        <f>IFERROR(__xludf.DUMMYFUNCTION("""COMPUTED_VALUE"""),"-")</f>
        <v>-</v>
      </c>
      <c r="W468" t="str">
        <f>IFERROR(__xludf.DUMMYFUNCTION("""COMPUTED_VALUE"""),"-")</f>
        <v>-</v>
      </c>
      <c r="X468" t="str">
        <f>IFERROR(__xludf.DUMMYFUNCTION("""COMPUTED_VALUE"""),"-")</f>
        <v>-</v>
      </c>
      <c r="Y468" t="str">
        <f>IFERROR(__xludf.DUMMYFUNCTION("""COMPUTED_VALUE"""),"-")</f>
        <v>-</v>
      </c>
      <c r="Z468" t="str">
        <f>IFERROR(__xludf.DUMMYFUNCTION("""COMPUTED_VALUE"""),"-")</f>
        <v>-</v>
      </c>
      <c r="AA468" t="str">
        <f>IFERROR(__xludf.DUMMYFUNCTION("""COMPUTED_VALUE"""),"-")</f>
        <v>-</v>
      </c>
    </row>
    <row r="469">
      <c r="A469" t="str">
        <f>IFERROR(__xludf.DUMMYFUNCTION("""COMPUTED_VALUE"""),"#468")</f>
        <v>#468</v>
      </c>
      <c r="B469" t="str">
        <f>IFERROR(__xludf.DUMMYFUNCTION("""COMPUTED_VALUE"""),"Élisa Martin")</f>
        <v>Élisa Martin</v>
      </c>
      <c r="C469">
        <f>IFERROR(__xludf.DUMMYFUNCTION("""COMPUTED_VALUE"""),3913.0)</f>
        <v>3913</v>
      </c>
      <c r="D469" t="str">
        <f>IFERROR(__xludf.DUMMYFUNCTION("""COMPUTED_VALUE"""),"-")</f>
        <v>-</v>
      </c>
      <c r="E469" t="str">
        <f>IFERROR(__xludf.DUMMYFUNCTION("""COMPUTED_VALUE"""),"-")</f>
        <v>-</v>
      </c>
      <c r="F469" t="str">
        <f>IFERROR(__xludf.DUMMYFUNCTION("""COMPUTED_VALUE"""),"-")</f>
        <v>-</v>
      </c>
      <c r="G469" t="str">
        <f>IFERROR(__xludf.DUMMYFUNCTION("""COMPUTED_VALUE"""),"-")</f>
        <v>-</v>
      </c>
      <c r="H469" t="str">
        <f>IFERROR(__xludf.DUMMYFUNCTION("""COMPUTED_VALUE"""),"-")</f>
        <v>-</v>
      </c>
      <c r="I469" t="str">
        <f>IFERROR(__xludf.DUMMYFUNCTION("""COMPUTED_VALUE"""),"-")</f>
        <v>-</v>
      </c>
      <c r="J469" t="str">
        <f>IFERROR(__xludf.DUMMYFUNCTION("""COMPUTED_VALUE"""),"-")</f>
        <v>-</v>
      </c>
      <c r="K469" t="str">
        <f>IFERROR(__xludf.DUMMYFUNCTION("""COMPUTED_VALUE"""),"-")</f>
        <v>-</v>
      </c>
      <c r="L469" t="str">
        <f>IFERROR(__xludf.DUMMYFUNCTION("""COMPUTED_VALUE"""),"-")</f>
        <v>-</v>
      </c>
      <c r="M469" t="str">
        <f>IFERROR(__xludf.DUMMYFUNCTION("""COMPUTED_VALUE"""),"-")</f>
        <v>-</v>
      </c>
      <c r="O469" t="str">
        <f>IFERROR(__xludf.DUMMYFUNCTION("""COMPUTED_VALUE"""),"#468")</f>
        <v>#468</v>
      </c>
      <c r="P469" t="str">
        <f>IFERROR(__xludf.DUMMYFUNCTION("""COMPUTED_VALUE"""),"Élisa Martin")</f>
        <v>Élisa Martin</v>
      </c>
      <c r="Q469">
        <f>IFERROR(__xludf.DUMMYFUNCTION("""COMPUTED_VALUE"""),3913.0)</f>
        <v>3913</v>
      </c>
      <c r="R469" t="str">
        <f>IFERROR(__xludf.DUMMYFUNCTION("""COMPUTED_VALUE"""),"-")</f>
        <v>-</v>
      </c>
      <c r="S469" t="str">
        <f>IFERROR(__xludf.DUMMYFUNCTION("""COMPUTED_VALUE"""),"-")</f>
        <v>-</v>
      </c>
      <c r="T469" t="str">
        <f>IFERROR(__xludf.DUMMYFUNCTION("""COMPUTED_VALUE"""),"-")</f>
        <v>-</v>
      </c>
      <c r="U469" t="str">
        <f>IFERROR(__xludf.DUMMYFUNCTION("""COMPUTED_VALUE"""),"-")</f>
        <v>-</v>
      </c>
      <c r="V469" t="str">
        <f>IFERROR(__xludf.DUMMYFUNCTION("""COMPUTED_VALUE"""),"-")</f>
        <v>-</v>
      </c>
      <c r="W469" t="str">
        <f>IFERROR(__xludf.DUMMYFUNCTION("""COMPUTED_VALUE"""),"-")</f>
        <v>-</v>
      </c>
      <c r="X469" t="str">
        <f>IFERROR(__xludf.DUMMYFUNCTION("""COMPUTED_VALUE"""),"-")</f>
        <v>-</v>
      </c>
      <c r="Y469" t="str">
        <f>IFERROR(__xludf.DUMMYFUNCTION("""COMPUTED_VALUE"""),"-")</f>
        <v>-</v>
      </c>
      <c r="Z469" t="str">
        <f>IFERROR(__xludf.DUMMYFUNCTION("""COMPUTED_VALUE"""),"-")</f>
        <v>-</v>
      </c>
      <c r="AA469" t="str">
        <f>IFERROR(__xludf.DUMMYFUNCTION("""COMPUTED_VALUE"""),"-")</f>
        <v>-</v>
      </c>
    </row>
    <row r="470">
      <c r="A470" t="str">
        <f>IFERROR(__xludf.DUMMYFUNCTION("""COMPUTED_VALUE"""),"#469")</f>
        <v>#469</v>
      </c>
      <c r="B470" t="str">
        <f>IFERROR(__xludf.DUMMYFUNCTION("""COMPUTED_VALUE"""),"Aurélia Beigneux")</f>
        <v>Aurélia Beigneux</v>
      </c>
      <c r="C470">
        <f>IFERROR(__xludf.DUMMYFUNCTION("""COMPUTED_VALUE"""),3863.0)</f>
        <v>3863</v>
      </c>
      <c r="D470" t="str">
        <f>IFERROR(__xludf.DUMMYFUNCTION("""COMPUTED_VALUE"""),"-")</f>
        <v>-</v>
      </c>
      <c r="E470" t="str">
        <f>IFERROR(__xludf.DUMMYFUNCTION("""COMPUTED_VALUE"""),"-")</f>
        <v>-</v>
      </c>
      <c r="F470" t="str">
        <f>IFERROR(__xludf.DUMMYFUNCTION("""COMPUTED_VALUE"""),"-")</f>
        <v>-</v>
      </c>
      <c r="G470" t="str">
        <f>IFERROR(__xludf.DUMMYFUNCTION("""COMPUTED_VALUE"""),"-")</f>
        <v>-</v>
      </c>
      <c r="H470" t="str">
        <f>IFERROR(__xludf.DUMMYFUNCTION("""COMPUTED_VALUE"""),"-")</f>
        <v>-</v>
      </c>
      <c r="I470" t="str">
        <f>IFERROR(__xludf.DUMMYFUNCTION("""COMPUTED_VALUE"""),"-")</f>
        <v>-</v>
      </c>
      <c r="J470" t="str">
        <f>IFERROR(__xludf.DUMMYFUNCTION("""COMPUTED_VALUE"""),"-")</f>
        <v>-</v>
      </c>
      <c r="K470" t="str">
        <f>IFERROR(__xludf.DUMMYFUNCTION("""COMPUTED_VALUE"""),"-")</f>
        <v>-</v>
      </c>
      <c r="L470" t="str">
        <f>IFERROR(__xludf.DUMMYFUNCTION("""COMPUTED_VALUE"""),"-")</f>
        <v>-</v>
      </c>
      <c r="M470" t="str">
        <f>IFERROR(__xludf.DUMMYFUNCTION("""COMPUTED_VALUE"""),"-")</f>
        <v>-</v>
      </c>
      <c r="O470" t="str">
        <f>IFERROR(__xludf.DUMMYFUNCTION("""COMPUTED_VALUE"""),"#469")</f>
        <v>#469</v>
      </c>
      <c r="P470" t="str">
        <f>IFERROR(__xludf.DUMMYFUNCTION("""COMPUTED_VALUE"""),"Aurélia Beigneux")</f>
        <v>Aurélia Beigneux</v>
      </c>
      <c r="Q470">
        <f>IFERROR(__xludf.DUMMYFUNCTION("""COMPUTED_VALUE"""),3863.0)</f>
        <v>3863</v>
      </c>
      <c r="R470" t="str">
        <f>IFERROR(__xludf.DUMMYFUNCTION("""COMPUTED_VALUE"""),"-")</f>
        <v>-</v>
      </c>
      <c r="S470" t="str">
        <f>IFERROR(__xludf.DUMMYFUNCTION("""COMPUTED_VALUE"""),"-")</f>
        <v>-</v>
      </c>
      <c r="T470" t="str">
        <f>IFERROR(__xludf.DUMMYFUNCTION("""COMPUTED_VALUE"""),"-")</f>
        <v>-</v>
      </c>
      <c r="U470" t="str">
        <f>IFERROR(__xludf.DUMMYFUNCTION("""COMPUTED_VALUE"""),"-")</f>
        <v>-</v>
      </c>
      <c r="V470" t="str">
        <f>IFERROR(__xludf.DUMMYFUNCTION("""COMPUTED_VALUE"""),"-")</f>
        <v>-</v>
      </c>
      <c r="W470" t="str">
        <f>IFERROR(__xludf.DUMMYFUNCTION("""COMPUTED_VALUE"""),"-")</f>
        <v>-</v>
      </c>
      <c r="X470" t="str">
        <f>IFERROR(__xludf.DUMMYFUNCTION("""COMPUTED_VALUE"""),"-")</f>
        <v>-</v>
      </c>
      <c r="Y470" t="str">
        <f>IFERROR(__xludf.DUMMYFUNCTION("""COMPUTED_VALUE"""),"-")</f>
        <v>-</v>
      </c>
      <c r="Z470" t="str">
        <f>IFERROR(__xludf.DUMMYFUNCTION("""COMPUTED_VALUE"""),"-")</f>
        <v>-</v>
      </c>
      <c r="AA470" t="str">
        <f>IFERROR(__xludf.DUMMYFUNCTION("""COMPUTED_VALUE"""),"-")</f>
        <v>-</v>
      </c>
    </row>
    <row r="471">
      <c r="A471" t="str">
        <f>IFERROR(__xludf.DUMMYFUNCTION("""COMPUTED_VALUE"""),"#470")</f>
        <v>#470</v>
      </c>
      <c r="B471" t="str">
        <f>IFERROR(__xludf.DUMMYFUNCTION("""COMPUTED_VALUE"""),"Damien Obrador")</f>
        <v>Damien Obrador</v>
      </c>
      <c r="C471">
        <f>IFERROR(__xludf.DUMMYFUNCTION("""COMPUTED_VALUE"""),3838.0)</f>
        <v>3838</v>
      </c>
      <c r="D471" t="str">
        <f>IFERROR(__xludf.DUMMYFUNCTION("""COMPUTED_VALUE"""),"-")</f>
        <v>-</v>
      </c>
      <c r="E471" t="str">
        <f>IFERROR(__xludf.DUMMYFUNCTION("""COMPUTED_VALUE"""),"-")</f>
        <v>-</v>
      </c>
      <c r="F471" t="str">
        <f>IFERROR(__xludf.DUMMYFUNCTION("""COMPUTED_VALUE"""),"-")</f>
        <v>-</v>
      </c>
      <c r="G471" t="str">
        <f>IFERROR(__xludf.DUMMYFUNCTION("""COMPUTED_VALUE"""),"-")</f>
        <v>-</v>
      </c>
      <c r="H471" t="str">
        <f>IFERROR(__xludf.DUMMYFUNCTION("""COMPUTED_VALUE"""),"-")</f>
        <v>-</v>
      </c>
      <c r="I471" t="str">
        <f>IFERROR(__xludf.DUMMYFUNCTION("""COMPUTED_VALUE"""),"-")</f>
        <v>-</v>
      </c>
      <c r="J471" t="str">
        <f>IFERROR(__xludf.DUMMYFUNCTION("""COMPUTED_VALUE"""),"-")</f>
        <v>-</v>
      </c>
      <c r="K471" t="str">
        <f>IFERROR(__xludf.DUMMYFUNCTION("""COMPUTED_VALUE"""),"-")</f>
        <v>-</v>
      </c>
      <c r="L471" t="str">
        <f>IFERROR(__xludf.DUMMYFUNCTION("""COMPUTED_VALUE"""),"-")</f>
        <v>-</v>
      </c>
      <c r="M471" t="str">
        <f>IFERROR(__xludf.DUMMYFUNCTION("""COMPUTED_VALUE"""),"-")</f>
        <v>-</v>
      </c>
      <c r="O471" t="str">
        <f>IFERROR(__xludf.DUMMYFUNCTION("""COMPUTED_VALUE"""),"#470")</f>
        <v>#470</v>
      </c>
      <c r="P471" t="str">
        <f>IFERROR(__xludf.DUMMYFUNCTION("""COMPUTED_VALUE"""),"Damien Obrador")</f>
        <v>Damien Obrador</v>
      </c>
      <c r="Q471">
        <f>IFERROR(__xludf.DUMMYFUNCTION("""COMPUTED_VALUE"""),3838.0)</f>
        <v>3838</v>
      </c>
      <c r="R471" t="str">
        <f>IFERROR(__xludf.DUMMYFUNCTION("""COMPUTED_VALUE"""),"-")</f>
        <v>-</v>
      </c>
      <c r="S471" t="str">
        <f>IFERROR(__xludf.DUMMYFUNCTION("""COMPUTED_VALUE"""),"-")</f>
        <v>-</v>
      </c>
      <c r="T471" t="str">
        <f>IFERROR(__xludf.DUMMYFUNCTION("""COMPUTED_VALUE"""),"-")</f>
        <v>-</v>
      </c>
      <c r="U471" t="str">
        <f>IFERROR(__xludf.DUMMYFUNCTION("""COMPUTED_VALUE"""),"-")</f>
        <v>-</v>
      </c>
      <c r="V471" t="str">
        <f>IFERROR(__xludf.DUMMYFUNCTION("""COMPUTED_VALUE"""),"-")</f>
        <v>-</v>
      </c>
      <c r="W471" t="str">
        <f>IFERROR(__xludf.DUMMYFUNCTION("""COMPUTED_VALUE"""),"-")</f>
        <v>-</v>
      </c>
      <c r="X471" t="str">
        <f>IFERROR(__xludf.DUMMYFUNCTION("""COMPUTED_VALUE"""),"-")</f>
        <v>-</v>
      </c>
      <c r="Y471" t="str">
        <f>IFERROR(__xludf.DUMMYFUNCTION("""COMPUTED_VALUE"""),"-")</f>
        <v>-</v>
      </c>
      <c r="Z471" t="str">
        <f>IFERROR(__xludf.DUMMYFUNCTION("""COMPUTED_VALUE"""),"-")</f>
        <v>-</v>
      </c>
      <c r="AA471" t="str">
        <f>IFERROR(__xludf.DUMMYFUNCTION("""COMPUTED_VALUE"""),"-")</f>
        <v>-</v>
      </c>
    </row>
    <row r="472">
      <c r="A472" t="str">
        <f>IFERROR(__xludf.DUMMYFUNCTION("""COMPUTED_VALUE"""),"#471")</f>
        <v>#471</v>
      </c>
      <c r="B472" t="str">
        <f>IFERROR(__xludf.DUMMYFUNCTION("""COMPUTED_VALUE"""),"Amaury Navarranne")</f>
        <v>Amaury Navarranne</v>
      </c>
      <c r="C472">
        <f>IFERROR(__xludf.DUMMYFUNCTION("""COMPUTED_VALUE"""),3798.0)</f>
        <v>3798</v>
      </c>
      <c r="D472" t="str">
        <f>IFERROR(__xludf.DUMMYFUNCTION("""COMPUTED_VALUE"""),"-")</f>
        <v>-</v>
      </c>
      <c r="E472" t="str">
        <f>IFERROR(__xludf.DUMMYFUNCTION("""COMPUTED_VALUE"""),"-")</f>
        <v>-</v>
      </c>
      <c r="F472" t="str">
        <f>IFERROR(__xludf.DUMMYFUNCTION("""COMPUTED_VALUE"""),"-")</f>
        <v>-</v>
      </c>
      <c r="G472" t="str">
        <f>IFERROR(__xludf.DUMMYFUNCTION("""COMPUTED_VALUE"""),"-")</f>
        <v>-</v>
      </c>
      <c r="H472" t="str">
        <f>IFERROR(__xludf.DUMMYFUNCTION("""COMPUTED_VALUE"""),"-")</f>
        <v>-</v>
      </c>
      <c r="I472" t="str">
        <f>IFERROR(__xludf.DUMMYFUNCTION("""COMPUTED_VALUE"""),"-")</f>
        <v>-</v>
      </c>
      <c r="J472" t="str">
        <f>IFERROR(__xludf.DUMMYFUNCTION("""COMPUTED_VALUE"""),"-")</f>
        <v>-</v>
      </c>
      <c r="K472" t="str">
        <f>IFERROR(__xludf.DUMMYFUNCTION("""COMPUTED_VALUE"""),"-")</f>
        <v>-</v>
      </c>
      <c r="L472" t="str">
        <f>IFERROR(__xludf.DUMMYFUNCTION("""COMPUTED_VALUE"""),"-")</f>
        <v>-</v>
      </c>
      <c r="M472" t="str">
        <f>IFERROR(__xludf.DUMMYFUNCTION("""COMPUTED_VALUE"""),"-")</f>
        <v>-</v>
      </c>
      <c r="O472" t="str">
        <f>IFERROR(__xludf.DUMMYFUNCTION("""COMPUTED_VALUE"""),"#471")</f>
        <v>#471</v>
      </c>
      <c r="P472" t="str">
        <f>IFERROR(__xludf.DUMMYFUNCTION("""COMPUTED_VALUE"""),"Amaury Navarranne")</f>
        <v>Amaury Navarranne</v>
      </c>
      <c r="Q472">
        <f>IFERROR(__xludf.DUMMYFUNCTION("""COMPUTED_VALUE"""),3798.0)</f>
        <v>3798</v>
      </c>
      <c r="R472" t="str">
        <f>IFERROR(__xludf.DUMMYFUNCTION("""COMPUTED_VALUE"""),"-")</f>
        <v>-</v>
      </c>
      <c r="S472" t="str">
        <f>IFERROR(__xludf.DUMMYFUNCTION("""COMPUTED_VALUE"""),"-")</f>
        <v>-</v>
      </c>
      <c r="T472" t="str">
        <f>IFERROR(__xludf.DUMMYFUNCTION("""COMPUTED_VALUE"""),"-")</f>
        <v>-</v>
      </c>
      <c r="U472" t="str">
        <f>IFERROR(__xludf.DUMMYFUNCTION("""COMPUTED_VALUE"""),"-")</f>
        <v>-</v>
      </c>
      <c r="V472" t="str">
        <f>IFERROR(__xludf.DUMMYFUNCTION("""COMPUTED_VALUE"""),"-")</f>
        <v>-</v>
      </c>
      <c r="W472" t="str">
        <f>IFERROR(__xludf.DUMMYFUNCTION("""COMPUTED_VALUE"""),"-")</f>
        <v>-</v>
      </c>
      <c r="X472" t="str">
        <f>IFERROR(__xludf.DUMMYFUNCTION("""COMPUTED_VALUE"""),"-")</f>
        <v>-</v>
      </c>
      <c r="Y472" t="str">
        <f>IFERROR(__xludf.DUMMYFUNCTION("""COMPUTED_VALUE"""),"-")</f>
        <v>-</v>
      </c>
      <c r="Z472" t="str">
        <f>IFERROR(__xludf.DUMMYFUNCTION("""COMPUTED_VALUE"""),"-")</f>
        <v>-</v>
      </c>
      <c r="AA472" t="str">
        <f>IFERROR(__xludf.DUMMYFUNCTION("""COMPUTED_VALUE"""),"-")</f>
        <v>-</v>
      </c>
    </row>
    <row r="473">
      <c r="A473" t="str">
        <f>IFERROR(__xludf.DUMMYFUNCTION("""COMPUTED_VALUE"""),"#472")</f>
        <v>#472</v>
      </c>
      <c r="B473" t="str">
        <f>IFERROR(__xludf.DUMMYFUNCTION("""COMPUTED_VALUE"""),"Alexandra Siarri")</f>
        <v>Alexandra Siarri</v>
      </c>
      <c r="C473">
        <f>IFERROR(__xludf.DUMMYFUNCTION("""COMPUTED_VALUE"""),3725.0)</f>
        <v>3725</v>
      </c>
      <c r="D473" t="str">
        <f>IFERROR(__xludf.DUMMYFUNCTION("""COMPUTED_VALUE"""),"-")</f>
        <v>-</v>
      </c>
      <c r="E473" t="str">
        <f>IFERROR(__xludf.DUMMYFUNCTION("""COMPUTED_VALUE"""),"-")</f>
        <v>-</v>
      </c>
      <c r="F473" t="str">
        <f>IFERROR(__xludf.DUMMYFUNCTION("""COMPUTED_VALUE"""),"-")</f>
        <v>-</v>
      </c>
      <c r="G473" t="str">
        <f>IFERROR(__xludf.DUMMYFUNCTION("""COMPUTED_VALUE"""),"-")</f>
        <v>-</v>
      </c>
      <c r="H473" t="str">
        <f>IFERROR(__xludf.DUMMYFUNCTION("""COMPUTED_VALUE"""),"-")</f>
        <v>-</v>
      </c>
      <c r="I473" t="str">
        <f>IFERROR(__xludf.DUMMYFUNCTION("""COMPUTED_VALUE"""),"-")</f>
        <v>-</v>
      </c>
      <c r="J473" t="str">
        <f>IFERROR(__xludf.DUMMYFUNCTION("""COMPUTED_VALUE"""),"-")</f>
        <v>-</v>
      </c>
      <c r="K473" t="str">
        <f>IFERROR(__xludf.DUMMYFUNCTION("""COMPUTED_VALUE"""),"-")</f>
        <v>-</v>
      </c>
      <c r="L473" t="str">
        <f>IFERROR(__xludf.DUMMYFUNCTION("""COMPUTED_VALUE"""),"-")</f>
        <v>-</v>
      </c>
      <c r="M473" t="str">
        <f>IFERROR(__xludf.DUMMYFUNCTION("""COMPUTED_VALUE"""),"-")</f>
        <v>-</v>
      </c>
      <c r="O473" t="str">
        <f>IFERROR(__xludf.DUMMYFUNCTION("""COMPUTED_VALUE"""),"#472")</f>
        <v>#472</v>
      </c>
      <c r="P473" t="str">
        <f>IFERROR(__xludf.DUMMYFUNCTION("""COMPUTED_VALUE"""),"Alexandra Siarri")</f>
        <v>Alexandra Siarri</v>
      </c>
      <c r="Q473">
        <f>IFERROR(__xludf.DUMMYFUNCTION("""COMPUTED_VALUE"""),3725.0)</f>
        <v>3725</v>
      </c>
      <c r="R473" t="str">
        <f>IFERROR(__xludf.DUMMYFUNCTION("""COMPUTED_VALUE"""),"-")</f>
        <v>-</v>
      </c>
      <c r="S473" t="str">
        <f>IFERROR(__xludf.DUMMYFUNCTION("""COMPUTED_VALUE"""),"-")</f>
        <v>-</v>
      </c>
      <c r="T473" t="str">
        <f>IFERROR(__xludf.DUMMYFUNCTION("""COMPUTED_VALUE"""),"-")</f>
        <v>-</v>
      </c>
      <c r="U473" t="str">
        <f>IFERROR(__xludf.DUMMYFUNCTION("""COMPUTED_VALUE"""),"-")</f>
        <v>-</v>
      </c>
      <c r="V473" t="str">
        <f>IFERROR(__xludf.DUMMYFUNCTION("""COMPUTED_VALUE"""),"-")</f>
        <v>-</v>
      </c>
      <c r="W473" t="str">
        <f>IFERROR(__xludf.DUMMYFUNCTION("""COMPUTED_VALUE"""),"-")</f>
        <v>-</v>
      </c>
      <c r="X473" t="str">
        <f>IFERROR(__xludf.DUMMYFUNCTION("""COMPUTED_VALUE"""),"-")</f>
        <v>-</v>
      </c>
      <c r="Y473" t="str">
        <f>IFERROR(__xludf.DUMMYFUNCTION("""COMPUTED_VALUE"""),"-")</f>
        <v>-</v>
      </c>
      <c r="Z473" t="str">
        <f>IFERROR(__xludf.DUMMYFUNCTION("""COMPUTED_VALUE"""),"-")</f>
        <v>-</v>
      </c>
      <c r="AA473" t="str">
        <f>IFERROR(__xludf.DUMMYFUNCTION("""COMPUTED_VALUE"""),"-")</f>
        <v>-</v>
      </c>
    </row>
    <row r="474">
      <c r="A474" t="str">
        <f>IFERROR(__xludf.DUMMYFUNCTION("""COMPUTED_VALUE"""),"#473")</f>
        <v>#473</v>
      </c>
      <c r="B474" t="str">
        <f>IFERROR(__xludf.DUMMYFUNCTION("""COMPUTED_VALUE"""),"Alexandre Scheuer")</f>
        <v>Alexandre Scheuer</v>
      </c>
      <c r="C474">
        <f>IFERROR(__xludf.DUMMYFUNCTION("""COMPUTED_VALUE"""),3709.0)</f>
        <v>3709</v>
      </c>
      <c r="D474" t="str">
        <f>IFERROR(__xludf.DUMMYFUNCTION("""COMPUTED_VALUE"""),"-")</f>
        <v>-</v>
      </c>
      <c r="E474" t="str">
        <f>IFERROR(__xludf.DUMMYFUNCTION("""COMPUTED_VALUE"""),"-")</f>
        <v>-</v>
      </c>
      <c r="F474" t="str">
        <f>IFERROR(__xludf.DUMMYFUNCTION("""COMPUTED_VALUE"""),"-")</f>
        <v>-</v>
      </c>
      <c r="G474" t="str">
        <f>IFERROR(__xludf.DUMMYFUNCTION("""COMPUTED_VALUE"""),"-")</f>
        <v>-</v>
      </c>
      <c r="H474" t="str">
        <f>IFERROR(__xludf.DUMMYFUNCTION("""COMPUTED_VALUE"""),"-")</f>
        <v>-</v>
      </c>
      <c r="I474" t="str">
        <f>IFERROR(__xludf.DUMMYFUNCTION("""COMPUTED_VALUE"""),"-")</f>
        <v>-</v>
      </c>
      <c r="J474" t="str">
        <f>IFERROR(__xludf.DUMMYFUNCTION("""COMPUTED_VALUE"""),"-")</f>
        <v>-</v>
      </c>
      <c r="K474" t="str">
        <f>IFERROR(__xludf.DUMMYFUNCTION("""COMPUTED_VALUE"""),"-")</f>
        <v>-</v>
      </c>
      <c r="L474" t="str">
        <f>IFERROR(__xludf.DUMMYFUNCTION("""COMPUTED_VALUE"""),"-")</f>
        <v>-</v>
      </c>
      <c r="M474" t="str">
        <f>IFERROR(__xludf.DUMMYFUNCTION("""COMPUTED_VALUE"""),"-")</f>
        <v>-</v>
      </c>
      <c r="O474" t="str">
        <f>IFERROR(__xludf.DUMMYFUNCTION("""COMPUTED_VALUE"""),"#473")</f>
        <v>#473</v>
      </c>
      <c r="P474" t="str">
        <f>IFERROR(__xludf.DUMMYFUNCTION("""COMPUTED_VALUE"""),"Alexandre Scheuer")</f>
        <v>Alexandre Scheuer</v>
      </c>
      <c r="Q474">
        <f>IFERROR(__xludf.DUMMYFUNCTION("""COMPUTED_VALUE"""),3709.0)</f>
        <v>3709</v>
      </c>
      <c r="R474" t="str">
        <f>IFERROR(__xludf.DUMMYFUNCTION("""COMPUTED_VALUE"""),"-")</f>
        <v>-</v>
      </c>
      <c r="S474" t="str">
        <f>IFERROR(__xludf.DUMMYFUNCTION("""COMPUTED_VALUE"""),"-")</f>
        <v>-</v>
      </c>
      <c r="T474" t="str">
        <f>IFERROR(__xludf.DUMMYFUNCTION("""COMPUTED_VALUE"""),"-")</f>
        <v>-</v>
      </c>
      <c r="U474" t="str">
        <f>IFERROR(__xludf.DUMMYFUNCTION("""COMPUTED_VALUE"""),"-")</f>
        <v>-</v>
      </c>
      <c r="V474" t="str">
        <f>IFERROR(__xludf.DUMMYFUNCTION("""COMPUTED_VALUE"""),"-")</f>
        <v>-</v>
      </c>
      <c r="W474" t="str">
        <f>IFERROR(__xludf.DUMMYFUNCTION("""COMPUTED_VALUE"""),"-")</f>
        <v>-</v>
      </c>
      <c r="X474" t="str">
        <f>IFERROR(__xludf.DUMMYFUNCTION("""COMPUTED_VALUE"""),"-")</f>
        <v>-</v>
      </c>
      <c r="Y474" t="str">
        <f>IFERROR(__xludf.DUMMYFUNCTION("""COMPUTED_VALUE"""),"-")</f>
        <v>-</v>
      </c>
      <c r="Z474" t="str">
        <f>IFERROR(__xludf.DUMMYFUNCTION("""COMPUTED_VALUE"""),"-")</f>
        <v>-</v>
      </c>
      <c r="AA474" t="str">
        <f>IFERROR(__xludf.DUMMYFUNCTION("""COMPUTED_VALUE"""),"-")</f>
        <v>-</v>
      </c>
    </row>
    <row r="475">
      <c r="A475" t="str">
        <f>IFERROR(__xludf.DUMMYFUNCTION("""COMPUTED_VALUE"""),"#474")</f>
        <v>#474</v>
      </c>
      <c r="B475" t="str">
        <f>IFERROR(__xludf.DUMMYFUNCTION("""COMPUTED_VALUE"""),"Thierry Tsagalos")</f>
        <v>Thierry Tsagalos</v>
      </c>
      <c r="C475">
        <f>IFERROR(__xludf.DUMMYFUNCTION("""COMPUTED_VALUE"""),3652.0)</f>
        <v>3652</v>
      </c>
      <c r="D475" t="str">
        <f>IFERROR(__xludf.DUMMYFUNCTION("""COMPUTED_VALUE"""),"-")</f>
        <v>-</v>
      </c>
      <c r="E475" t="str">
        <f>IFERROR(__xludf.DUMMYFUNCTION("""COMPUTED_VALUE"""),"-")</f>
        <v>-</v>
      </c>
      <c r="F475" t="str">
        <f>IFERROR(__xludf.DUMMYFUNCTION("""COMPUTED_VALUE"""),"-")</f>
        <v>-</v>
      </c>
      <c r="G475" t="str">
        <f>IFERROR(__xludf.DUMMYFUNCTION("""COMPUTED_VALUE"""),"-")</f>
        <v>-</v>
      </c>
      <c r="H475" t="str">
        <f>IFERROR(__xludf.DUMMYFUNCTION("""COMPUTED_VALUE"""),"-")</f>
        <v>-</v>
      </c>
      <c r="I475" t="str">
        <f>IFERROR(__xludf.DUMMYFUNCTION("""COMPUTED_VALUE"""),"-")</f>
        <v>-</v>
      </c>
      <c r="J475" t="str">
        <f>IFERROR(__xludf.DUMMYFUNCTION("""COMPUTED_VALUE"""),"-")</f>
        <v>-</v>
      </c>
      <c r="K475" t="str">
        <f>IFERROR(__xludf.DUMMYFUNCTION("""COMPUTED_VALUE"""),"-")</f>
        <v>-</v>
      </c>
      <c r="L475" t="str">
        <f>IFERROR(__xludf.DUMMYFUNCTION("""COMPUTED_VALUE"""),"-")</f>
        <v>-</v>
      </c>
      <c r="M475" t="str">
        <f>IFERROR(__xludf.DUMMYFUNCTION("""COMPUTED_VALUE"""),"-")</f>
        <v>-</v>
      </c>
      <c r="O475" t="str">
        <f>IFERROR(__xludf.DUMMYFUNCTION("""COMPUTED_VALUE"""),"#474")</f>
        <v>#474</v>
      </c>
      <c r="P475" t="str">
        <f>IFERROR(__xludf.DUMMYFUNCTION("""COMPUTED_VALUE"""),"Thierry Tsagalos")</f>
        <v>Thierry Tsagalos</v>
      </c>
      <c r="Q475">
        <f>IFERROR(__xludf.DUMMYFUNCTION("""COMPUTED_VALUE"""),3652.0)</f>
        <v>3652</v>
      </c>
      <c r="R475" t="str">
        <f>IFERROR(__xludf.DUMMYFUNCTION("""COMPUTED_VALUE"""),"-")</f>
        <v>-</v>
      </c>
      <c r="S475" t="str">
        <f>IFERROR(__xludf.DUMMYFUNCTION("""COMPUTED_VALUE"""),"-")</f>
        <v>-</v>
      </c>
      <c r="T475" t="str">
        <f>IFERROR(__xludf.DUMMYFUNCTION("""COMPUTED_VALUE"""),"-")</f>
        <v>-</v>
      </c>
      <c r="U475" t="str">
        <f>IFERROR(__xludf.DUMMYFUNCTION("""COMPUTED_VALUE"""),"-")</f>
        <v>-</v>
      </c>
      <c r="V475" t="str">
        <f>IFERROR(__xludf.DUMMYFUNCTION("""COMPUTED_VALUE"""),"-")</f>
        <v>-</v>
      </c>
      <c r="W475" t="str">
        <f>IFERROR(__xludf.DUMMYFUNCTION("""COMPUTED_VALUE"""),"-")</f>
        <v>-</v>
      </c>
      <c r="X475" t="str">
        <f>IFERROR(__xludf.DUMMYFUNCTION("""COMPUTED_VALUE"""),"-")</f>
        <v>-</v>
      </c>
      <c r="Y475" t="str">
        <f>IFERROR(__xludf.DUMMYFUNCTION("""COMPUTED_VALUE"""),"-")</f>
        <v>-</v>
      </c>
      <c r="Z475" t="str">
        <f>IFERROR(__xludf.DUMMYFUNCTION("""COMPUTED_VALUE"""),"-")</f>
        <v>-</v>
      </c>
      <c r="AA475" t="str">
        <f>IFERROR(__xludf.DUMMYFUNCTION("""COMPUTED_VALUE"""),"-")</f>
        <v>-</v>
      </c>
    </row>
    <row r="476">
      <c r="A476" t="str">
        <f>IFERROR(__xludf.DUMMYFUNCTION("""COMPUTED_VALUE"""),"#475")</f>
        <v>#475</v>
      </c>
      <c r="B476" t="str">
        <f>IFERROR(__xludf.DUMMYFUNCTION("""COMPUTED_VALUE"""),"Nicolas Doucerain")</f>
        <v>Nicolas Doucerain</v>
      </c>
      <c r="C476">
        <f>IFERROR(__xludf.DUMMYFUNCTION("""COMPUTED_VALUE"""),3641.0)</f>
        <v>3641</v>
      </c>
      <c r="D476" t="str">
        <f>IFERROR(__xludf.DUMMYFUNCTION("""COMPUTED_VALUE"""),"-")</f>
        <v>-</v>
      </c>
      <c r="E476" t="str">
        <f>IFERROR(__xludf.DUMMYFUNCTION("""COMPUTED_VALUE"""),"-")</f>
        <v>-</v>
      </c>
      <c r="F476" t="str">
        <f>IFERROR(__xludf.DUMMYFUNCTION("""COMPUTED_VALUE"""),"-")</f>
        <v>-</v>
      </c>
      <c r="G476" t="str">
        <f>IFERROR(__xludf.DUMMYFUNCTION("""COMPUTED_VALUE"""),"-")</f>
        <v>-</v>
      </c>
      <c r="H476" t="str">
        <f>IFERROR(__xludf.DUMMYFUNCTION("""COMPUTED_VALUE"""),"-")</f>
        <v>-</v>
      </c>
      <c r="I476" t="str">
        <f>IFERROR(__xludf.DUMMYFUNCTION("""COMPUTED_VALUE"""),"-")</f>
        <v>-</v>
      </c>
      <c r="J476" t="str">
        <f>IFERROR(__xludf.DUMMYFUNCTION("""COMPUTED_VALUE"""),"-")</f>
        <v>-</v>
      </c>
      <c r="K476" t="str">
        <f>IFERROR(__xludf.DUMMYFUNCTION("""COMPUTED_VALUE"""),"-")</f>
        <v>-</v>
      </c>
      <c r="L476" t="str">
        <f>IFERROR(__xludf.DUMMYFUNCTION("""COMPUTED_VALUE"""),"-")</f>
        <v>-</v>
      </c>
      <c r="M476" t="str">
        <f>IFERROR(__xludf.DUMMYFUNCTION("""COMPUTED_VALUE"""),"-")</f>
        <v>-</v>
      </c>
      <c r="O476" t="str">
        <f>IFERROR(__xludf.DUMMYFUNCTION("""COMPUTED_VALUE"""),"#475")</f>
        <v>#475</v>
      </c>
      <c r="P476" t="str">
        <f>IFERROR(__xludf.DUMMYFUNCTION("""COMPUTED_VALUE"""),"Nicolas Doucerain")</f>
        <v>Nicolas Doucerain</v>
      </c>
      <c r="Q476">
        <f>IFERROR(__xludf.DUMMYFUNCTION("""COMPUTED_VALUE"""),3641.0)</f>
        <v>3641</v>
      </c>
      <c r="R476" t="str">
        <f>IFERROR(__xludf.DUMMYFUNCTION("""COMPUTED_VALUE"""),"-")</f>
        <v>-</v>
      </c>
      <c r="S476" t="str">
        <f>IFERROR(__xludf.DUMMYFUNCTION("""COMPUTED_VALUE"""),"-")</f>
        <v>-</v>
      </c>
      <c r="T476" t="str">
        <f>IFERROR(__xludf.DUMMYFUNCTION("""COMPUTED_VALUE"""),"-")</f>
        <v>-</v>
      </c>
      <c r="U476" t="str">
        <f>IFERROR(__xludf.DUMMYFUNCTION("""COMPUTED_VALUE"""),"-")</f>
        <v>-</v>
      </c>
      <c r="V476" t="str">
        <f>IFERROR(__xludf.DUMMYFUNCTION("""COMPUTED_VALUE"""),"-")</f>
        <v>-</v>
      </c>
      <c r="W476" t="str">
        <f>IFERROR(__xludf.DUMMYFUNCTION("""COMPUTED_VALUE"""),"-")</f>
        <v>-</v>
      </c>
      <c r="X476" t="str">
        <f>IFERROR(__xludf.DUMMYFUNCTION("""COMPUTED_VALUE"""),"-")</f>
        <v>-</v>
      </c>
      <c r="Y476" t="str">
        <f>IFERROR(__xludf.DUMMYFUNCTION("""COMPUTED_VALUE"""),"-")</f>
        <v>-</v>
      </c>
      <c r="Z476" t="str">
        <f>IFERROR(__xludf.DUMMYFUNCTION("""COMPUTED_VALUE"""),"-")</f>
        <v>-</v>
      </c>
      <c r="AA476" t="str">
        <f>IFERROR(__xludf.DUMMYFUNCTION("""COMPUTED_VALUE"""),"-")</f>
        <v>-</v>
      </c>
    </row>
    <row r="477">
      <c r="A477" t="str">
        <f>IFERROR(__xludf.DUMMYFUNCTION("""COMPUTED_VALUE"""),"#476")</f>
        <v>#476</v>
      </c>
      <c r="B477" t="str">
        <f>IFERROR(__xludf.DUMMYFUNCTION("""COMPUTED_VALUE"""),"Marie Duret-Pujol")</f>
        <v>Marie Duret-Pujol</v>
      </c>
      <c r="C477">
        <f>IFERROR(__xludf.DUMMYFUNCTION("""COMPUTED_VALUE"""),3597.0)</f>
        <v>3597</v>
      </c>
      <c r="D477" t="str">
        <f>IFERROR(__xludf.DUMMYFUNCTION("""COMPUTED_VALUE"""),"-")</f>
        <v>-</v>
      </c>
      <c r="E477" t="str">
        <f>IFERROR(__xludf.DUMMYFUNCTION("""COMPUTED_VALUE"""),"-")</f>
        <v>-</v>
      </c>
      <c r="F477" t="str">
        <f>IFERROR(__xludf.DUMMYFUNCTION("""COMPUTED_VALUE"""),"-")</f>
        <v>-</v>
      </c>
      <c r="G477" t="str">
        <f>IFERROR(__xludf.DUMMYFUNCTION("""COMPUTED_VALUE"""),"-")</f>
        <v>-</v>
      </c>
      <c r="H477" t="str">
        <f>IFERROR(__xludf.DUMMYFUNCTION("""COMPUTED_VALUE"""),"-")</f>
        <v>-</v>
      </c>
      <c r="I477" t="str">
        <f>IFERROR(__xludf.DUMMYFUNCTION("""COMPUTED_VALUE"""),"-")</f>
        <v>-</v>
      </c>
      <c r="J477" t="str">
        <f>IFERROR(__xludf.DUMMYFUNCTION("""COMPUTED_VALUE"""),"-")</f>
        <v>-</v>
      </c>
      <c r="K477" t="str">
        <f>IFERROR(__xludf.DUMMYFUNCTION("""COMPUTED_VALUE"""),"-")</f>
        <v>-</v>
      </c>
      <c r="L477" t="str">
        <f>IFERROR(__xludf.DUMMYFUNCTION("""COMPUTED_VALUE"""),"-")</f>
        <v>-</v>
      </c>
      <c r="M477" t="str">
        <f>IFERROR(__xludf.DUMMYFUNCTION("""COMPUTED_VALUE"""),"-")</f>
        <v>-</v>
      </c>
      <c r="O477" t="str">
        <f>IFERROR(__xludf.DUMMYFUNCTION("""COMPUTED_VALUE"""),"#476")</f>
        <v>#476</v>
      </c>
      <c r="P477" t="str">
        <f>IFERROR(__xludf.DUMMYFUNCTION("""COMPUTED_VALUE"""),"Marie Duret-Pujol")</f>
        <v>Marie Duret-Pujol</v>
      </c>
      <c r="Q477">
        <f>IFERROR(__xludf.DUMMYFUNCTION("""COMPUTED_VALUE"""),3597.0)</f>
        <v>3597</v>
      </c>
      <c r="R477" t="str">
        <f>IFERROR(__xludf.DUMMYFUNCTION("""COMPUTED_VALUE"""),"-")</f>
        <v>-</v>
      </c>
      <c r="S477" t="str">
        <f>IFERROR(__xludf.DUMMYFUNCTION("""COMPUTED_VALUE"""),"-")</f>
        <v>-</v>
      </c>
      <c r="T477" t="str">
        <f>IFERROR(__xludf.DUMMYFUNCTION("""COMPUTED_VALUE"""),"-")</f>
        <v>-</v>
      </c>
      <c r="U477" t="str">
        <f>IFERROR(__xludf.DUMMYFUNCTION("""COMPUTED_VALUE"""),"-")</f>
        <v>-</v>
      </c>
      <c r="V477" t="str">
        <f>IFERROR(__xludf.DUMMYFUNCTION("""COMPUTED_VALUE"""),"-")</f>
        <v>-</v>
      </c>
      <c r="W477" t="str">
        <f>IFERROR(__xludf.DUMMYFUNCTION("""COMPUTED_VALUE"""),"-")</f>
        <v>-</v>
      </c>
      <c r="X477" t="str">
        <f>IFERROR(__xludf.DUMMYFUNCTION("""COMPUTED_VALUE"""),"-")</f>
        <v>-</v>
      </c>
      <c r="Y477" t="str">
        <f>IFERROR(__xludf.DUMMYFUNCTION("""COMPUTED_VALUE"""),"-")</f>
        <v>-</v>
      </c>
      <c r="Z477" t="str">
        <f>IFERROR(__xludf.DUMMYFUNCTION("""COMPUTED_VALUE"""),"-")</f>
        <v>-</v>
      </c>
      <c r="AA477" t="str">
        <f>IFERROR(__xludf.DUMMYFUNCTION("""COMPUTED_VALUE"""),"-")</f>
        <v>-</v>
      </c>
    </row>
    <row r="478">
      <c r="A478" t="str">
        <f>IFERROR(__xludf.DUMMYFUNCTION("""COMPUTED_VALUE"""),"#477")</f>
        <v>#477</v>
      </c>
      <c r="B478" t="str">
        <f>IFERROR(__xludf.DUMMYFUNCTION("""COMPUTED_VALUE"""),"Jean-Pierre Decool")</f>
        <v>Jean-Pierre Decool</v>
      </c>
      <c r="C478">
        <f>IFERROR(__xludf.DUMMYFUNCTION("""COMPUTED_VALUE"""),3589.0)</f>
        <v>3589</v>
      </c>
      <c r="D478" t="str">
        <f>IFERROR(__xludf.DUMMYFUNCTION("""COMPUTED_VALUE"""),"-")</f>
        <v>-</v>
      </c>
      <c r="E478" t="str">
        <f>IFERROR(__xludf.DUMMYFUNCTION("""COMPUTED_VALUE"""),"-")</f>
        <v>-</v>
      </c>
      <c r="F478" t="str">
        <f>IFERROR(__xludf.DUMMYFUNCTION("""COMPUTED_VALUE"""),"-")</f>
        <v>-</v>
      </c>
      <c r="G478" t="str">
        <f>IFERROR(__xludf.DUMMYFUNCTION("""COMPUTED_VALUE"""),"-")</f>
        <v>-</v>
      </c>
      <c r="H478" t="str">
        <f>IFERROR(__xludf.DUMMYFUNCTION("""COMPUTED_VALUE"""),"-")</f>
        <v>-</v>
      </c>
      <c r="I478" t="str">
        <f>IFERROR(__xludf.DUMMYFUNCTION("""COMPUTED_VALUE"""),"-")</f>
        <v>-</v>
      </c>
      <c r="J478" t="str">
        <f>IFERROR(__xludf.DUMMYFUNCTION("""COMPUTED_VALUE"""),"-")</f>
        <v>-</v>
      </c>
      <c r="K478" t="str">
        <f>IFERROR(__xludf.DUMMYFUNCTION("""COMPUTED_VALUE"""),"-")</f>
        <v>-</v>
      </c>
      <c r="L478" t="str">
        <f>IFERROR(__xludf.DUMMYFUNCTION("""COMPUTED_VALUE"""),"-")</f>
        <v>-</v>
      </c>
      <c r="M478" t="str">
        <f>IFERROR(__xludf.DUMMYFUNCTION("""COMPUTED_VALUE"""),"-")</f>
        <v>-</v>
      </c>
      <c r="O478" t="str">
        <f>IFERROR(__xludf.DUMMYFUNCTION("""COMPUTED_VALUE"""),"#477")</f>
        <v>#477</v>
      </c>
      <c r="P478" t="str">
        <f>IFERROR(__xludf.DUMMYFUNCTION("""COMPUTED_VALUE"""),"Jean-Pierre Decool")</f>
        <v>Jean-Pierre Decool</v>
      </c>
      <c r="Q478">
        <f>IFERROR(__xludf.DUMMYFUNCTION("""COMPUTED_VALUE"""),3589.0)</f>
        <v>3589</v>
      </c>
      <c r="R478" t="str">
        <f>IFERROR(__xludf.DUMMYFUNCTION("""COMPUTED_VALUE"""),"-")</f>
        <v>-</v>
      </c>
      <c r="S478" t="str">
        <f>IFERROR(__xludf.DUMMYFUNCTION("""COMPUTED_VALUE"""),"-")</f>
        <v>-</v>
      </c>
      <c r="T478" t="str">
        <f>IFERROR(__xludf.DUMMYFUNCTION("""COMPUTED_VALUE"""),"-")</f>
        <v>-</v>
      </c>
      <c r="U478" t="str">
        <f>IFERROR(__xludf.DUMMYFUNCTION("""COMPUTED_VALUE"""),"-")</f>
        <v>-</v>
      </c>
      <c r="V478" t="str">
        <f>IFERROR(__xludf.DUMMYFUNCTION("""COMPUTED_VALUE"""),"-")</f>
        <v>-</v>
      </c>
      <c r="W478" t="str">
        <f>IFERROR(__xludf.DUMMYFUNCTION("""COMPUTED_VALUE"""),"-")</f>
        <v>-</v>
      </c>
      <c r="X478" t="str">
        <f>IFERROR(__xludf.DUMMYFUNCTION("""COMPUTED_VALUE"""),"-")</f>
        <v>-</v>
      </c>
      <c r="Y478" t="str">
        <f>IFERROR(__xludf.DUMMYFUNCTION("""COMPUTED_VALUE"""),"-")</f>
        <v>-</v>
      </c>
      <c r="Z478" t="str">
        <f>IFERROR(__xludf.DUMMYFUNCTION("""COMPUTED_VALUE"""),"-")</f>
        <v>-</v>
      </c>
      <c r="AA478" t="str">
        <f>IFERROR(__xludf.DUMMYFUNCTION("""COMPUTED_VALUE"""),"-")</f>
        <v>-</v>
      </c>
    </row>
    <row r="479">
      <c r="A479" t="str">
        <f>IFERROR(__xludf.DUMMYFUNCTION("""COMPUTED_VALUE"""),"#478")</f>
        <v>#478</v>
      </c>
      <c r="B479" t="str">
        <f>IFERROR(__xludf.DUMMYFUNCTION("""COMPUTED_VALUE"""),"Gerbert Rambaud")</f>
        <v>Gerbert Rambaud</v>
      </c>
      <c r="C479">
        <f>IFERROR(__xludf.DUMMYFUNCTION("""COMPUTED_VALUE"""),3573.0)</f>
        <v>3573</v>
      </c>
      <c r="D479" t="str">
        <f>IFERROR(__xludf.DUMMYFUNCTION("""COMPUTED_VALUE"""),"-")</f>
        <v>-</v>
      </c>
      <c r="E479" t="str">
        <f>IFERROR(__xludf.DUMMYFUNCTION("""COMPUTED_VALUE"""),"-")</f>
        <v>-</v>
      </c>
      <c r="F479" t="str">
        <f>IFERROR(__xludf.DUMMYFUNCTION("""COMPUTED_VALUE"""),"-")</f>
        <v>-</v>
      </c>
      <c r="G479" t="str">
        <f>IFERROR(__xludf.DUMMYFUNCTION("""COMPUTED_VALUE"""),"-")</f>
        <v>-</v>
      </c>
      <c r="H479" t="str">
        <f>IFERROR(__xludf.DUMMYFUNCTION("""COMPUTED_VALUE"""),"-")</f>
        <v>-</v>
      </c>
      <c r="I479" t="str">
        <f>IFERROR(__xludf.DUMMYFUNCTION("""COMPUTED_VALUE"""),"-")</f>
        <v>-</v>
      </c>
      <c r="J479" t="str">
        <f>IFERROR(__xludf.DUMMYFUNCTION("""COMPUTED_VALUE"""),"-")</f>
        <v>-</v>
      </c>
      <c r="K479" t="str">
        <f>IFERROR(__xludf.DUMMYFUNCTION("""COMPUTED_VALUE"""),"-")</f>
        <v>-</v>
      </c>
      <c r="L479" t="str">
        <f>IFERROR(__xludf.DUMMYFUNCTION("""COMPUTED_VALUE"""),"-")</f>
        <v>-</v>
      </c>
      <c r="M479" t="str">
        <f>IFERROR(__xludf.DUMMYFUNCTION("""COMPUTED_VALUE"""),"-")</f>
        <v>-</v>
      </c>
      <c r="O479" t="str">
        <f>IFERROR(__xludf.DUMMYFUNCTION("""COMPUTED_VALUE"""),"#478")</f>
        <v>#478</v>
      </c>
      <c r="P479" t="str">
        <f>IFERROR(__xludf.DUMMYFUNCTION("""COMPUTED_VALUE"""),"Gerbert Rambaud")</f>
        <v>Gerbert Rambaud</v>
      </c>
      <c r="Q479">
        <f>IFERROR(__xludf.DUMMYFUNCTION("""COMPUTED_VALUE"""),3573.0)</f>
        <v>3573</v>
      </c>
      <c r="R479" t="str">
        <f>IFERROR(__xludf.DUMMYFUNCTION("""COMPUTED_VALUE"""),"-")</f>
        <v>-</v>
      </c>
      <c r="S479" t="str">
        <f>IFERROR(__xludf.DUMMYFUNCTION("""COMPUTED_VALUE"""),"-")</f>
        <v>-</v>
      </c>
      <c r="T479" t="str">
        <f>IFERROR(__xludf.DUMMYFUNCTION("""COMPUTED_VALUE"""),"-")</f>
        <v>-</v>
      </c>
      <c r="U479" t="str">
        <f>IFERROR(__xludf.DUMMYFUNCTION("""COMPUTED_VALUE"""),"-")</f>
        <v>-</v>
      </c>
      <c r="V479" t="str">
        <f>IFERROR(__xludf.DUMMYFUNCTION("""COMPUTED_VALUE"""),"-")</f>
        <v>-</v>
      </c>
      <c r="W479" t="str">
        <f>IFERROR(__xludf.DUMMYFUNCTION("""COMPUTED_VALUE"""),"-")</f>
        <v>-</v>
      </c>
      <c r="X479" t="str">
        <f>IFERROR(__xludf.DUMMYFUNCTION("""COMPUTED_VALUE"""),"-")</f>
        <v>-</v>
      </c>
      <c r="Y479" t="str">
        <f>IFERROR(__xludf.DUMMYFUNCTION("""COMPUTED_VALUE"""),"-")</f>
        <v>-</v>
      </c>
      <c r="Z479" t="str">
        <f>IFERROR(__xludf.DUMMYFUNCTION("""COMPUTED_VALUE"""),"-")</f>
        <v>-</v>
      </c>
      <c r="AA479" t="str">
        <f>IFERROR(__xludf.DUMMYFUNCTION("""COMPUTED_VALUE"""),"-")</f>
        <v>-</v>
      </c>
    </row>
    <row r="480">
      <c r="A480" t="str">
        <f>IFERROR(__xludf.DUMMYFUNCTION("""COMPUTED_VALUE"""),"#479")</f>
        <v>#479</v>
      </c>
      <c r="B480" t="str">
        <f>IFERROR(__xludf.DUMMYFUNCTION("""COMPUTED_VALUE"""),"Yves Contassot")</f>
        <v>Yves Contassot</v>
      </c>
      <c r="C480">
        <f>IFERROR(__xludf.DUMMYFUNCTION("""COMPUTED_VALUE"""),3568.0)</f>
        <v>3568</v>
      </c>
      <c r="D480" t="str">
        <f>IFERROR(__xludf.DUMMYFUNCTION("""COMPUTED_VALUE"""),"-")</f>
        <v>-</v>
      </c>
      <c r="E480" t="str">
        <f>IFERROR(__xludf.DUMMYFUNCTION("""COMPUTED_VALUE"""),"-")</f>
        <v>-</v>
      </c>
      <c r="F480" t="str">
        <f>IFERROR(__xludf.DUMMYFUNCTION("""COMPUTED_VALUE"""),"-")</f>
        <v>-</v>
      </c>
      <c r="G480" t="str">
        <f>IFERROR(__xludf.DUMMYFUNCTION("""COMPUTED_VALUE"""),"-")</f>
        <v>-</v>
      </c>
      <c r="H480" t="str">
        <f>IFERROR(__xludf.DUMMYFUNCTION("""COMPUTED_VALUE"""),"-")</f>
        <v>-</v>
      </c>
      <c r="I480" t="str">
        <f>IFERROR(__xludf.DUMMYFUNCTION("""COMPUTED_VALUE"""),"-")</f>
        <v>-</v>
      </c>
      <c r="J480" t="str">
        <f>IFERROR(__xludf.DUMMYFUNCTION("""COMPUTED_VALUE"""),"-")</f>
        <v>-</v>
      </c>
      <c r="K480" t="str">
        <f>IFERROR(__xludf.DUMMYFUNCTION("""COMPUTED_VALUE"""),"-")</f>
        <v>-</v>
      </c>
      <c r="L480" t="str">
        <f>IFERROR(__xludf.DUMMYFUNCTION("""COMPUTED_VALUE"""),"-")</f>
        <v>-</v>
      </c>
      <c r="M480" t="str">
        <f>IFERROR(__xludf.DUMMYFUNCTION("""COMPUTED_VALUE"""),"-")</f>
        <v>-</v>
      </c>
      <c r="O480" t="str">
        <f>IFERROR(__xludf.DUMMYFUNCTION("""COMPUTED_VALUE"""),"#479")</f>
        <v>#479</v>
      </c>
      <c r="P480" t="str">
        <f>IFERROR(__xludf.DUMMYFUNCTION("""COMPUTED_VALUE"""),"Yves Contassot")</f>
        <v>Yves Contassot</v>
      </c>
      <c r="Q480">
        <f>IFERROR(__xludf.DUMMYFUNCTION("""COMPUTED_VALUE"""),3568.0)</f>
        <v>3568</v>
      </c>
      <c r="R480" t="str">
        <f>IFERROR(__xludf.DUMMYFUNCTION("""COMPUTED_VALUE"""),"-")</f>
        <v>-</v>
      </c>
      <c r="S480" t="str">
        <f>IFERROR(__xludf.DUMMYFUNCTION("""COMPUTED_VALUE"""),"-")</f>
        <v>-</v>
      </c>
      <c r="T480" t="str">
        <f>IFERROR(__xludf.DUMMYFUNCTION("""COMPUTED_VALUE"""),"-")</f>
        <v>-</v>
      </c>
      <c r="U480" t="str">
        <f>IFERROR(__xludf.DUMMYFUNCTION("""COMPUTED_VALUE"""),"-")</f>
        <v>-</v>
      </c>
      <c r="V480" t="str">
        <f>IFERROR(__xludf.DUMMYFUNCTION("""COMPUTED_VALUE"""),"-")</f>
        <v>-</v>
      </c>
      <c r="W480" t="str">
        <f>IFERROR(__xludf.DUMMYFUNCTION("""COMPUTED_VALUE"""),"-")</f>
        <v>-</v>
      </c>
      <c r="X480" t="str">
        <f>IFERROR(__xludf.DUMMYFUNCTION("""COMPUTED_VALUE"""),"-")</f>
        <v>-</v>
      </c>
      <c r="Y480" t="str">
        <f>IFERROR(__xludf.DUMMYFUNCTION("""COMPUTED_VALUE"""),"-")</f>
        <v>-</v>
      </c>
      <c r="Z480" t="str">
        <f>IFERROR(__xludf.DUMMYFUNCTION("""COMPUTED_VALUE"""),"-")</f>
        <v>-</v>
      </c>
      <c r="AA480" t="str">
        <f>IFERROR(__xludf.DUMMYFUNCTION("""COMPUTED_VALUE"""),"-")</f>
        <v>-</v>
      </c>
    </row>
    <row r="481">
      <c r="A481" t="str">
        <f>IFERROR(__xludf.DUMMYFUNCTION("""COMPUTED_VALUE"""),"#480")</f>
        <v>#480</v>
      </c>
      <c r="B481" t="str">
        <f>IFERROR(__xludf.DUMMYFUNCTION("""COMPUTED_VALUE"""),"Arnaud Viala")</f>
        <v>Arnaud Viala</v>
      </c>
      <c r="C481">
        <f>IFERROR(__xludf.DUMMYFUNCTION("""COMPUTED_VALUE"""),3555.0)</f>
        <v>3555</v>
      </c>
      <c r="D481" t="str">
        <f>IFERROR(__xludf.DUMMYFUNCTION("""COMPUTED_VALUE"""),"-")</f>
        <v>-</v>
      </c>
      <c r="E481" t="str">
        <f>IFERROR(__xludf.DUMMYFUNCTION("""COMPUTED_VALUE"""),"-")</f>
        <v>-</v>
      </c>
      <c r="F481" t="str">
        <f>IFERROR(__xludf.DUMMYFUNCTION("""COMPUTED_VALUE"""),"-")</f>
        <v>-</v>
      </c>
      <c r="G481" t="str">
        <f>IFERROR(__xludf.DUMMYFUNCTION("""COMPUTED_VALUE"""),"-")</f>
        <v>-</v>
      </c>
      <c r="H481" t="str">
        <f>IFERROR(__xludf.DUMMYFUNCTION("""COMPUTED_VALUE"""),"-")</f>
        <v>-</v>
      </c>
      <c r="I481" t="str">
        <f>IFERROR(__xludf.DUMMYFUNCTION("""COMPUTED_VALUE"""),"-")</f>
        <v>-</v>
      </c>
      <c r="J481" t="str">
        <f>IFERROR(__xludf.DUMMYFUNCTION("""COMPUTED_VALUE"""),"-")</f>
        <v>-</v>
      </c>
      <c r="K481" t="str">
        <f>IFERROR(__xludf.DUMMYFUNCTION("""COMPUTED_VALUE"""),"-")</f>
        <v>-</v>
      </c>
      <c r="L481" t="str">
        <f>IFERROR(__xludf.DUMMYFUNCTION("""COMPUTED_VALUE"""),"-")</f>
        <v>-</v>
      </c>
      <c r="M481" t="str">
        <f>IFERROR(__xludf.DUMMYFUNCTION("""COMPUTED_VALUE"""),"-")</f>
        <v>-</v>
      </c>
      <c r="O481" t="str">
        <f>IFERROR(__xludf.DUMMYFUNCTION("""COMPUTED_VALUE"""),"#480")</f>
        <v>#480</v>
      </c>
      <c r="P481" t="str">
        <f>IFERROR(__xludf.DUMMYFUNCTION("""COMPUTED_VALUE"""),"Arnaud Viala")</f>
        <v>Arnaud Viala</v>
      </c>
      <c r="Q481">
        <f>IFERROR(__xludf.DUMMYFUNCTION("""COMPUTED_VALUE"""),3555.0)</f>
        <v>3555</v>
      </c>
      <c r="R481" t="str">
        <f>IFERROR(__xludf.DUMMYFUNCTION("""COMPUTED_VALUE"""),"-")</f>
        <v>-</v>
      </c>
      <c r="S481" t="str">
        <f>IFERROR(__xludf.DUMMYFUNCTION("""COMPUTED_VALUE"""),"-")</f>
        <v>-</v>
      </c>
      <c r="T481" t="str">
        <f>IFERROR(__xludf.DUMMYFUNCTION("""COMPUTED_VALUE"""),"-")</f>
        <v>-</v>
      </c>
      <c r="U481" t="str">
        <f>IFERROR(__xludf.DUMMYFUNCTION("""COMPUTED_VALUE"""),"-")</f>
        <v>-</v>
      </c>
      <c r="V481" t="str">
        <f>IFERROR(__xludf.DUMMYFUNCTION("""COMPUTED_VALUE"""),"-")</f>
        <v>-</v>
      </c>
      <c r="W481" t="str">
        <f>IFERROR(__xludf.DUMMYFUNCTION("""COMPUTED_VALUE"""),"-")</f>
        <v>-</v>
      </c>
      <c r="X481" t="str">
        <f>IFERROR(__xludf.DUMMYFUNCTION("""COMPUTED_VALUE"""),"-")</f>
        <v>-</v>
      </c>
      <c r="Y481" t="str">
        <f>IFERROR(__xludf.DUMMYFUNCTION("""COMPUTED_VALUE"""),"-")</f>
        <v>-</v>
      </c>
      <c r="Z481" t="str">
        <f>IFERROR(__xludf.DUMMYFUNCTION("""COMPUTED_VALUE"""),"-")</f>
        <v>-</v>
      </c>
      <c r="AA481" t="str">
        <f>IFERROR(__xludf.DUMMYFUNCTION("""COMPUTED_VALUE"""),"-")</f>
        <v>-</v>
      </c>
    </row>
    <row r="482">
      <c r="A482" t="str">
        <f>IFERROR(__xludf.DUMMYFUNCTION("""COMPUTED_VALUE"""),"#481")</f>
        <v>#481</v>
      </c>
      <c r="B482" t="str">
        <f>IFERROR(__xludf.DUMMYFUNCTION("""COMPUTED_VALUE"""),"Eric Quénard")</f>
        <v>Eric Quénard</v>
      </c>
      <c r="C482">
        <f>IFERROR(__xludf.DUMMYFUNCTION("""COMPUTED_VALUE"""),3539.0)</f>
        <v>3539</v>
      </c>
      <c r="D482" t="str">
        <f>IFERROR(__xludf.DUMMYFUNCTION("""COMPUTED_VALUE"""),"-")</f>
        <v>-</v>
      </c>
      <c r="E482" t="str">
        <f>IFERROR(__xludf.DUMMYFUNCTION("""COMPUTED_VALUE"""),"-")</f>
        <v>-</v>
      </c>
      <c r="F482" t="str">
        <f>IFERROR(__xludf.DUMMYFUNCTION("""COMPUTED_VALUE"""),"-")</f>
        <v>-</v>
      </c>
      <c r="G482" t="str">
        <f>IFERROR(__xludf.DUMMYFUNCTION("""COMPUTED_VALUE"""),"-")</f>
        <v>-</v>
      </c>
      <c r="H482" t="str">
        <f>IFERROR(__xludf.DUMMYFUNCTION("""COMPUTED_VALUE"""),"-")</f>
        <v>-</v>
      </c>
      <c r="I482" t="str">
        <f>IFERROR(__xludf.DUMMYFUNCTION("""COMPUTED_VALUE"""),"-")</f>
        <v>-</v>
      </c>
      <c r="J482" t="str">
        <f>IFERROR(__xludf.DUMMYFUNCTION("""COMPUTED_VALUE"""),"-")</f>
        <v>-</v>
      </c>
      <c r="K482" t="str">
        <f>IFERROR(__xludf.DUMMYFUNCTION("""COMPUTED_VALUE"""),"-")</f>
        <v>-</v>
      </c>
      <c r="L482" t="str">
        <f>IFERROR(__xludf.DUMMYFUNCTION("""COMPUTED_VALUE"""),"-")</f>
        <v>-</v>
      </c>
      <c r="M482" t="str">
        <f>IFERROR(__xludf.DUMMYFUNCTION("""COMPUTED_VALUE"""),"-")</f>
        <v>-</v>
      </c>
      <c r="O482" t="str">
        <f>IFERROR(__xludf.DUMMYFUNCTION("""COMPUTED_VALUE"""),"#481")</f>
        <v>#481</v>
      </c>
      <c r="P482" t="str">
        <f>IFERROR(__xludf.DUMMYFUNCTION("""COMPUTED_VALUE"""),"Eric Quénard")</f>
        <v>Eric Quénard</v>
      </c>
      <c r="Q482">
        <f>IFERROR(__xludf.DUMMYFUNCTION("""COMPUTED_VALUE"""),3539.0)</f>
        <v>3539</v>
      </c>
      <c r="R482" t="str">
        <f>IFERROR(__xludf.DUMMYFUNCTION("""COMPUTED_VALUE"""),"-")</f>
        <v>-</v>
      </c>
      <c r="S482" t="str">
        <f>IFERROR(__xludf.DUMMYFUNCTION("""COMPUTED_VALUE"""),"-")</f>
        <v>-</v>
      </c>
      <c r="T482" t="str">
        <f>IFERROR(__xludf.DUMMYFUNCTION("""COMPUTED_VALUE"""),"-")</f>
        <v>-</v>
      </c>
      <c r="U482" t="str">
        <f>IFERROR(__xludf.DUMMYFUNCTION("""COMPUTED_VALUE"""),"-")</f>
        <v>-</v>
      </c>
      <c r="V482" t="str">
        <f>IFERROR(__xludf.DUMMYFUNCTION("""COMPUTED_VALUE"""),"-")</f>
        <v>-</v>
      </c>
      <c r="W482" t="str">
        <f>IFERROR(__xludf.DUMMYFUNCTION("""COMPUTED_VALUE"""),"-")</f>
        <v>-</v>
      </c>
      <c r="X482" t="str">
        <f>IFERROR(__xludf.DUMMYFUNCTION("""COMPUTED_VALUE"""),"-")</f>
        <v>-</v>
      </c>
      <c r="Y482" t="str">
        <f>IFERROR(__xludf.DUMMYFUNCTION("""COMPUTED_VALUE"""),"-")</f>
        <v>-</v>
      </c>
      <c r="Z482" t="str">
        <f>IFERROR(__xludf.DUMMYFUNCTION("""COMPUTED_VALUE"""),"-")</f>
        <v>-</v>
      </c>
      <c r="AA482" t="str">
        <f>IFERROR(__xludf.DUMMYFUNCTION("""COMPUTED_VALUE"""),"-")</f>
        <v>-</v>
      </c>
    </row>
    <row r="483">
      <c r="A483" t="str">
        <f>IFERROR(__xludf.DUMMYFUNCTION("""COMPUTED_VALUE"""),"#482")</f>
        <v>#482</v>
      </c>
      <c r="B483" t="str">
        <f>IFERROR(__xludf.DUMMYFUNCTION("""COMPUTED_VALUE"""),"Nicolas Perruchot")</f>
        <v>Nicolas Perruchot</v>
      </c>
      <c r="C483">
        <f>IFERROR(__xludf.DUMMYFUNCTION("""COMPUTED_VALUE"""),3509.0)</f>
        <v>3509</v>
      </c>
      <c r="D483" t="str">
        <f>IFERROR(__xludf.DUMMYFUNCTION("""COMPUTED_VALUE"""),"-")</f>
        <v>-</v>
      </c>
      <c r="E483" t="str">
        <f>IFERROR(__xludf.DUMMYFUNCTION("""COMPUTED_VALUE"""),"-")</f>
        <v>-</v>
      </c>
      <c r="F483" t="str">
        <f>IFERROR(__xludf.DUMMYFUNCTION("""COMPUTED_VALUE"""),"-")</f>
        <v>-</v>
      </c>
      <c r="G483" t="str">
        <f>IFERROR(__xludf.DUMMYFUNCTION("""COMPUTED_VALUE"""),"-")</f>
        <v>-</v>
      </c>
      <c r="H483" t="str">
        <f>IFERROR(__xludf.DUMMYFUNCTION("""COMPUTED_VALUE"""),"-")</f>
        <v>-</v>
      </c>
      <c r="I483" t="str">
        <f>IFERROR(__xludf.DUMMYFUNCTION("""COMPUTED_VALUE"""),"-")</f>
        <v>-</v>
      </c>
      <c r="J483" t="str">
        <f>IFERROR(__xludf.DUMMYFUNCTION("""COMPUTED_VALUE"""),"-")</f>
        <v>-</v>
      </c>
      <c r="K483" t="str">
        <f>IFERROR(__xludf.DUMMYFUNCTION("""COMPUTED_VALUE"""),"-")</f>
        <v>-</v>
      </c>
      <c r="L483" t="str">
        <f>IFERROR(__xludf.DUMMYFUNCTION("""COMPUTED_VALUE"""),"-")</f>
        <v>-</v>
      </c>
      <c r="M483" t="str">
        <f>IFERROR(__xludf.DUMMYFUNCTION("""COMPUTED_VALUE"""),"-")</f>
        <v>-</v>
      </c>
      <c r="O483" t="str">
        <f>IFERROR(__xludf.DUMMYFUNCTION("""COMPUTED_VALUE"""),"#482")</f>
        <v>#482</v>
      </c>
      <c r="P483" t="str">
        <f>IFERROR(__xludf.DUMMYFUNCTION("""COMPUTED_VALUE"""),"Nicolas Perruchot")</f>
        <v>Nicolas Perruchot</v>
      </c>
      <c r="Q483">
        <f>IFERROR(__xludf.DUMMYFUNCTION("""COMPUTED_VALUE"""),3509.0)</f>
        <v>3509</v>
      </c>
      <c r="R483" t="str">
        <f>IFERROR(__xludf.DUMMYFUNCTION("""COMPUTED_VALUE"""),"-")</f>
        <v>-</v>
      </c>
      <c r="S483" t="str">
        <f>IFERROR(__xludf.DUMMYFUNCTION("""COMPUTED_VALUE"""),"-")</f>
        <v>-</v>
      </c>
      <c r="T483" t="str">
        <f>IFERROR(__xludf.DUMMYFUNCTION("""COMPUTED_VALUE"""),"-")</f>
        <v>-</v>
      </c>
      <c r="U483" t="str">
        <f>IFERROR(__xludf.DUMMYFUNCTION("""COMPUTED_VALUE"""),"-")</f>
        <v>-</v>
      </c>
      <c r="V483" t="str">
        <f>IFERROR(__xludf.DUMMYFUNCTION("""COMPUTED_VALUE"""),"-")</f>
        <v>-</v>
      </c>
      <c r="W483" t="str">
        <f>IFERROR(__xludf.DUMMYFUNCTION("""COMPUTED_VALUE"""),"-")</f>
        <v>-</v>
      </c>
      <c r="X483" t="str">
        <f>IFERROR(__xludf.DUMMYFUNCTION("""COMPUTED_VALUE"""),"-")</f>
        <v>-</v>
      </c>
      <c r="Y483" t="str">
        <f>IFERROR(__xludf.DUMMYFUNCTION("""COMPUTED_VALUE"""),"-")</f>
        <v>-</v>
      </c>
      <c r="Z483" t="str">
        <f>IFERROR(__xludf.DUMMYFUNCTION("""COMPUTED_VALUE"""),"-")</f>
        <v>-</v>
      </c>
      <c r="AA483" t="str">
        <f>IFERROR(__xludf.DUMMYFUNCTION("""COMPUTED_VALUE"""),"-")</f>
        <v>-</v>
      </c>
    </row>
    <row r="484">
      <c r="A484" t="str">
        <f>IFERROR(__xludf.DUMMYFUNCTION("""COMPUTED_VALUE"""),"#483")</f>
        <v>#483</v>
      </c>
      <c r="B484" t="str">
        <f>IFERROR(__xludf.DUMMYFUNCTION("""COMPUTED_VALUE"""),"Jacques Colombier")</f>
        <v>Jacques Colombier</v>
      </c>
      <c r="C484">
        <f>IFERROR(__xludf.DUMMYFUNCTION("""COMPUTED_VALUE"""),3471.0)</f>
        <v>3471</v>
      </c>
      <c r="D484" t="str">
        <f>IFERROR(__xludf.DUMMYFUNCTION("""COMPUTED_VALUE"""),"-")</f>
        <v>-</v>
      </c>
      <c r="E484" t="str">
        <f>IFERROR(__xludf.DUMMYFUNCTION("""COMPUTED_VALUE"""),"-")</f>
        <v>-</v>
      </c>
      <c r="F484" t="str">
        <f>IFERROR(__xludf.DUMMYFUNCTION("""COMPUTED_VALUE"""),"-")</f>
        <v>-</v>
      </c>
      <c r="G484" t="str">
        <f>IFERROR(__xludf.DUMMYFUNCTION("""COMPUTED_VALUE"""),"-")</f>
        <v>-</v>
      </c>
      <c r="H484" t="str">
        <f>IFERROR(__xludf.DUMMYFUNCTION("""COMPUTED_VALUE"""),"-")</f>
        <v>-</v>
      </c>
      <c r="I484" t="str">
        <f>IFERROR(__xludf.DUMMYFUNCTION("""COMPUTED_VALUE"""),"-")</f>
        <v>-</v>
      </c>
      <c r="J484" t="str">
        <f>IFERROR(__xludf.DUMMYFUNCTION("""COMPUTED_VALUE"""),"-")</f>
        <v>-</v>
      </c>
      <c r="K484" t="str">
        <f>IFERROR(__xludf.DUMMYFUNCTION("""COMPUTED_VALUE"""),"-")</f>
        <v>-</v>
      </c>
      <c r="L484" t="str">
        <f>IFERROR(__xludf.DUMMYFUNCTION("""COMPUTED_VALUE"""),"-")</f>
        <v>-</v>
      </c>
      <c r="M484" t="str">
        <f>IFERROR(__xludf.DUMMYFUNCTION("""COMPUTED_VALUE"""),"-")</f>
        <v>-</v>
      </c>
      <c r="O484" t="str">
        <f>IFERROR(__xludf.DUMMYFUNCTION("""COMPUTED_VALUE"""),"#483")</f>
        <v>#483</v>
      </c>
      <c r="P484" t="str">
        <f>IFERROR(__xludf.DUMMYFUNCTION("""COMPUTED_VALUE"""),"Jacques Colombier")</f>
        <v>Jacques Colombier</v>
      </c>
      <c r="Q484">
        <f>IFERROR(__xludf.DUMMYFUNCTION("""COMPUTED_VALUE"""),3471.0)</f>
        <v>3471</v>
      </c>
      <c r="R484" t="str">
        <f>IFERROR(__xludf.DUMMYFUNCTION("""COMPUTED_VALUE"""),"-")</f>
        <v>-</v>
      </c>
      <c r="S484" t="str">
        <f>IFERROR(__xludf.DUMMYFUNCTION("""COMPUTED_VALUE"""),"-")</f>
        <v>-</v>
      </c>
      <c r="T484" t="str">
        <f>IFERROR(__xludf.DUMMYFUNCTION("""COMPUTED_VALUE"""),"-")</f>
        <v>-</v>
      </c>
      <c r="U484" t="str">
        <f>IFERROR(__xludf.DUMMYFUNCTION("""COMPUTED_VALUE"""),"-")</f>
        <v>-</v>
      </c>
      <c r="V484" t="str">
        <f>IFERROR(__xludf.DUMMYFUNCTION("""COMPUTED_VALUE"""),"-")</f>
        <v>-</v>
      </c>
      <c r="W484" t="str">
        <f>IFERROR(__xludf.DUMMYFUNCTION("""COMPUTED_VALUE"""),"-")</f>
        <v>-</v>
      </c>
      <c r="X484" t="str">
        <f>IFERROR(__xludf.DUMMYFUNCTION("""COMPUTED_VALUE"""),"-")</f>
        <v>-</v>
      </c>
      <c r="Y484" t="str">
        <f>IFERROR(__xludf.DUMMYFUNCTION("""COMPUTED_VALUE"""),"-")</f>
        <v>-</v>
      </c>
      <c r="Z484" t="str">
        <f>IFERROR(__xludf.DUMMYFUNCTION("""COMPUTED_VALUE"""),"-")</f>
        <v>-</v>
      </c>
      <c r="AA484" t="str">
        <f>IFERROR(__xludf.DUMMYFUNCTION("""COMPUTED_VALUE"""),"-")</f>
        <v>-</v>
      </c>
    </row>
    <row r="485">
      <c r="A485" t="str">
        <f>IFERROR(__xludf.DUMMYFUNCTION("""COMPUTED_VALUE"""),"#484")</f>
        <v>#484</v>
      </c>
      <c r="B485" t="str">
        <f>IFERROR(__xludf.DUMMYFUNCTION("""COMPUTED_VALUE"""),"Pierre de Saintignon")</f>
        <v>Pierre de Saintignon</v>
      </c>
      <c r="C485">
        <f>IFERROR(__xludf.DUMMYFUNCTION("""COMPUTED_VALUE"""),3457.0)</f>
        <v>3457</v>
      </c>
      <c r="D485" t="str">
        <f>IFERROR(__xludf.DUMMYFUNCTION("""COMPUTED_VALUE"""),"-")</f>
        <v>-</v>
      </c>
      <c r="E485" t="str">
        <f>IFERROR(__xludf.DUMMYFUNCTION("""COMPUTED_VALUE"""),"-")</f>
        <v>-</v>
      </c>
      <c r="F485" t="str">
        <f>IFERROR(__xludf.DUMMYFUNCTION("""COMPUTED_VALUE"""),"-")</f>
        <v>-</v>
      </c>
      <c r="G485" t="str">
        <f>IFERROR(__xludf.DUMMYFUNCTION("""COMPUTED_VALUE"""),"-")</f>
        <v>-</v>
      </c>
      <c r="H485" t="str">
        <f>IFERROR(__xludf.DUMMYFUNCTION("""COMPUTED_VALUE"""),"-")</f>
        <v>-</v>
      </c>
      <c r="I485" t="str">
        <f>IFERROR(__xludf.DUMMYFUNCTION("""COMPUTED_VALUE"""),"-")</f>
        <v>-</v>
      </c>
      <c r="J485" t="str">
        <f>IFERROR(__xludf.DUMMYFUNCTION("""COMPUTED_VALUE"""),"-")</f>
        <v>-</v>
      </c>
      <c r="K485" t="str">
        <f>IFERROR(__xludf.DUMMYFUNCTION("""COMPUTED_VALUE"""),"-")</f>
        <v>-</v>
      </c>
      <c r="L485" t="str">
        <f>IFERROR(__xludf.DUMMYFUNCTION("""COMPUTED_VALUE"""),"-")</f>
        <v>-</v>
      </c>
      <c r="M485" t="str">
        <f>IFERROR(__xludf.DUMMYFUNCTION("""COMPUTED_VALUE"""),"-")</f>
        <v>-</v>
      </c>
      <c r="O485" t="str">
        <f>IFERROR(__xludf.DUMMYFUNCTION("""COMPUTED_VALUE"""),"#484")</f>
        <v>#484</v>
      </c>
      <c r="P485" t="str">
        <f>IFERROR(__xludf.DUMMYFUNCTION("""COMPUTED_VALUE"""),"Pierre de Saintignon")</f>
        <v>Pierre de Saintignon</v>
      </c>
      <c r="Q485">
        <f>IFERROR(__xludf.DUMMYFUNCTION("""COMPUTED_VALUE"""),3457.0)</f>
        <v>3457</v>
      </c>
      <c r="R485" t="str">
        <f>IFERROR(__xludf.DUMMYFUNCTION("""COMPUTED_VALUE"""),"-")</f>
        <v>-</v>
      </c>
      <c r="S485" t="str">
        <f>IFERROR(__xludf.DUMMYFUNCTION("""COMPUTED_VALUE"""),"-")</f>
        <v>-</v>
      </c>
      <c r="T485" t="str">
        <f>IFERROR(__xludf.DUMMYFUNCTION("""COMPUTED_VALUE"""),"-")</f>
        <v>-</v>
      </c>
      <c r="U485" t="str">
        <f>IFERROR(__xludf.DUMMYFUNCTION("""COMPUTED_VALUE"""),"-")</f>
        <v>-</v>
      </c>
      <c r="V485" t="str">
        <f>IFERROR(__xludf.DUMMYFUNCTION("""COMPUTED_VALUE"""),"-")</f>
        <v>-</v>
      </c>
      <c r="W485" t="str">
        <f>IFERROR(__xludf.DUMMYFUNCTION("""COMPUTED_VALUE"""),"-")</f>
        <v>-</v>
      </c>
      <c r="X485" t="str">
        <f>IFERROR(__xludf.DUMMYFUNCTION("""COMPUTED_VALUE"""),"-")</f>
        <v>-</v>
      </c>
      <c r="Y485" t="str">
        <f>IFERROR(__xludf.DUMMYFUNCTION("""COMPUTED_VALUE"""),"-")</f>
        <v>-</v>
      </c>
      <c r="Z485" t="str">
        <f>IFERROR(__xludf.DUMMYFUNCTION("""COMPUTED_VALUE"""),"-")</f>
        <v>-</v>
      </c>
      <c r="AA485" t="str">
        <f>IFERROR(__xludf.DUMMYFUNCTION("""COMPUTED_VALUE"""),"-")</f>
        <v>-</v>
      </c>
    </row>
    <row r="486">
      <c r="A486" t="str">
        <f>IFERROR(__xludf.DUMMYFUNCTION("""COMPUTED_VALUE"""),"#485")</f>
        <v>#485</v>
      </c>
      <c r="B486" t="str">
        <f>IFERROR(__xludf.DUMMYFUNCTION("""COMPUTED_VALUE"""),"Franck Reynier")</f>
        <v>Franck Reynier</v>
      </c>
      <c r="C486">
        <f>IFERROR(__xludf.DUMMYFUNCTION("""COMPUTED_VALUE"""),3362.0)</f>
        <v>3362</v>
      </c>
      <c r="D486" t="str">
        <f>IFERROR(__xludf.DUMMYFUNCTION("""COMPUTED_VALUE"""),"-")</f>
        <v>-</v>
      </c>
      <c r="E486" t="str">
        <f>IFERROR(__xludf.DUMMYFUNCTION("""COMPUTED_VALUE"""),"-")</f>
        <v>-</v>
      </c>
      <c r="F486" t="str">
        <f>IFERROR(__xludf.DUMMYFUNCTION("""COMPUTED_VALUE"""),"-")</f>
        <v>-</v>
      </c>
      <c r="G486" t="str">
        <f>IFERROR(__xludf.DUMMYFUNCTION("""COMPUTED_VALUE"""),"-")</f>
        <v>-</v>
      </c>
      <c r="H486" t="str">
        <f>IFERROR(__xludf.DUMMYFUNCTION("""COMPUTED_VALUE"""),"-")</f>
        <v>-</v>
      </c>
      <c r="I486" t="str">
        <f>IFERROR(__xludf.DUMMYFUNCTION("""COMPUTED_VALUE"""),"-")</f>
        <v>-</v>
      </c>
      <c r="J486" t="str">
        <f>IFERROR(__xludf.DUMMYFUNCTION("""COMPUTED_VALUE"""),"-")</f>
        <v>-</v>
      </c>
      <c r="K486" t="str">
        <f>IFERROR(__xludf.DUMMYFUNCTION("""COMPUTED_VALUE"""),"-")</f>
        <v>-</v>
      </c>
      <c r="L486" t="str">
        <f>IFERROR(__xludf.DUMMYFUNCTION("""COMPUTED_VALUE"""),"-")</f>
        <v>-</v>
      </c>
      <c r="M486" t="str">
        <f>IFERROR(__xludf.DUMMYFUNCTION("""COMPUTED_VALUE"""),"-")</f>
        <v>-</v>
      </c>
      <c r="O486" t="str">
        <f>IFERROR(__xludf.DUMMYFUNCTION("""COMPUTED_VALUE"""),"#485")</f>
        <v>#485</v>
      </c>
      <c r="P486" t="str">
        <f>IFERROR(__xludf.DUMMYFUNCTION("""COMPUTED_VALUE"""),"Franck Reynier")</f>
        <v>Franck Reynier</v>
      </c>
      <c r="Q486">
        <f>IFERROR(__xludf.DUMMYFUNCTION("""COMPUTED_VALUE"""),3362.0)</f>
        <v>3362</v>
      </c>
      <c r="R486" t="str">
        <f>IFERROR(__xludf.DUMMYFUNCTION("""COMPUTED_VALUE"""),"-")</f>
        <v>-</v>
      </c>
      <c r="S486" t="str">
        <f>IFERROR(__xludf.DUMMYFUNCTION("""COMPUTED_VALUE"""),"-")</f>
        <v>-</v>
      </c>
      <c r="T486" t="str">
        <f>IFERROR(__xludf.DUMMYFUNCTION("""COMPUTED_VALUE"""),"-")</f>
        <v>-</v>
      </c>
      <c r="U486" t="str">
        <f>IFERROR(__xludf.DUMMYFUNCTION("""COMPUTED_VALUE"""),"-")</f>
        <v>-</v>
      </c>
      <c r="V486" t="str">
        <f>IFERROR(__xludf.DUMMYFUNCTION("""COMPUTED_VALUE"""),"-")</f>
        <v>-</v>
      </c>
      <c r="W486" t="str">
        <f>IFERROR(__xludf.DUMMYFUNCTION("""COMPUTED_VALUE"""),"-")</f>
        <v>-</v>
      </c>
      <c r="X486" t="str">
        <f>IFERROR(__xludf.DUMMYFUNCTION("""COMPUTED_VALUE"""),"-")</f>
        <v>-</v>
      </c>
      <c r="Y486" t="str">
        <f>IFERROR(__xludf.DUMMYFUNCTION("""COMPUTED_VALUE"""),"-")</f>
        <v>-</v>
      </c>
      <c r="Z486" t="str">
        <f>IFERROR(__xludf.DUMMYFUNCTION("""COMPUTED_VALUE"""),"-")</f>
        <v>-</v>
      </c>
      <c r="AA486" t="str">
        <f>IFERROR(__xludf.DUMMYFUNCTION("""COMPUTED_VALUE"""),"-")</f>
        <v>-</v>
      </c>
    </row>
    <row r="487">
      <c r="A487" t="str">
        <f>IFERROR(__xludf.DUMMYFUNCTION("""COMPUTED_VALUE"""),"#486")</f>
        <v>#486</v>
      </c>
      <c r="B487" t="str">
        <f>IFERROR(__xludf.DUMMYFUNCTION("""COMPUTED_VALUE"""),"Frédéric Béatse")</f>
        <v>Frédéric Béatse</v>
      </c>
      <c r="C487">
        <f>IFERROR(__xludf.DUMMYFUNCTION("""COMPUTED_VALUE"""),3321.0)</f>
        <v>3321</v>
      </c>
      <c r="D487" t="str">
        <f>IFERROR(__xludf.DUMMYFUNCTION("""COMPUTED_VALUE"""),"-")</f>
        <v>-</v>
      </c>
      <c r="E487" t="str">
        <f>IFERROR(__xludf.DUMMYFUNCTION("""COMPUTED_VALUE"""),"-")</f>
        <v>-</v>
      </c>
      <c r="F487" t="str">
        <f>IFERROR(__xludf.DUMMYFUNCTION("""COMPUTED_VALUE"""),"-")</f>
        <v>-</v>
      </c>
      <c r="G487" t="str">
        <f>IFERROR(__xludf.DUMMYFUNCTION("""COMPUTED_VALUE"""),"-")</f>
        <v>-</v>
      </c>
      <c r="H487" t="str">
        <f>IFERROR(__xludf.DUMMYFUNCTION("""COMPUTED_VALUE"""),"-")</f>
        <v>-</v>
      </c>
      <c r="I487" t="str">
        <f>IFERROR(__xludf.DUMMYFUNCTION("""COMPUTED_VALUE"""),"-")</f>
        <v>-</v>
      </c>
      <c r="J487" t="str">
        <f>IFERROR(__xludf.DUMMYFUNCTION("""COMPUTED_VALUE"""),"-")</f>
        <v>-</v>
      </c>
      <c r="K487" t="str">
        <f>IFERROR(__xludf.DUMMYFUNCTION("""COMPUTED_VALUE"""),"-")</f>
        <v>-</v>
      </c>
      <c r="L487" t="str">
        <f>IFERROR(__xludf.DUMMYFUNCTION("""COMPUTED_VALUE"""),"-")</f>
        <v>-</v>
      </c>
      <c r="M487" t="str">
        <f>IFERROR(__xludf.DUMMYFUNCTION("""COMPUTED_VALUE"""),"-")</f>
        <v>-</v>
      </c>
      <c r="O487" t="str">
        <f>IFERROR(__xludf.DUMMYFUNCTION("""COMPUTED_VALUE"""),"#486")</f>
        <v>#486</v>
      </c>
      <c r="P487" t="str">
        <f>IFERROR(__xludf.DUMMYFUNCTION("""COMPUTED_VALUE"""),"Frédéric Béatse")</f>
        <v>Frédéric Béatse</v>
      </c>
      <c r="Q487">
        <f>IFERROR(__xludf.DUMMYFUNCTION("""COMPUTED_VALUE"""),3321.0)</f>
        <v>3321</v>
      </c>
      <c r="R487" t="str">
        <f>IFERROR(__xludf.DUMMYFUNCTION("""COMPUTED_VALUE"""),"-")</f>
        <v>-</v>
      </c>
      <c r="S487" t="str">
        <f>IFERROR(__xludf.DUMMYFUNCTION("""COMPUTED_VALUE"""),"-")</f>
        <v>-</v>
      </c>
      <c r="T487" t="str">
        <f>IFERROR(__xludf.DUMMYFUNCTION("""COMPUTED_VALUE"""),"-")</f>
        <v>-</v>
      </c>
      <c r="U487" t="str">
        <f>IFERROR(__xludf.DUMMYFUNCTION("""COMPUTED_VALUE"""),"-")</f>
        <v>-</v>
      </c>
      <c r="V487" t="str">
        <f>IFERROR(__xludf.DUMMYFUNCTION("""COMPUTED_VALUE"""),"-")</f>
        <v>-</v>
      </c>
      <c r="W487" t="str">
        <f>IFERROR(__xludf.DUMMYFUNCTION("""COMPUTED_VALUE"""),"-")</f>
        <v>-</v>
      </c>
      <c r="X487" t="str">
        <f>IFERROR(__xludf.DUMMYFUNCTION("""COMPUTED_VALUE"""),"-")</f>
        <v>-</v>
      </c>
      <c r="Y487" t="str">
        <f>IFERROR(__xludf.DUMMYFUNCTION("""COMPUTED_VALUE"""),"-")</f>
        <v>-</v>
      </c>
      <c r="Z487" t="str">
        <f>IFERROR(__xludf.DUMMYFUNCTION("""COMPUTED_VALUE"""),"-")</f>
        <v>-</v>
      </c>
      <c r="AA487" t="str">
        <f>IFERROR(__xludf.DUMMYFUNCTION("""COMPUTED_VALUE"""),"-")</f>
        <v>-</v>
      </c>
    </row>
    <row r="488">
      <c r="A488" t="str">
        <f>IFERROR(__xludf.DUMMYFUNCTION("""COMPUTED_VALUE"""),"#487")</f>
        <v>#487</v>
      </c>
      <c r="B488" t="str">
        <f>IFERROR(__xludf.DUMMYFUNCTION("""COMPUTED_VALUE"""),"Yves Moraine")</f>
        <v>Yves Moraine</v>
      </c>
      <c r="C488">
        <f>IFERROR(__xludf.DUMMYFUNCTION("""COMPUTED_VALUE"""),3313.0)</f>
        <v>3313</v>
      </c>
      <c r="D488" t="str">
        <f>IFERROR(__xludf.DUMMYFUNCTION("""COMPUTED_VALUE"""),"-")</f>
        <v>-</v>
      </c>
      <c r="E488" t="str">
        <f>IFERROR(__xludf.DUMMYFUNCTION("""COMPUTED_VALUE"""),"-")</f>
        <v>-</v>
      </c>
      <c r="F488" t="str">
        <f>IFERROR(__xludf.DUMMYFUNCTION("""COMPUTED_VALUE"""),"-")</f>
        <v>-</v>
      </c>
      <c r="G488" t="str">
        <f>IFERROR(__xludf.DUMMYFUNCTION("""COMPUTED_VALUE"""),"-")</f>
        <v>-</v>
      </c>
      <c r="H488" t="str">
        <f>IFERROR(__xludf.DUMMYFUNCTION("""COMPUTED_VALUE"""),"-")</f>
        <v>-</v>
      </c>
      <c r="I488" t="str">
        <f>IFERROR(__xludf.DUMMYFUNCTION("""COMPUTED_VALUE"""),"-")</f>
        <v>-</v>
      </c>
      <c r="J488" t="str">
        <f>IFERROR(__xludf.DUMMYFUNCTION("""COMPUTED_VALUE"""),"-")</f>
        <v>-</v>
      </c>
      <c r="K488" t="str">
        <f>IFERROR(__xludf.DUMMYFUNCTION("""COMPUTED_VALUE"""),"-")</f>
        <v>-</v>
      </c>
      <c r="L488" t="str">
        <f>IFERROR(__xludf.DUMMYFUNCTION("""COMPUTED_VALUE"""),"-")</f>
        <v>-</v>
      </c>
      <c r="M488" t="str">
        <f>IFERROR(__xludf.DUMMYFUNCTION("""COMPUTED_VALUE"""),"-")</f>
        <v>-</v>
      </c>
      <c r="O488" t="str">
        <f>IFERROR(__xludf.DUMMYFUNCTION("""COMPUTED_VALUE"""),"#487")</f>
        <v>#487</v>
      </c>
      <c r="P488" t="str">
        <f>IFERROR(__xludf.DUMMYFUNCTION("""COMPUTED_VALUE"""),"Yves Moraine")</f>
        <v>Yves Moraine</v>
      </c>
      <c r="Q488">
        <f>IFERROR(__xludf.DUMMYFUNCTION("""COMPUTED_VALUE"""),3313.0)</f>
        <v>3313</v>
      </c>
      <c r="R488" t="str">
        <f>IFERROR(__xludf.DUMMYFUNCTION("""COMPUTED_VALUE"""),"-")</f>
        <v>-</v>
      </c>
      <c r="S488" t="str">
        <f>IFERROR(__xludf.DUMMYFUNCTION("""COMPUTED_VALUE"""),"-")</f>
        <v>-</v>
      </c>
      <c r="T488" t="str">
        <f>IFERROR(__xludf.DUMMYFUNCTION("""COMPUTED_VALUE"""),"-")</f>
        <v>-</v>
      </c>
      <c r="U488" t="str">
        <f>IFERROR(__xludf.DUMMYFUNCTION("""COMPUTED_VALUE"""),"-")</f>
        <v>-</v>
      </c>
      <c r="V488" t="str">
        <f>IFERROR(__xludf.DUMMYFUNCTION("""COMPUTED_VALUE"""),"-")</f>
        <v>-</v>
      </c>
      <c r="W488" t="str">
        <f>IFERROR(__xludf.DUMMYFUNCTION("""COMPUTED_VALUE"""),"-")</f>
        <v>-</v>
      </c>
      <c r="X488" t="str">
        <f>IFERROR(__xludf.DUMMYFUNCTION("""COMPUTED_VALUE"""),"-")</f>
        <v>-</v>
      </c>
      <c r="Y488" t="str">
        <f>IFERROR(__xludf.DUMMYFUNCTION("""COMPUTED_VALUE"""),"-")</f>
        <v>-</v>
      </c>
      <c r="Z488" t="str">
        <f>IFERROR(__xludf.DUMMYFUNCTION("""COMPUTED_VALUE"""),"-")</f>
        <v>-</v>
      </c>
      <c r="AA488" t="str">
        <f>IFERROR(__xludf.DUMMYFUNCTION("""COMPUTED_VALUE"""),"-")</f>
        <v>-</v>
      </c>
    </row>
    <row r="489">
      <c r="A489" t="str">
        <f>IFERROR(__xludf.DUMMYFUNCTION("""COMPUTED_VALUE"""),"#488")</f>
        <v>#488</v>
      </c>
      <c r="B489" t="str">
        <f>IFERROR(__xludf.DUMMYFUNCTION("""COMPUTED_VALUE"""),"Hella Kribi-Romdhane")</f>
        <v>Hella Kribi-Romdhane</v>
      </c>
      <c r="C489">
        <f>IFERROR(__xludf.DUMMYFUNCTION("""COMPUTED_VALUE"""),3308.0)</f>
        <v>3308</v>
      </c>
      <c r="D489" t="str">
        <f>IFERROR(__xludf.DUMMYFUNCTION("""COMPUTED_VALUE"""),"-")</f>
        <v>-</v>
      </c>
      <c r="E489" t="str">
        <f>IFERROR(__xludf.DUMMYFUNCTION("""COMPUTED_VALUE"""),"-")</f>
        <v>-</v>
      </c>
      <c r="F489" t="str">
        <f>IFERROR(__xludf.DUMMYFUNCTION("""COMPUTED_VALUE"""),"-")</f>
        <v>-</v>
      </c>
      <c r="G489" t="str">
        <f>IFERROR(__xludf.DUMMYFUNCTION("""COMPUTED_VALUE"""),"-")</f>
        <v>-</v>
      </c>
      <c r="H489" t="str">
        <f>IFERROR(__xludf.DUMMYFUNCTION("""COMPUTED_VALUE"""),"-")</f>
        <v>-</v>
      </c>
      <c r="I489" t="str">
        <f>IFERROR(__xludf.DUMMYFUNCTION("""COMPUTED_VALUE"""),"-")</f>
        <v>-</v>
      </c>
      <c r="J489" t="str">
        <f>IFERROR(__xludf.DUMMYFUNCTION("""COMPUTED_VALUE"""),"-")</f>
        <v>-</v>
      </c>
      <c r="K489" t="str">
        <f>IFERROR(__xludf.DUMMYFUNCTION("""COMPUTED_VALUE"""),"-")</f>
        <v>-</v>
      </c>
      <c r="L489" t="str">
        <f>IFERROR(__xludf.DUMMYFUNCTION("""COMPUTED_VALUE"""),"-")</f>
        <v>-</v>
      </c>
      <c r="M489" t="str">
        <f>IFERROR(__xludf.DUMMYFUNCTION("""COMPUTED_VALUE"""),"-")</f>
        <v>-</v>
      </c>
      <c r="O489" t="str">
        <f>IFERROR(__xludf.DUMMYFUNCTION("""COMPUTED_VALUE"""),"#488")</f>
        <v>#488</v>
      </c>
      <c r="P489" t="str">
        <f>IFERROR(__xludf.DUMMYFUNCTION("""COMPUTED_VALUE"""),"Hella Kribi-Romdhane")</f>
        <v>Hella Kribi-Romdhane</v>
      </c>
      <c r="Q489">
        <f>IFERROR(__xludf.DUMMYFUNCTION("""COMPUTED_VALUE"""),3308.0)</f>
        <v>3308</v>
      </c>
      <c r="R489" t="str">
        <f>IFERROR(__xludf.DUMMYFUNCTION("""COMPUTED_VALUE"""),"-")</f>
        <v>-</v>
      </c>
      <c r="S489" t="str">
        <f>IFERROR(__xludf.DUMMYFUNCTION("""COMPUTED_VALUE"""),"-")</f>
        <v>-</v>
      </c>
      <c r="T489" t="str">
        <f>IFERROR(__xludf.DUMMYFUNCTION("""COMPUTED_VALUE"""),"-")</f>
        <v>-</v>
      </c>
      <c r="U489" t="str">
        <f>IFERROR(__xludf.DUMMYFUNCTION("""COMPUTED_VALUE"""),"-")</f>
        <v>-</v>
      </c>
      <c r="V489" t="str">
        <f>IFERROR(__xludf.DUMMYFUNCTION("""COMPUTED_VALUE"""),"-")</f>
        <v>-</v>
      </c>
      <c r="W489" t="str">
        <f>IFERROR(__xludf.DUMMYFUNCTION("""COMPUTED_VALUE"""),"-")</f>
        <v>-</v>
      </c>
      <c r="X489" t="str">
        <f>IFERROR(__xludf.DUMMYFUNCTION("""COMPUTED_VALUE"""),"-")</f>
        <v>-</v>
      </c>
      <c r="Y489" t="str">
        <f>IFERROR(__xludf.DUMMYFUNCTION("""COMPUTED_VALUE"""),"-")</f>
        <v>-</v>
      </c>
      <c r="Z489" t="str">
        <f>IFERROR(__xludf.DUMMYFUNCTION("""COMPUTED_VALUE"""),"-")</f>
        <v>-</v>
      </c>
      <c r="AA489" t="str">
        <f>IFERROR(__xludf.DUMMYFUNCTION("""COMPUTED_VALUE"""),"-")</f>
        <v>-</v>
      </c>
    </row>
    <row r="490">
      <c r="A490" t="str">
        <f>IFERROR(__xludf.DUMMYFUNCTION("""COMPUTED_VALUE"""),"#489")</f>
        <v>#489</v>
      </c>
      <c r="B490" t="str">
        <f>IFERROR(__xludf.DUMMYFUNCTION("""COMPUTED_VALUE"""),"François-Xavier Pénicaud")</f>
        <v>François-Xavier Pénicaud</v>
      </c>
      <c r="C490">
        <f>IFERROR(__xludf.DUMMYFUNCTION("""COMPUTED_VALUE"""),3277.0)</f>
        <v>3277</v>
      </c>
      <c r="D490" t="str">
        <f>IFERROR(__xludf.DUMMYFUNCTION("""COMPUTED_VALUE"""),"-")</f>
        <v>-</v>
      </c>
      <c r="E490" t="str">
        <f>IFERROR(__xludf.DUMMYFUNCTION("""COMPUTED_VALUE"""),"-")</f>
        <v>-</v>
      </c>
      <c r="F490" t="str">
        <f>IFERROR(__xludf.DUMMYFUNCTION("""COMPUTED_VALUE"""),"-")</f>
        <v>-</v>
      </c>
      <c r="G490" t="str">
        <f>IFERROR(__xludf.DUMMYFUNCTION("""COMPUTED_VALUE"""),"-")</f>
        <v>-</v>
      </c>
      <c r="H490" t="str">
        <f>IFERROR(__xludf.DUMMYFUNCTION("""COMPUTED_VALUE"""),"-")</f>
        <v>-</v>
      </c>
      <c r="I490" t="str">
        <f>IFERROR(__xludf.DUMMYFUNCTION("""COMPUTED_VALUE"""),"-")</f>
        <v>-</v>
      </c>
      <c r="J490" t="str">
        <f>IFERROR(__xludf.DUMMYFUNCTION("""COMPUTED_VALUE"""),"-")</f>
        <v>-</v>
      </c>
      <c r="K490" t="str">
        <f>IFERROR(__xludf.DUMMYFUNCTION("""COMPUTED_VALUE"""),"-")</f>
        <v>-</v>
      </c>
      <c r="L490" t="str">
        <f>IFERROR(__xludf.DUMMYFUNCTION("""COMPUTED_VALUE"""),"-")</f>
        <v>-</v>
      </c>
      <c r="M490" t="str">
        <f>IFERROR(__xludf.DUMMYFUNCTION("""COMPUTED_VALUE"""),"-")</f>
        <v>-</v>
      </c>
      <c r="O490" t="str">
        <f>IFERROR(__xludf.DUMMYFUNCTION("""COMPUTED_VALUE"""),"#489")</f>
        <v>#489</v>
      </c>
      <c r="P490" t="str">
        <f>IFERROR(__xludf.DUMMYFUNCTION("""COMPUTED_VALUE"""),"François-Xavier Pénicaud")</f>
        <v>François-Xavier Pénicaud</v>
      </c>
      <c r="Q490">
        <f>IFERROR(__xludf.DUMMYFUNCTION("""COMPUTED_VALUE"""),3277.0)</f>
        <v>3277</v>
      </c>
      <c r="R490" t="str">
        <f>IFERROR(__xludf.DUMMYFUNCTION("""COMPUTED_VALUE"""),"-")</f>
        <v>-</v>
      </c>
      <c r="S490" t="str">
        <f>IFERROR(__xludf.DUMMYFUNCTION("""COMPUTED_VALUE"""),"-")</f>
        <v>-</v>
      </c>
      <c r="T490" t="str">
        <f>IFERROR(__xludf.DUMMYFUNCTION("""COMPUTED_VALUE"""),"-")</f>
        <v>-</v>
      </c>
      <c r="U490" t="str">
        <f>IFERROR(__xludf.DUMMYFUNCTION("""COMPUTED_VALUE"""),"-")</f>
        <v>-</v>
      </c>
      <c r="V490" t="str">
        <f>IFERROR(__xludf.DUMMYFUNCTION("""COMPUTED_VALUE"""),"-")</f>
        <v>-</v>
      </c>
      <c r="W490" t="str">
        <f>IFERROR(__xludf.DUMMYFUNCTION("""COMPUTED_VALUE"""),"-")</f>
        <v>-</v>
      </c>
      <c r="X490" t="str">
        <f>IFERROR(__xludf.DUMMYFUNCTION("""COMPUTED_VALUE"""),"-")</f>
        <v>-</v>
      </c>
      <c r="Y490" t="str">
        <f>IFERROR(__xludf.DUMMYFUNCTION("""COMPUTED_VALUE"""),"-")</f>
        <v>-</v>
      </c>
      <c r="Z490" t="str">
        <f>IFERROR(__xludf.DUMMYFUNCTION("""COMPUTED_VALUE"""),"-")</f>
        <v>-</v>
      </c>
      <c r="AA490" t="str">
        <f>IFERROR(__xludf.DUMMYFUNCTION("""COMPUTED_VALUE"""),"-")</f>
        <v>-</v>
      </c>
    </row>
    <row r="491">
      <c r="A491" t="str">
        <f>IFERROR(__xludf.DUMMYFUNCTION("""COMPUTED_VALUE"""),"#490")</f>
        <v>#490</v>
      </c>
      <c r="B491" t="str">
        <f>IFERROR(__xludf.DUMMYFUNCTION("""COMPUTED_VALUE"""),"Olivier Clodong")</f>
        <v>Olivier Clodong</v>
      </c>
      <c r="C491">
        <f>IFERROR(__xludf.DUMMYFUNCTION("""COMPUTED_VALUE"""),3260.0)</f>
        <v>3260</v>
      </c>
      <c r="D491" t="str">
        <f>IFERROR(__xludf.DUMMYFUNCTION("""COMPUTED_VALUE"""),"-")</f>
        <v>-</v>
      </c>
      <c r="E491" t="str">
        <f>IFERROR(__xludf.DUMMYFUNCTION("""COMPUTED_VALUE"""),"-")</f>
        <v>-</v>
      </c>
      <c r="F491" t="str">
        <f>IFERROR(__xludf.DUMMYFUNCTION("""COMPUTED_VALUE"""),"-")</f>
        <v>-</v>
      </c>
      <c r="G491" t="str">
        <f>IFERROR(__xludf.DUMMYFUNCTION("""COMPUTED_VALUE"""),"-")</f>
        <v>-</v>
      </c>
      <c r="H491" t="str">
        <f>IFERROR(__xludf.DUMMYFUNCTION("""COMPUTED_VALUE"""),"-")</f>
        <v>-</v>
      </c>
      <c r="I491" t="str">
        <f>IFERROR(__xludf.DUMMYFUNCTION("""COMPUTED_VALUE"""),"-")</f>
        <v>-</v>
      </c>
      <c r="J491" t="str">
        <f>IFERROR(__xludf.DUMMYFUNCTION("""COMPUTED_VALUE"""),"-")</f>
        <v>-</v>
      </c>
      <c r="K491" t="str">
        <f>IFERROR(__xludf.DUMMYFUNCTION("""COMPUTED_VALUE"""),"-")</f>
        <v>-</v>
      </c>
      <c r="L491" t="str">
        <f>IFERROR(__xludf.DUMMYFUNCTION("""COMPUTED_VALUE"""),"-")</f>
        <v>-</v>
      </c>
      <c r="M491" t="str">
        <f>IFERROR(__xludf.DUMMYFUNCTION("""COMPUTED_VALUE"""),"-")</f>
        <v>-</v>
      </c>
      <c r="O491" t="str">
        <f>IFERROR(__xludf.DUMMYFUNCTION("""COMPUTED_VALUE"""),"#490")</f>
        <v>#490</v>
      </c>
      <c r="P491" t="str">
        <f>IFERROR(__xludf.DUMMYFUNCTION("""COMPUTED_VALUE"""),"Olivier Clodong")</f>
        <v>Olivier Clodong</v>
      </c>
      <c r="Q491">
        <f>IFERROR(__xludf.DUMMYFUNCTION("""COMPUTED_VALUE"""),3260.0)</f>
        <v>3260</v>
      </c>
      <c r="R491" t="str">
        <f>IFERROR(__xludf.DUMMYFUNCTION("""COMPUTED_VALUE"""),"-")</f>
        <v>-</v>
      </c>
      <c r="S491" t="str">
        <f>IFERROR(__xludf.DUMMYFUNCTION("""COMPUTED_VALUE"""),"-")</f>
        <v>-</v>
      </c>
      <c r="T491" t="str">
        <f>IFERROR(__xludf.DUMMYFUNCTION("""COMPUTED_VALUE"""),"-")</f>
        <v>-</v>
      </c>
      <c r="U491" t="str">
        <f>IFERROR(__xludf.DUMMYFUNCTION("""COMPUTED_VALUE"""),"-")</f>
        <v>-</v>
      </c>
      <c r="V491" t="str">
        <f>IFERROR(__xludf.DUMMYFUNCTION("""COMPUTED_VALUE"""),"-")</f>
        <v>-</v>
      </c>
      <c r="W491" t="str">
        <f>IFERROR(__xludf.DUMMYFUNCTION("""COMPUTED_VALUE"""),"-")</f>
        <v>-</v>
      </c>
      <c r="X491" t="str">
        <f>IFERROR(__xludf.DUMMYFUNCTION("""COMPUTED_VALUE"""),"-")</f>
        <v>-</v>
      </c>
      <c r="Y491" t="str">
        <f>IFERROR(__xludf.DUMMYFUNCTION("""COMPUTED_VALUE"""),"-")</f>
        <v>-</v>
      </c>
      <c r="Z491" t="str">
        <f>IFERROR(__xludf.DUMMYFUNCTION("""COMPUTED_VALUE"""),"-")</f>
        <v>-</v>
      </c>
      <c r="AA491" t="str">
        <f>IFERROR(__xludf.DUMMYFUNCTION("""COMPUTED_VALUE"""),"-")</f>
        <v>-</v>
      </c>
    </row>
    <row r="492">
      <c r="A492" t="str">
        <f>IFERROR(__xludf.DUMMYFUNCTION("""COMPUTED_VALUE"""),"#491")</f>
        <v>#491</v>
      </c>
      <c r="B492" t="str">
        <f>IFERROR(__xludf.DUMMYFUNCTION("""COMPUTED_VALUE"""),"Annie Levy-Mozziconacci")</f>
        <v>Annie Levy-Mozziconacci</v>
      </c>
      <c r="C492">
        <f>IFERROR(__xludf.DUMMYFUNCTION("""COMPUTED_VALUE"""),3201.0)</f>
        <v>3201</v>
      </c>
      <c r="D492" t="str">
        <f>IFERROR(__xludf.DUMMYFUNCTION("""COMPUTED_VALUE"""),"-")</f>
        <v>-</v>
      </c>
      <c r="E492" t="str">
        <f>IFERROR(__xludf.DUMMYFUNCTION("""COMPUTED_VALUE"""),"-")</f>
        <v>-</v>
      </c>
      <c r="F492" t="str">
        <f>IFERROR(__xludf.DUMMYFUNCTION("""COMPUTED_VALUE"""),"-")</f>
        <v>-</v>
      </c>
      <c r="G492" t="str">
        <f>IFERROR(__xludf.DUMMYFUNCTION("""COMPUTED_VALUE"""),"-")</f>
        <v>-</v>
      </c>
      <c r="H492" t="str">
        <f>IFERROR(__xludf.DUMMYFUNCTION("""COMPUTED_VALUE"""),"-")</f>
        <v>-</v>
      </c>
      <c r="I492" t="str">
        <f>IFERROR(__xludf.DUMMYFUNCTION("""COMPUTED_VALUE"""),"-")</f>
        <v>-</v>
      </c>
      <c r="J492" t="str">
        <f>IFERROR(__xludf.DUMMYFUNCTION("""COMPUTED_VALUE"""),"-")</f>
        <v>-</v>
      </c>
      <c r="K492" t="str">
        <f>IFERROR(__xludf.DUMMYFUNCTION("""COMPUTED_VALUE"""),"-")</f>
        <v>-</v>
      </c>
      <c r="L492" t="str">
        <f>IFERROR(__xludf.DUMMYFUNCTION("""COMPUTED_VALUE"""),"-")</f>
        <v>-</v>
      </c>
      <c r="M492" t="str">
        <f>IFERROR(__xludf.DUMMYFUNCTION("""COMPUTED_VALUE"""),"-")</f>
        <v>-</v>
      </c>
      <c r="O492" t="str">
        <f>IFERROR(__xludf.DUMMYFUNCTION("""COMPUTED_VALUE"""),"#491")</f>
        <v>#491</v>
      </c>
      <c r="P492" t="str">
        <f>IFERROR(__xludf.DUMMYFUNCTION("""COMPUTED_VALUE"""),"Annie Levy-Mozziconacci")</f>
        <v>Annie Levy-Mozziconacci</v>
      </c>
      <c r="Q492">
        <f>IFERROR(__xludf.DUMMYFUNCTION("""COMPUTED_VALUE"""),3201.0)</f>
        <v>3201</v>
      </c>
      <c r="R492" t="str">
        <f>IFERROR(__xludf.DUMMYFUNCTION("""COMPUTED_VALUE"""),"-")</f>
        <v>-</v>
      </c>
      <c r="S492" t="str">
        <f>IFERROR(__xludf.DUMMYFUNCTION("""COMPUTED_VALUE"""),"-")</f>
        <v>-</v>
      </c>
      <c r="T492" t="str">
        <f>IFERROR(__xludf.DUMMYFUNCTION("""COMPUTED_VALUE"""),"-")</f>
        <v>-</v>
      </c>
      <c r="U492" t="str">
        <f>IFERROR(__xludf.DUMMYFUNCTION("""COMPUTED_VALUE"""),"-")</f>
        <v>-</v>
      </c>
      <c r="V492" t="str">
        <f>IFERROR(__xludf.DUMMYFUNCTION("""COMPUTED_VALUE"""),"-")</f>
        <v>-</v>
      </c>
      <c r="W492" t="str">
        <f>IFERROR(__xludf.DUMMYFUNCTION("""COMPUTED_VALUE"""),"-")</f>
        <v>-</v>
      </c>
      <c r="X492" t="str">
        <f>IFERROR(__xludf.DUMMYFUNCTION("""COMPUTED_VALUE"""),"-")</f>
        <v>-</v>
      </c>
      <c r="Y492" t="str">
        <f>IFERROR(__xludf.DUMMYFUNCTION("""COMPUTED_VALUE"""),"-")</f>
        <v>-</v>
      </c>
      <c r="Z492" t="str">
        <f>IFERROR(__xludf.DUMMYFUNCTION("""COMPUTED_VALUE"""),"-")</f>
        <v>-</v>
      </c>
      <c r="AA492" t="str">
        <f>IFERROR(__xludf.DUMMYFUNCTION("""COMPUTED_VALUE"""),"-")</f>
        <v>-</v>
      </c>
    </row>
    <row r="493">
      <c r="A493" t="str">
        <f>IFERROR(__xludf.DUMMYFUNCTION("""COMPUTED_VALUE"""),"#492")</f>
        <v>#492</v>
      </c>
      <c r="B493" t="str">
        <f>IFERROR(__xludf.DUMMYFUNCTION("""COMPUTED_VALUE"""),"Alan Confesson")</f>
        <v>Alan Confesson</v>
      </c>
      <c r="C493">
        <f>IFERROR(__xludf.DUMMYFUNCTION("""COMPUTED_VALUE"""),3141.0)</f>
        <v>3141</v>
      </c>
      <c r="D493" t="str">
        <f>IFERROR(__xludf.DUMMYFUNCTION("""COMPUTED_VALUE"""),"-")</f>
        <v>-</v>
      </c>
      <c r="E493" t="str">
        <f>IFERROR(__xludf.DUMMYFUNCTION("""COMPUTED_VALUE"""),"-")</f>
        <v>-</v>
      </c>
      <c r="F493" t="str">
        <f>IFERROR(__xludf.DUMMYFUNCTION("""COMPUTED_VALUE"""),"-")</f>
        <v>-</v>
      </c>
      <c r="G493" t="str">
        <f>IFERROR(__xludf.DUMMYFUNCTION("""COMPUTED_VALUE"""),"-")</f>
        <v>-</v>
      </c>
      <c r="H493" t="str">
        <f>IFERROR(__xludf.DUMMYFUNCTION("""COMPUTED_VALUE"""),"-")</f>
        <v>-</v>
      </c>
      <c r="I493" t="str">
        <f>IFERROR(__xludf.DUMMYFUNCTION("""COMPUTED_VALUE"""),"-")</f>
        <v>-</v>
      </c>
      <c r="J493" t="str">
        <f>IFERROR(__xludf.DUMMYFUNCTION("""COMPUTED_VALUE"""),"-")</f>
        <v>-</v>
      </c>
      <c r="K493" t="str">
        <f>IFERROR(__xludf.DUMMYFUNCTION("""COMPUTED_VALUE"""),"-")</f>
        <v>-</v>
      </c>
      <c r="L493" t="str">
        <f>IFERROR(__xludf.DUMMYFUNCTION("""COMPUTED_VALUE"""),"-")</f>
        <v>-</v>
      </c>
      <c r="M493" t="str">
        <f>IFERROR(__xludf.DUMMYFUNCTION("""COMPUTED_VALUE"""),"-")</f>
        <v>-</v>
      </c>
      <c r="O493" t="str">
        <f>IFERROR(__xludf.DUMMYFUNCTION("""COMPUTED_VALUE"""),"#492")</f>
        <v>#492</v>
      </c>
      <c r="P493" t="str">
        <f>IFERROR(__xludf.DUMMYFUNCTION("""COMPUTED_VALUE"""),"Alan Confesson")</f>
        <v>Alan Confesson</v>
      </c>
      <c r="Q493">
        <f>IFERROR(__xludf.DUMMYFUNCTION("""COMPUTED_VALUE"""),3141.0)</f>
        <v>3141</v>
      </c>
      <c r="R493" t="str">
        <f>IFERROR(__xludf.DUMMYFUNCTION("""COMPUTED_VALUE"""),"-")</f>
        <v>-</v>
      </c>
      <c r="S493" t="str">
        <f>IFERROR(__xludf.DUMMYFUNCTION("""COMPUTED_VALUE"""),"-")</f>
        <v>-</v>
      </c>
      <c r="T493" t="str">
        <f>IFERROR(__xludf.DUMMYFUNCTION("""COMPUTED_VALUE"""),"-")</f>
        <v>-</v>
      </c>
      <c r="U493" t="str">
        <f>IFERROR(__xludf.DUMMYFUNCTION("""COMPUTED_VALUE"""),"-")</f>
        <v>-</v>
      </c>
      <c r="V493" t="str">
        <f>IFERROR(__xludf.DUMMYFUNCTION("""COMPUTED_VALUE"""),"-")</f>
        <v>-</v>
      </c>
      <c r="W493" t="str">
        <f>IFERROR(__xludf.DUMMYFUNCTION("""COMPUTED_VALUE"""),"-")</f>
        <v>-</v>
      </c>
      <c r="X493" t="str">
        <f>IFERROR(__xludf.DUMMYFUNCTION("""COMPUTED_VALUE"""),"-")</f>
        <v>-</v>
      </c>
      <c r="Y493" t="str">
        <f>IFERROR(__xludf.DUMMYFUNCTION("""COMPUTED_VALUE"""),"-")</f>
        <v>-</v>
      </c>
      <c r="Z493" t="str">
        <f>IFERROR(__xludf.DUMMYFUNCTION("""COMPUTED_VALUE"""),"-")</f>
        <v>-</v>
      </c>
      <c r="AA493" t="str">
        <f>IFERROR(__xludf.DUMMYFUNCTION("""COMPUTED_VALUE"""),"-")</f>
        <v>-</v>
      </c>
    </row>
    <row r="494">
      <c r="A494" t="str">
        <f>IFERROR(__xludf.DUMMYFUNCTION("""COMPUTED_VALUE"""),"#493")</f>
        <v>#493</v>
      </c>
      <c r="B494" t="str">
        <f>IFERROR(__xludf.DUMMYFUNCTION("""COMPUTED_VALUE"""),"Nicolas Turquois")</f>
        <v>Nicolas Turquois</v>
      </c>
      <c r="C494">
        <f>IFERROR(__xludf.DUMMYFUNCTION("""COMPUTED_VALUE"""),3137.0)</f>
        <v>3137</v>
      </c>
      <c r="D494" t="str">
        <f>IFERROR(__xludf.DUMMYFUNCTION("""COMPUTED_VALUE"""),"-")</f>
        <v>-</v>
      </c>
      <c r="E494" t="str">
        <f>IFERROR(__xludf.DUMMYFUNCTION("""COMPUTED_VALUE"""),"-")</f>
        <v>-</v>
      </c>
      <c r="F494" t="str">
        <f>IFERROR(__xludf.DUMMYFUNCTION("""COMPUTED_VALUE"""),"-")</f>
        <v>-</v>
      </c>
      <c r="G494" t="str">
        <f>IFERROR(__xludf.DUMMYFUNCTION("""COMPUTED_VALUE"""),"-")</f>
        <v>-</v>
      </c>
      <c r="H494" t="str">
        <f>IFERROR(__xludf.DUMMYFUNCTION("""COMPUTED_VALUE"""),"-")</f>
        <v>-</v>
      </c>
      <c r="I494" t="str">
        <f>IFERROR(__xludf.DUMMYFUNCTION("""COMPUTED_VALUE"""),"-")</f>
        <v>-</v>
      </c>
      <c r="J494" t="str">
        <f>IFERROR(__xludf.DUMMYFUNCTION("""COMPUTED_VALUE"""),"-")</f>
        <v>-</v>
      </c>
      <c r="K494" t="str">
        <f>IFERROR(__xludf.DUMMYFUNCTION("""COMPUTED_VALUE"""),"-")</f>
        <v>-</v>
      </c>
      <c r="L494" t="str">
        <f>IFERROR(__xludf.DUMMYFUNCTION("""COMPUTED_VALUE"""),"-")</f>
        <v>-</v>
      </c>
      <c r="M494" t="str">
        <f>IFERROR(__xludf.DUMMYFUNCTION("""COMPUTED_VALUE"""),"-")</f>
        <v>-</v>
      </c>
      <c r="O494" t="str">
        <f>IFERROR(__xludf.DUMMYFUNCTION("""COMPUTED_VALUE"""),"#493")</f>
        <v>#493</v>
      </c>
      <c r="P494" t="str">
        <f>IFERROR(__xludf.DUMMYFUNCTION("""COMPUTED_VALUE"""),"Nicolas Turquois")</f>
        <v>Nicolas Turquois</v>
      </c>
      <c r="Q494">
        <f>IFERROR(__xludf.DUMMYFUNCTION("""COMPUTED_VALUE"""),3137.0)</f>
        <v>3137</v>
      </c>
      <c r="R494" t="str">
        <f>IFERROR(__xludf.DUMMYFUNCTION("""COMPUTED_VALUE"""),"-")</f>
        <v>-</v>
      </c>
      <c r="S494" t="str">
        <f>IFERROR(__xludf.DUMMYFUNCTION("""COMPUTED_VALUE"""),"-")</f>
        <v>-</v>
      </c>
      <c r="T494" t="str">
        <f>IFERROR(__xludf.DUMMYFUNCTION("""COMPUTED_VALUE"""),"-")</f>
        <v>-</v>
      </c>
      <c r="U494" t="str">
        <f>IFERROR(__xludf.DUMMYFUNCTION("""COMPUTED_VALUE"""),"-")</f>
        <v>-</v>
      </c>
      <c r="V494" t="str">
        <f>IFERROR(__xludf.DUMMYFUNCTION("""COMPUTED_VALUE"""),"-")</f>
        <v>-</v>
      </c>
      <c r="W494" t="str">
        <f>IFERROR(__xludf.DUMMYFUNCTION("""COMPUTED_VALUE"""),"-")</f>
        <v>-</v>
      </c>
      <c r="X494" t="str">
        <f>IFERROR(__xludf.DUMMYFUNCTION("""COMPUTED_VALUE"""),"-")</f>
        <v>-</v>
      </c>
      <c r="Y494" t="str">
        <f>IFERROR(__xludf.DUMMYFUNCTION("""COMPUTED_VALUE"""),"-")</f>
        <v>-</v>
      </c>
      <c r="Z494" t="str">
        <f>IFERROR(__xludf.DUMMYFUNCTION("""COMPUTED_VALUE"""),"-")</f>
        <v>-</v>
      </c>
      <c r="AA494" t="str">
        <f>IFERROR(__xludf.DUMMYFUNCTION("""COMPUTED_VALUE"""),"-")</f>
        <v>-</v>
      </c>
    </row>
    <row r="495">
      <c r="A495" t="str">
        <f>IFERROR(__xludf.DUMMYFUNCTION("""COMPUTED_VALUE"""),"#494")</f>
        <v>#494</v>
      </c>
      <c r="B495" t="str">
        <f>IFERROR(__xludf.DUMMYFUNCTION("""COMPUTED_VALUE"""),"Bruno Drapron")</f>
        <v>Bruno Drapron</v>
      </c>
      <c r="C495">
        <f>IFERROR(__xludf.DUMMYFUNCTION("""COMPUTED_VALUE"""),3093.0)</f>
        <v>3093</v>
      </c>
      <c r="D495" t="str">
        <f>IFERROR(__xludf.DUMMYFUNCTION("""COMPUTED_VALUE"""),"-")</f>
        <v>-</v>
      </c>
      <c r="E495" t="str">
        <f>IFERROR(__xludf.DUMMYFUNCTION("""COMPUTED_VALUE"""),"-")</f>
        <v>-</v>
      </c>
      <c r="F495" t="str">
        <f>IFERROR(__xludf.DUMMYFUNCTION("""COMPUTED_VALUE"""),"-")</f>
        <v>-</v>
      </c>
      <c r="G495" t="str">
        <f>IFERROR(__xludf.DUMMYFUNCTION("""COMPUTED_VALUE"""),"-")</f>
        <v>-</v>
      </c>
      <c r="H495" t="str">
        <f>IFERROR(__xludf.DUMMYFUNCTION("""COMPUTED_VALUE"""),"-")</f>
        <v>-</v>
      </c>
      <c r="I495" t="str">
        <f>IFERROR(__xludf.DUMMYFUNCTION("""COMPUTED_VALUE"""),"-")</f>
        <v>-</v>
      </c>
      <c r="J495" t="str">
        <f>IFERROR(__xludf.DUMMYFUNCTION("""COMPUTED_VALUE"""),"-")</f>
        <v>-</v>
      </c>
      <c r="K495" t="str">
        <f>IFERROR(__xludf.DUMMYFUNCTION("""COMPUTED_VALUE"""),"-")</f>
        <v>-</v>
      </c>
      <c r="L495" t="str">
        <f>IFERROR(__xludf.DUMMYFUNCTION("""COMPUTED_VALUE"""),"-")</f>
        <v>-</v>
      </c>
      <c r="M495" t="str">
        <f>IFERROR(__xludf.DUMMYFUNCTION("""COMPUTED_VALUE"""),"-")</f>
        <v>-</v>
      </c>
      <c r="O495" t="str">
        <f>IFERROR(__xludf.DUMMYFUNCTION("""COMPUTED_VALUE"""),"#494")</f>
        <v>#494</v>
      </c>
      <c r="P495" t="str">
        <f>IFERROR(__xludf.DUMMYFUNCTION("""COMPUTED_VALUE"""),"Bruno Drapron")</f>
        <v>Bruno Drapron</v>
      </c>
      <c r="Q495">
        <f>IFERROR(__xludf.DUMMYFUNCTION("""COMPUTED_VALUE"""),3093.0)</f>
        <v>3093</v>
      </c>
      <c r="R495" t="str">
        <f>IFERROR(__xludf.DUMMYFUNCTION("""COMPUTED_VALUE"""),"-")</f>
        <v>-</v>
      </c>
      <c r="S495" t="str">
        <f>IFERROR(__xludf.DUMMYFUNCTION("""COMPUTED_VALUE"""),"-")</f>
        <v>-</v>
      </c>
      <c r="T495" t="str">
        <f>IFERROR(__xludf.DUMMYFUNCTION("""COMPUTED_VALUE"""),"-")</f>
        <v>-</v>
      </c>
      <c r="U495" t="str">
        <f>IFERROR(__xludf.DUMMYFUNCTION("""COMPUTED_VALUE"""),"-")</f>
        <v>-</v>
      </c>
      <c r="V495" t="str">
        <f>IFERROR(__xludf.DUMMYFUNCTION("""COMPUTED_VALUE"""),"-")</f>
        <v>-</v>
      </c>
      <c r="W495" t="str">
        <f>IFERROR(__xludf.DUMMYFUNCTION("""COMPUTED_VALUE"""),"-")</f>
        <v>-</v>
      </c>
      <c r="X495" t="str">
        <f>IFERROR(__xludf.DUMMYFUNCTION("""COMPUTED_VALUE"""),"-")</f>
        <v>-</v>
      </c>
      <c r="Y495" t="str">
        <f>IFERROR(__xludf.DUMMYFUNCTION("""COMPUTED_VALUE"""),"-")</f>
        <v>-</v>
      </c>
      <c r="Z495" t="str">
        <f>IFERROR(__xludf.DUMMYFUNCTION("""COMPUTED_VALUE"""),"-")</f>
        <v>-</v>
      </c>
      <c r="AA495" t="str">
        <f>IFERROR(__xludf.DUMMYFUNCTION("""COMPUTED_VALUE"""),"-")</f>
        <v>-</v>
      </c>
    </row>
    <row r="496">
      <c r="A496" t="str">
        <f>IFERROR(__xludf.DUMMYFUNCTION("""COMPUTED_VALUE"""),"#495")</f>
        <v>#495</v>
      </c>
      <c r="B496" t="str">
        <f>IFERROR(__xludf.DUMMYFUNCTION("""COMPUTED_VALUE"""),"Hervé Pellois")</f>
        <v>Hervé Pellois</v>
      </c>
      <c r="C496">
        <f>IFERROR(__xludf.DUMMYFUNCTION("""COMPUTED_VALUE"""),3052.0)</f>
        <v>3052</v>
      </c>
      <c r="D496" t="str">
        <f>IFERROR(__xludf.DUMMYFUNCTION("""COMPUTED_VALUE"""),"-")</f>
        <v>-</v>
      </c>
      <c r="E496" t="str">
        <f>IFERROR(__xludf.DUMMYFUNCTION("""COMPUTED_VALUE"""),"-")</f>
        <v>-</v>
      </c>
      <c r="F496" t="str">
        <f>IFERROR(__xludf.DUMMYFUNCTION("""COMPUTED_VALUE"""),"-")</f>
        <v>-</v>
      </c>
      <c r="G496" t="str">
        <f>IFERROR(__xludf.DUMMYFUNCTION("""COMPUTED_VALUE"""),"-")</f>
        <v>-</v>
      </c>
      <c r="H496" t="str">
        <f>IFERROR(__xludf.DUMMYFUNCTION("""COMPUTED_VALUE"""),"-")</f>
        <v>-</v>
      </c>
      <c r="I496" t="str">
        <f>IFERROR(__xludf.DUMMYFUNCTION("""COMPUTED_VALUE"""),"-")</f>
        <v>-</v>
      </c>
      <c r="J496" t="str">
        <f>IFERROR(__xludf.DUMMYFUNCTION("""COMPUTED_VALUE"""),"-")</f>
        <v>-</v>
      </c>
      <c r="K496" t="str">
        <f>IFERROR(__xludf.DUMMYFUNCTION("""COMPUTED_VALUE"""),"-")</f>
        <v>-</v>
      </c>
      <c r="L496" t="str">
        <f>IFERROR(__xludf.DUMMYFUNCTION("""COMPUTED_VALUE"""),"-")</f>
        <v>-</v>
      </c>
      <c r="M496" t="str">
        <f>IFERROR(__xludf.DUMMYFUNCTION("""COMPUTED_VALUE"""),"-")</f>
        <v>-</v>
      </c>
      <c r="O496" t="str">
        <f>IFERROR(__xludf.DUMMYFUNCTION("""COMPUTED_VALUE"""),"#495")</f>
        <v>#495</v>
      </c>
      <c r="P496" t="str">
        <f>IFERROR(__xludf.DUMMYFUNCTION("""COMPUTED_VALUE"""),"Hervé Pellois")</f>
        <v>Hervé Pellois</v>
      </c>
      <c r="Q496">
        <f>IFERROR(__xludf.DUMMYFUNCTION("""COMPUTED_VALUE"""),3052.0)</f>
        <v>3052</v>
      </c>
      <c r="R496" t="str">
        <f>IFERROR(__xludf.DUMMYFUNCTION("""COMPUTED_VALUE"""),"-")</f>
        <v>-</v>
      </c>
      <c r="S496" t="str">
        <f>IFERROR(__xludf.DUMMYFUNCTION("""COMPUTED_VALUE"""),"-")</f>
        <v>-</v>
      </c>
      <c r="T496" t="str">
        <f>IFERROR(__xludf.DUMMYFUNCTION("""COMPUTED_VALUE"""),"-")</f>
        <v>-</v>
      </c>
      <c r="U496" t="str">
        <f>IFERROR(__xludf.DUMMYFUNCTION("""COMPUTED_VALUE"""),"-")</f>
        <v>-</v>
      </c>
      <c r="V496" t="str">
        <f>IFERROR(__xludf.DUMMYFUNCTION("""COMPUTED_VALUE"""),"-")</f>
        <v>-</v>
      </c>
      <c r="W496" t="str">
        <f>IFERROR(__xludf.DUMMYFUNCTION("""COMPUTED_VALUE"""),"-")</f>
        <v>-</v>
      </c>
      <c r="X496" t="str">
        <f>IFERROR(__xludf.DUMMYFUNCTION("""COMPUTED_VALUE"""),"-")</f>
        <v>-</v>
      </c>
      <c r="Y496" t="str">
        <f>IFERROR(__xludf.DUMMYFUNCTION("""COMPUTED_VALUE"""),"-")</f>
        <v>-</v>
      </c>
      <c r="Z496" t="str">
        <f>IFERROR(__xludf.DUMMYFUNCTION("""COMPUTED_VALUE"""),"-")</f>
        <v>-</v>
      </c>
      <c r="AA496" t="str">
        <f>IFERROR(__xludf.DUMMYFUNCTION("""COMPUTED_VALUE"""),"-")</f>
        <v>-</v>
      </c>
    </row>
    <row r="497">
      <c r="A497" t="str">
        <f>IFERROR(__xludf.DUMMYFUNCTION("""COMPUTED_VALUE"""),"#496")</f>
        <v>#496</v>
      </c>
      <c r="B497" t="str">
        <f>IFERROR(__xludf.DUMMYFUNCTION("""COMPUTED_VALUE"""),"Philippe Pradal")</f>
        <v>Philippe Pradal</v>
      </c>
      <c r="C497">
        <f>IFERROR(__xludf.DUMMYFUNCTION("""COMPUTED_VALUE"""),3023.0)</f>
        <v>3023</v>
      </c>
      <c r="D497" t="str">
        <f>IFERROR(__xludf.DUMMYFUNCTION("""COMPUTED_VALUE"""),"-")</f>
        <v>-</v>
      </c>
      <c r="E497" t="str">
        <f>IFERROR(__xludf.DUMMYFUNCTION("""COMPUTED_VALUE"""),"-")</f>
        <v>-</v>
      </c>
      <c r="F497" t="str">
        <f>IFERROR(__xludf.DUMMYFUNCTION("""COMPUTED_VALUE"""),"-")</f>
        <v>-</v>
      </c>
      <c r="G497" t="str">
        <f>IFERROR(__xludf.DUMMYFUNCTION("""COMPUTED_VALUE"""),"-")</f>
        <v>-</v>
      </c>
      <c r="H497" t="str">
        <f>IFERROR(__xludf.DUMMYFUNCTION("""COMPUTED_VALUE"""),"-")</f>
        <v>-</v>
      </c>
      <c r="I497" t="str">
        <f>IFERROR(__xludf.DUMMYFUNCTION("""COMPUTED_VALUE"""),"-")</f>
        <v>-</v>
      </c>
      <c r="J497" t="str">
        <f>IFERROR(__xludf.DUMMYFUNCTION("""COMPUTED_VALUE"""),"-")</f>
        <v>-</v>
      </c>
      <c r="K497" t="str">
        <f>IFERROR(__xludf.DUMMYFUNCTION("""COMPUTED_VALUE"""),"-")</f>
        <v>-</v>
      </c>
      <c r="L497" t="str">
        <f>IFERROR(__xludf.DUMMYFUNCTION("""COMPUTED_VALUE"""),"-")</f>
        <v>-</v>
      </c>
      <c r="M497" t="str">
        <f>IFERROR(__xludf.DUMMYFUNCTION("""COMPUTED_VALUE"""),"-")</f>
        <v>-</v>
      </c>
      <c r="O497" t="str">
        <f>IFERROR(__xludf.DUMMYFUNCTION("""COMPUTED_VALUE"""),"#496")</f>
        <v>#496</v>
      </c>
      <c r="P497" t="str">
        <f>IFERROR(__xludf.DUMMYFUNCTION("""COMPUTED_VALUE"""),"Philippe Pradal")</f>
        <v>Philippe Pradal</v>
      </c>
      <c r="Q497">
        <f>IFERROR(__xludf.DUMMYFUNCTION("""COMPUTED_VALUE"""),3023.0)</f>
        <v>3023</v>
      </c>
      <c r="R497" t="str">
        <f>IFERROR(__xludf.DUMMYFUNCTION("""COMPUTED_VALUE"""),"-")</f>
        <v>-</v>
      </c>
      <c r="S497" t="str">
        <f>IFERROR(__xludf.DUMMYFUNCTION("""COMPUTED_VALUE"""),"-")</f>
        <v>-</v>
      </c>
      <c r="T497" t="str">
        <f>IFERROR(__xludf.DUMMYFUNCTION("""COMPUTED_VALUE"""),"-")</f>
        <v>-</v>
      </c>
      <c r="U497" t="str">
        <f>IFERROR(__xludf.DUMMYFUNCTION("""COMPUTED_VALUE"""),"-")</f>
        <v>-</v>
      </c>
      <c r="V497" t="str">
        <f>IFERROR(__xludf.DUMMYFUNCTION("""COMPUTED_VALUE"""),"-")</f>
        <v>-</v>
      </c>
      <c r="W497" t="str">
        <f>IFERROR(__xludf.DUMMYFUNCTION("""COMPUTED_VALUE"""),"-")</f>
        <v>-</v>
      </c>
      <c r="X497" t="str">
        <f>IFERROR(__xludf.DUMMYFUNCTION("""COMPUTED_VALUE"""),"-")</f>
        <v>-</v>
      </c>
      <c r="Y497" t="str">
        <f>IFERROR(__xludf.DUMMYFUNCTION("""COMPUTED_VALUE"""),"-")</f>
        <v>-</v>
      </c>
      <c r="Z497" t="str">
        <f>IFERROR(__xludf.DUMMYFUNCTION("""COMPUTED_VALUE"""),"-")</f>
        <v>-</v>
      </c>
      <c r="AA497" t="str">
        <f>IFERROR(__xludf.DUMMYFUNCTION("""COMPUTED_VALUE"""),"-")</f>
        <v>-</v>
      </c>
    </row>
    <row r="498">
      <c r="A498" t="str">
        <f>IFERROR(__xludf.DUMMYFUNCTION("""COMPUTED_VALUE"""),"#497")</f>
        <v>#497</v>
      </c>
      <c r="B498" t="str">
        <f>IFERROR(__xludf.DUMMYFUNCTION("""COMPUTED_VALUE"""),"François Cuillandre")</f>
        <v>François Cuillandre</v>
      </c>
      <c r="C498">
        <f>IFERROR(__xludf.DUMMYFUNCTION("""COMPUTED_VALUE"""),3013.0)</f>
        <v>3013</v>
      </c>
      <c r="D498" t="str">
        <f>IFERROR(__xludf.DUMMYFUNCTION("""COMPUTED_VALUE"""),"-")</f>
        <v>-</v>
      </c>
      <c r="E498" t="str">
        <f>IFERROR(__xludf.DUMMYFUNCTION("""COMPUTED_VALUE"""),"-")</f>
        <v>-</v>
      </c>
      <c r="F498" t="str">
        <f>IFERROR(__xludf.DUMMYFUNCTION("""COMPUTED_VALUE"""),"-")</f>
        <v>-</v>
      </c>
      <c r="G498" t="str">
        <f>IFERROR(__xludf.DUMMYFUNCTION("""COMPUTED_VALUE"""),"-")</f>
        <v>-</v>
      </c>
      <c r="H498" t="str">
        <f>IFERROR(__xludf.DUMMYFUNCTION("""COMPUTED_VALUE"""),"-")</f>
        <v>-</v>
      </c>
      <c r="I498" t="str">
        <f>IFERROR(__xludf.DUMMYFUNCTION("""COMPUTED_VALUE"""),"-")</f>
        <v>-</v>
      </c>
      <c r="J498" t="str">
        <f>IFERROR(__xludf.DUMMYFUNCTION("""COMPUTED_VALUE"""),"-")</f>
        <v>-</v>
      </c>
      <c r="K498" t="str">
        <f>IFERROR(__xludf.DUMMYFUNCTION("""COMPUTED_VALUE"""),"-")</f>
        <v>-</v>
      </c>
      <c r="L498" t="str">
        <f>IFERROR(__xludf.DUMMYFUNCTION("""COMPUTED_VALUE"""),"-")</f>
        <v>-</v>
      </c>
      <c r="M498" t="str">
        <f>IFERROR(__xludf.DUMMYFUNCTION("""COMPUTED_VALUE"""),"-")</f>
        <v>-</v>
      </c>
      <c r="O498" t="str">
        <f>IFERROR(__xludf.DUMMYFUNCTION("""COMPUTED_VALUE"""),"#497")</f>
        <v>#497</v>
      </c>
      <c r="P498" t="str">
        <f>IFERROR(__xludf.DUMMYFUNCTION("""COMPUTED_VALUE"""),"François Cuillandre")</f>
        <v>François Cuillandre</v>
      </c>
      <c r="Q498">
        <f>IFERROR(__xludf.DUMMYFUNCTION("""COMPUTED_VALUE"""),3013.0)</f>
        <v>3013</v>
      </c>
      <c r="R498" t="str">
        <f>IFERROR(__xludf.DUMMYFUNCTION("""COMPUTED_VALUE"""),"-")</f>
        <v>-</v>
      </c>
      <c r="S498" t="str">
        <f>IFERROR(__xludf.DUMMYFUNCTION("""COMPUTED_VALUE"""),"-")</f>
        <v>-</v>
      </c>
      <c r="T498" t="str">
        <f>IFERROR(__xludf.DUMMYFUNCTION("""COMPUTED_VALUE"""),"-")</f>
        <v>-</v>
      </c>
      <c r="U498" t="str">
        <f>IFERROR(__xludf.DUMMYFUNCTION("""COMPUTED_VALUE"""),"-")</f>
        <v>-</v>
      </c>
      <c r="V498" t="str">
        <f>IFERROR(__xludf.DUMMYFUNCTION("""COMPUTED_VALUE"""),"-")</f>
        <v>-</v>
      </c>
      <c r="W498" t="str">
        <f>IFERROR(__xludf.DUMMYFUNCTION("""COMPUTED_VALUE"""),"-")</f>
        <v>-</v>
      </c>
      <c r="X498" t="str">
        <f>IFERROR(__xludf.DUMMYFUNCTION("""COMPUTED_VALUE"""),"-")</f>
        <v>-</v>
      </c>
      <c r="Y498" t="str">
        <f>IFERROR(__xludf.DUMMYFUNCTION("""COMPUTED_VALUE"""),"-")</f>
        <v>-</v>
      </c>
      <c r="Z498" t="str">
        <f>IFERROR(__xludf.DUMMYFUNCTION("""COMPUTED_VALUE"""),"-")</f>
        <v>-</v>
      </c>
      <c r="AA498" t="str">
        <f>IFERROR(__xludf.DUMMYFUNCTION("""COMPUTED_VALUE"""),"-")</f>
        <v>-</v>
      </c>
    </row>
    <row r="499">
      <c r="A499" t="str">
        <f>IFERROR(__xludf.DUMMYFUNCTION("""COMPUTED_VALUE"""),"#498")</f>
        <v>#498</v>
      </c>
      <c r="B499" t="str">
        <f>IFERROR(__xludf.DUMMYFUNCTION("""COMPUTED_VALUE"""),"Françoise Coutant")</f>
        <v>Françoise Coutant</v>
      </c>
      <c r="C499">
        <f>IFERROR(__xludf.DUMMYFUNCTION("""COMPUTED_VALUE"""),2979.0)</f>
        <v>2979</v>
      </c>
      <c r="D499" t="str">
        <f>IFERROR(__xludf.DUMMYFUNCTION("""COMPUTED_VALUE"""),"-")</f>
        <v>-</v>
      </c>
      <c r="E499" t="str">
        <f>IFERROR(__xludf.DUMMYFUNCTION("""COMPUTED_VALUE"""),"-")</f>
        <v>-</v>
      </c>
      <c r="F499" t="str">
        <f>IFERROR(__xludf.DUMMYFUNCTION("""COMPUTED_VALUE"""),"-")</f>
        <v>-</v>
      </c>
      <c r="G499" t="str">
        <f>IFERROR(__xludf.DUMMYFUNCTION("""COMPUTED_VALUE"""),"-")</f>
        <v>-</v>
      </c>
      <c r="H499" t="str">
        <f>IFERROR(__xludf.DUMMYFUNCTION("""COMPUTED_VALUE"""),"-")</f>
        <v>-</v>
      </c>
      <c r="I499" t="str">
        <f>IFERROR(__xludf.DUMMYFUNCTION("""COMPUTED_VALUE"""),"-")</f>
        <v>-</v>
      </c>
      <c r="J499" t="str">
        <f>IFERROR(__xludf.DUMMYFUNCTION("""COMPUTED_VALUE"""),"-")</f>
        <v>-</v>
      </c>
      <c r="K499" t="str">
        <f>IFERROR(__xludf.DUMMYFUNCTION("""COMPUTED_VALUE"""),"-")</f>
        <v>-</v>
      </c>
      <c r="L499" t="str">
        <f>IFERROR(__xludf.DUMMYFUNCTION("""COMPUTED_VALUE"""),"-")</f>
        <v>-</v>
      </c>
      <c r="M499" t="str">
        <f>IFERROR(__xludf.DUMMYFUNCTION("""COMPUTED_VALUE"""),"-")</f>
        <v>-</v>
      </c>
      <c r="O499" t="str">
        <f>IFERROR(__xludf.DUMMYFUNCTION("""COMPUTED_VALUE"""),"#498")</f>
        <v>#498</v>
      </c>
      <c r="P499" t="str">
        <f>IFERROR(__xludf.DUMMYFUNCTION("""COMPUTED_VALUE"""),"Françoise Coutant")</f>
        <v>Françoise Coutant</v>
      </c>
      <c r="Q499">
        <f>IFERROR(__xludf.DUMMYFUNCTION("""COMPUTED_VALUE"""),2979.0)</f>
        <v>2979</v>
      </c>
      <c r="R499" t="str">
        <f>IFERROR(__xludf.DUMMYFUNCTION("""COMPUTED_VALUE"""),"-")</f>
        <v>-</v>
      </c>
      <c r="S499" t="str">
        <f>IFERROR(__xludf.DUMMYFUNCTION("""COMPUTED_VALUE"""),"-")</f>
        <v>-</v>
      </c>
      <c r="T499" t="str">
        <f>IFERROR(__xludf.DUMMYFUNCTION("""COMPUTED_VALUE"""),"-")</f>
        <v>-</v>
      </c>
      <c r="U499" t="str">
        <f>IFERROR(__xludf.DUMMYFUNCTION("""COMPUTED_VALUE"""),"-")</f>
        <v>-</v>
      </c>
      <c r="V499" t="str">
        <f>IFERROR(__xludf.DUMMYFUNCTION("""COMPUTED_VALUE"""),"-")</f>
        <v>-</v>
      </c>
      <c r="W499" t="str">
        <f>IFERROR(__xludf.DUMMYFUNCTION("""COMPUTED_VALUE"""),"-")</f>
        <v>-</v>
      </c>
      <c r="X499" t="str">
        <f>IFERROR(__xludf.DUMMYFUNCTION("""COMPUTED_VALUE"""),"-")</f>
        <v>-</v>
      </c>
      <c r="Y499" t="str">
        <f>IFERROR(__xludf.DUMMYFUNCTION("""COMPUTED_VALUE"""),"-")</f>
        <v>-</v>
      </c>
      <c r="Z499" t="str">
        <f>IFERROR(__xludf.DUMMYFUNCTION("""COMPUTED_VALUE"""),"-")</f>
        <v>-</v>
      </c>
      <c r="AA499" t="str">
        <f>IFERROR(__xludf.DUMMYFUNCTION("""COMPUTED_VALUE"""),"-")</f>
        <v>-</v>
      </c>
    </row>
    <row r="500">
      <c r="A500" t="str">
        <f>IFERROR(__xludf.DUMMYFUNCTION("""COMPUTED_VALUE"""),"#499")</f>
        <v>#499</v>
      </c>
      <c r="B500" t="str">
        <f>IFERROR(__xludf.DUMMYFUNCTION("""COMPUTED_VALUE"""),"Anne Claudius-Petit")</f>
        <v>Anne Claudius-Petit</v>
      </c>
      <c r="C500">
        <f>IFERROR(__xludf.DUMMYFUNCTION("""COMPUTED_VALUE"""),2977.0)</f>
        <v>2977</v>
      </c>
      <c r="D500" t="str">
        <f>IFERROR(__xludf.DUMMYFUNCTION("""COMPUTED_VALUE"""),"-")</f>
        <v>-</v>
      </c>
      <c r="E500" t="str">
        <f>IFERROR(__xludf.DUMMYFUNCTION("""COMPUTED_VALUE"""),"-")</f>
        <v>-</v>
      </c>
      <c r="F500" t="str">
        <f>IFERROR(__xludf.DUMMYFUNCTION("""COMPUTED_VALUE"""),"-")</f>
        <v>-</v>
      </c>
      <c r="G500" t="str">
        <f>IFERROR(__xludf.DUMMYFUNCTION("""COMPUTED_VALUE"""),"-")</f>
        <v>-</v>
      </c>
      <c r="H500" t="str">
        <f>IFERROR(__xludf.DUMMYFUNCTION("""COMPUTED_VALUE"""),"-")</f>
        <v>-</v>
      </c>
      <c r="I500" t="str">
        <f>IFERROR(__xludf.DUMMYFUNCTION("""COMPUTED_VALUE"""),"-")</f>
        <v>-</v>
      </c>
      <c r="J500" t="str">
        <f>IFERROR(__xludf.DUMMYFUNCTION("""COMPUTED_VALUE"""),"-")</f>
        <v>-</v>
      </c>
      <c r="K500" t="str">
        <f>IFERROR(__xludf.DUMMYFUNCTION("""COMPUTED_VALUE"""),"-")</f>
        <v>-</v>
      </c>
      <c r="L500" t="str">
        <f>IFERROR(__xludf.DUMMYFUNCTION("""COMPUTED_VALUE"""),"-")</f>
        <v>-</v>
      </c>
      <c r="M500" t="str">
        <f>IFERROR(__xludf.DUMMYFUNCTION("""COMPUTED_VALUE"""),"-")</f>
        <v>-</v>
      </c>
      <c r="O500" t="str">
        <f>IFERROR(__xludf.DUMMYFUNCTION("""COMPUTED_VALUE"""),"#499")</f>
        <v>#499</v>
      </c>
      <c r="P500" t="str">
        <f>IFERROR(__xludf.DUMMYFUNCTION("""COMPUTED_VALUE"""),"Anne Claudius-Petit")</f>
        <v>Anne Claudius-Petit</v>
      </c>
      <c r="Q500">
        <f>IFERROR(__xludf.DUMMYFUNCTION("""COMPUTED_VALUE"""),2977.0)</f>
        <v>2977</v>
      </c>
      <c r="R500" t="str">
        <f>IFERROR(__xludf.DUMMYFUNCTION("""COMPUTED_VALUE"""),"-")</f>
        <v>-</v>
      </c>
      <c r="S500" t="str">
        <f>IFERROR(__xludf.DUMMYFUNCTION("""COMPUTED_VALUE"""),"-")</f>
        <v>-</v>
      </c>
      <c r="T500" t="str">
        <f>IFERROR(__xludf.DUMMYFUNCTION("""COMPUTED_VALUE"""),"-")</f>
        <v>-</v>
      </c>
      <c r="U500" t="str">
        <f>IFERROR(__xludf.DUMMYFUNCTION("""COMPUTED_VALUE"""),"-")</f>
        <v>-</v>
      </c>
      <c r="V500" t="str">
        <f>IFERROR(__xludf.DUMMYFUNCTION("""COMPUTED_VALUE"""),"-")</f>
        <v>-</v>
      </c>
      <c r="W500" t="str">
        <f>IFERROR(__xludf.DUMMYFUNCTION("""COMPUTED_VALUE"""),"-")</f>
        <v>-</v>
      </c>
      <c r="X500" t="str">
        <f>IFERROR(__xludf.DUMMYFUNCTION("""COMPUTED_VALUE"""),"-")</f>
        <v>-</v>
      </c>
      <c r="Y500" t="str">
        <f>IFERROR(__xludf.DUMMYFUNCTION("""COMPUTED_VALUE"""),"-")</f>
        <v>-</v>
      </c>
      <c r="Z500" t="str">
        <f>IFERROR(__xludf.DUMMYFUNCTION("""COMPUTED_VALUE"""),"-")</f>
        <v>-</v>
      </c>
      <c r="AA500" t="str">
        <f>IFERROR(__xludf.DUMMYFUNCTION("""COMPUTED_VALUE"""),"-")</f>
        <v>-</v>
      </c>
    </row>
    <row r="501">
      <c r="A501" t="str">
        <f>IFERROR(__xludf.DUMMYFUNCTION("""COMPUTED_VALUE"""),"#500")</f>
        <v>#500</v>
      </c>
      <c r="B501" t="str">
        <f>IFERROR(__xludf.DUMMYFUNCTION("""COMPUTED_VALUE"""),"Stéphan Rossignol")</f>
        <v>Stéphan Rossignol</v>
      </c>
      <c r="C501">
        <f>IFERROR(__xludf.DUMMYFUNCTION("""COMPUTED_VALUE"""),2963.0)</f>
        <v>2963</v>
      </c>
      <c r="D501" t="str">
        <f>IFERROR(__xludf.DUMMYFUNCTION("""COMPUTED_VALUE"""),"-")</f>
        <v>-</v>
      </c>
      <c r="E501" t="str">
        <f>IFERROR(__xludf.DUMMYFUNCTION("""COMPUTED_VALUE"""),"-")</f>
        <v>-</v>
      </c>
      <c r="F501" t="str">
        <f>IFERROR(__xludf.DUMMYFUNCTION("""COMPUTED_VALUE"""),"-")</f>
        <v>-</v>
      </c>
      <c r="G501" t="str">
        <f>IFERROR(__xludf.DUMMYFUNCTION("""COMPUTED_VALUE"""),"-")</f>
        <v>-</v>
      </c>
      <c r="H501" t="str">
        <f>IFERROR(__xludf.DUMMYFUNCTION("""COMPUTED_VALUE"""),"-")</f>
        <v>-</v>
      </c>
      <c r="I501" t="str">
        <f>IFERROR(__xludf.DUMMYFUNCTION("""COMPUTED_VALUE"""),"-")</f>
        <v>-</v>
      </c>
      <c r="J501" t="str">
        <f>IFERROR(__xludf.DUMMYFUNCTION("""COMPUTED_VALUE"""),"-")</f>
        <v>-</v>
      </c>
      <c r="K501" t="str">
        <f>IFERROR(__xludf.DUMMYFUNCTION("""COMPUTED_VALUE"""),"-")</f>
        <v>-</v>
      </c>
      <c r="L501" t="str">
        <f>IFERROR(__xludf.DUMMYFUNCTION("""COMPUTED_VALUE"""),"-")</f>
        <v>-</v>
      </c>
      <c r="M501" t="str">
        <f>IFERROR(__xludf.DUMMYFUNCTION("""COMPUTED_VALUE"""),"-")</f>
        <v>-</v>
      </c>
      <c r="O501" t="str">
        <f>IFERROR(__xludf.DUMMYFUNCTION("""COMPUTED_VALUE"""),"#500")</f>
        <v>#500</v>
      </c>
      <c r="P501" t="str">
        <f>IFERROR(__xludf.DUMMYFUNCTION("""COMPUTED_VALUE"""),"Stéphan Rossignol")</f>
        <v>Stéphan Rossignol</v>
      </c>
      <c r="Q501">
        <f>IFERROR(__xludf.DUMMYFUNCTION("""COMPUTED_VALUE"""),2963.0)</f>
        <v>2963</v>
      </c>
      <c r="R501" t="str">
        <f>IFERROR(__xludf.DUMMYFUNCTION("""COMPUTED_VALUE"""),"-")</f>
        <v>-</v>
      </c>
      <c r="S501" t="str">
        <f>IFERROR(__xludf.DUMMYFUNCTION("""COMPUTED_VALUE"""),"-")</f>
        <v>-</v>
      </c>
      <c r="T501" t="str">
        <f>IFERROR(__xludf.DUMMYFUNCTION("""COMPUTED_VALUE"""),"-")</f>
        <v>-</v>
      </c>
      <c r="U501" t="str">
        <f>IFERROR(__xludf.DUMMYFUNCTION("""COMPUTED_VALUE"""),"-")</f>
        <v>-</v>
      </c>
      <c r="V501" t="str">
        <f>IFERROR(__xludf.DUMMYFUNCTION("""COMPUTED_VALUE"""),"-")</f>
        <v>-</v>
      </c>
      <c r="W501" t="str">
        <f>IFERROR(__xludf.DUMMYFUNCTION("""COMPUTED_VALUE"""),"-")</f>
        <v>-</v>
      </c>
      <c r="X501" t="str">
        <f>IFERROR(__xludf.DUMMYFUNCTION("""COMPUTED_VALUE"""),"-")</f>
        <v>-</v>
      </c>
      <c r="Y501" t="str">
        <f>IFERROR(__xludf.DUMMYFUNCTION("""COMPUTED_VALUE"""),"-")</f>
        <v>-</v>
      </c>
      <c r="Z501" t="str">
        <f>IFERROR(__xludf.DUMMYFUNCTION("""COMPUTED_VALUE"""),"-")</f>
        <v>-</v>
      </c>
      <c r="AA501" t="str">
        <f>IFERROR(__xludf.DUMMYFUNCTION("""COMPUTED_VALUE"""),"-")</f>
        <v>-</v>
      </c>
    </row>
    <row r="502">
      <c r="A502" t="str">
        <f>IFERROR(__xludf.DUMMYFUNCTION("""COMPUTED_VALUE"""),"#501")</f>
        <v>#501</v>
      </c>
      <c r="B502" t="str">
        <f>IFERROR(__xludf.DUMMYFUNCTION("""COMPUTED_VALUE"""),"Claude Raynal")</f>
        <v>Claude Raynal</v>
      </c>
      <c r="C502">
        <f>IFERROR(__xludf.DUMMYFUNCTION("""COMPUTED_VALUE"""),2954.0)</f>
        <v>2954</v>
      </c>
      <c r="D502" t="str">
        <f>IFERROR(__xludf.DUMMYFUNCTION("""COMPUTED_VALUE"""),"-")</f>
        <v>-</v>
      </c>
      <c r="E502" t="str">
        <f>IFERROR(__xludf.DUMMYFUNCTION("""COMPUTED_VALUE"""),"-")</f>
        <v>-</v>
      </c>
      <c r="F502" t="str">
        <f>IFERROR(__xludf.DUMMYFUNCTION("""COMPUTED_VALUE"""),"-")</f>
        <v>-</v>
      </c>
      <c r="G502" t="str">
        <f>IFERROR(__xludf.DUMMYFUNCTION("""COMPUTED_VALUE"""),"-")</f>
        <v>-</v>
      </c>
      <c r="H502" t="str">
        <f>IFERROR(__xludf.DUMMYFUNCTION("""COMPUTED_VALUE"""),"-")</f>
        <v>-</v>
      </c>
      <c r="I502" t="str">
        <f>IFERROR(__xludf.DUMMYFUNCTION("""COMPUTED_VALUE"""),"-")</f>
        <v>-</v>
      </c>
      <c r="J502" t="str">
        <f>IFERROR(__xludf.DUMMYFUNCTION("""COMPUTED_VALUE"""),"-")</f>
        <v>-</v>
      </c>
      <c r="K502" t="str">
        <f>IFERROR(__xludf.DUMMYFUNCTION("""COMPUTED_VALUE"""),"-")</f>
        <v>-</v>
      </c>
      <c r="L502" t="str">
        <f>IFERROR(__xludf.DUMMYFUNCTION("""COMPUTED_VALUE"""),"-")</f>
        <v>-</v>
      </c>
      <c r="M502" t="str">
        <f>IFERROR(__xludf.DUMMYFUNCTION("""COMPUTED_VALUE"""),"-")</f>
        <v>-</v>
      </c>
      <c r="O502" t="str">
        <f>IFERROR(__xludf.DUMMYFUNCTION("""COMPUTED_VALUE"""),"#501")</f>
        <v>#501</v>
      </c>
      <c r="P502" t="str">
        <f>IFERROR(__xludf.DUMMYFUNCTION("""COMPUTED_VALUE"""),"Claude Raynal")</f>
        <v>Claude Raynal</v>
      </c>
      <c r="Q502">
        <f>IFERROR(__xludf.DUMMYFUNCTION("""COMPUTED_VALUE"""),2954.0)</f>
        <v>2954</v>
      </c>
      <c r="R502" t="str">
        <f>IFERROR(__xludf.DUMMYFUNCTION("""COMPUTED_VALUE"""),"-")</f>
        <v>-</v>
      </c>
      <c r="S502" t="str">
        <f>IFERROR(__xludf.DUMMYFUNCTION("""COMPUTED_VALUE"""),"-")</f>
        <v>-</v>
      </c>
      <c r="T502" t="str">
        <f>IFERROR(__xludf.DUMMYFUNCTION("""COMPUTED_VALUE"""),"-")</f>
        <v>-</v>
      </c>
      <c r="U502" t="str">
        <f>IFERROR(__xludf.DUMMYFUNCTION("""COMPUTED_VALUE"""),"-")</f>
        <v>-</v>
      </c>
      <c r="V502" t="str">
        <f>IFERROR(__xludf.DUMMYFUNCTION("""COMPUTED_VALUE"""),"-")</f>
        <v>-</v>
      </c>
      <c r="W502" t="str">
        <f>IFERROR(__xludf.DUMMYFUNCTION("""COMPUTED_VALUE"""),"-")</f>
        <v>-</v>
      </c>
      <c r="X502" t="str">
        <f>IFERROR(__xludf.DUMMYFUNCTION("""COMPUTED_VALUE"""),"-")</f>
        <v>-</v>
      </c>
      <c r="Y502" t="str">
        <f>IFERROR(__xludf.DUMMYFUNCTION("""COMPUTED_VALUE"""),"-")</f>
        <v>-</v>
      </c>
      <c r="Z502" t="str">
        <f>IFERROR(__xludf.DUMMYFUNCTION("""COMPUTED_VALUE"""),"-")</f>
        <v>-</v>
      </c>
      <c r="AA502" t="str">
        <f>IFERROR(__xludf.DUMMYFUNCTION("""COMPUTED_VALUE"""),"-")</f>
        <v>-</v>
      </c>
    </row>
    <row r="503">
      <c r="A503" t="str">
        <f>IFERROR(__xludf.DUMMYFUNCTION("""COMPUTED_VALUE"""),"#502")</f>
        <v>#502</v>
      </c>
      <c r="B503" t="str">
        <f>IFERROR(__xludf.DUMMYFUNCTION("""COMPUTED_VALUE"""),"Valérie Laupies")</f>
        <v>Valérie Laupies</v>
      </c>
      <c r="C503">
        <f>IFERROR(__xludf.DUMMYFUNCTION("""COMPUTED_VALUE"""),2924.0)</f>
        <v>2924</v>
      </c>
      <c r="D503" t="str">
        <f>IFERROR(__xludf.DUMMYFUNCTION("""COMPUTED_VALUE"""),"-")</f>
        <v>-</v>
      </c>
      <c r="E503" t="str">
        <f>IFERROR(__xludf.DUMMYFUNCTION("""COMPUTED_VALUE"""),"-")</f>
        <v>-</v>
      </c>
      <c r="F503" t="str">
        <f>IFERROR(__xludf.DUMMYFUNCTION("""COMPUTED_VALUE"""),"-")</f>
        <v>-</v>
      </c>
      <c r="G503" t="str">
        <f>IFERROR(__xludf.DUMMYFUNCTION("""COMPUTED_VALUE"""),"-")</f>
        <v>-</v>
      </c>
      <c r="H503" t="str">
        <f>IFERROR(__xludf.DUMMYFUNCTION("""COMPUTED_VALUE"""),"-")</f>
        <v>-</v>
      </c>
      <c r="I503" t="str">
        <f>IFERROR(__xludf.DUMMYFUNCTION("""COMPUTED_VALUE"""),"-")</f>
        <v>-</v>
      </c>
      <c r="J503" t="str">
        <f>IFERROR(__xludf.DUMMYFUNCTION("""COMPUTED_VALUE"""),"-")</f>
        <v>-</v>
      </c>
      <c r="K503" t="str">
        <f>IFERROR(__xludf.DUMMYFUNCTION("""COMPUTED_VALUE"""),"-")</f>
        <v>-</v>
      </c>
      <c r="L503" t="str">
        <f>IFERROR(__xludf.DUMMYFUNCTION("""COMPUTED_VALUE"""),"-")</f>
        <v>-</v>
      </c>
      <c r="M503" t="str">
        <f>IFERROR(__xludf.DUMMYFUNCTION("""COMPUTED_VALUE"""),"-")</f>
        <v>-</v>
      </c>
      <c r="O503" t="str">
        <f>IFERROR(__xludf.DUMMYFUNCTION("""COMPUTED_VALUE"""),"#502")</f>
        <v>#502</v>
      </c>
      <c r="P503" t="str">
        <f>IFERROR(__xludf.DUMMYFUNCTION("""COMPUTED_VALUE"""),"Valérie Laupies")</f>
        <v>Valérie Laupies</v>
      </c>
      <c r="Q503">
        <f>IFERROR(__xludf.DUMMYFUNCTION("""COMPUTED_VALUE"""),2924.0)</f>
        <v>2924</v>
      </c>
      <c r="R503" t="str">
        <f>IFERROR(__xludf.DUMMYFUNCTION("""COMPUTED_VALUE"""),"-")</f>
        <v>-</v>
      </c>
      <c r="S503" t="str">
        <f>IFERROR(__xludf.DUMMYFUNCTION("""COMPUTED_VALUE"""),"-")</f>
        <v>-</v>
      </c>
      <c r="T503" t="str">
        <f>IFERROR(__xludf.DUMMYFUNCTION("""COMPUTED_VALUE"""),"-")</f>
        <v>-</v>
      </c>
      <c r="U503" t="str">
        <f>IFERROR(__xludf.DUMMYFUNCTION("""COMPUTED_VALUE"""),"-")</f>
        <v>-</v>
      </c>
      <c r="V503" t="str">
        <f>IFERROR(__xludf.DUMMYFUNCTION("""COMPUTED_VALUE"""),"-")</f>
        <v>-</v>
      </c>
      <c r="W503" t="str">
        <f>IFERROR(__xludf.DUMMYFUNCTION("""COMPUTED_VALUE"""),"-")</f>
        <v>-</v>
      </c>
      <c r="X503" t="str">
        <f>IFERROR(__xludf.DUMMYFUNCTION("""COMPUTED_VALUE"""),"-")</f>
        <v>-</v>
      </c>
      <c r="Y503" t="str">
        <f>IFERROR(__xludf.DUMMYFUNCTION("""COMPUTED_VALUE"""),"-")</f>
        <v>-</v>
      </c>
      <c r="Z503" t="str">
        <f>IFERROR(__xludf.DUMMYFUNCTION("""COMPUTED_VALUE"""),"-")</f>
        <v>-</v>
      </c>
      <c r="AA503" t="str">
        <f>IFERROR(__xludf.DUMMYFUNCTION("""COMPUTED_VALUE"""),"-")</f>
        <v>-</v>
      </c>
    </row>
    <row r="504">
      <c r="A504" t="str">
        <f>IFERROR(__xludf.DUMMYFUNCTION("""COMPUTED_VALUE"""),"#503")</f>
        <v>#503</v>
      </c>
      <c r="B504" t="str">
        <f>IFERROR(__xludf.DUMMYFUNCTION("""COMPUTED_VALUE"""),"Patrick Thevenin")</f>
        <v>Patrick Thevenin</v>
      </c>
      <c r="C504">
        <f>IFERROR(__xludf.DUMMYFUNCTION("""COMPUTED_VALUE"""),2885.0)</f>
        <v>2885</v>
      </c>
      <c r="D504" t="str">
        <f>IFERROR(__xludf.DUMMYFUNCTION("""COMPUTED_VALUE"""),"-")</f>
        <v>-</v>
      </c>
      <c r="E504" t="str">
        <f>IFERROR(__xludf.DUMMYFUNCTION("""COMPUTED_VALUE"""),"-")</f>
        <v>-</v>
      </c>
      <c r="F504" t="str">
        <f>IFERROR(__xludf.DUMMYFUNCTION("""COMPUTED_VALUE"""),"-")</f>
        <v>-</v>
      </c>
      <c r="G504" t="str">
        <f>IFERROR(__xludf.DUMMYFUNCTION("""COMPUTED_VALUE"""),"-")</f>
        <v>-</v>
      </c>
      <c r="H504" t="str">
        <f>IFERROR(__xludf.DUMMYFUNCTION("""COMPUTED_VALUE"""),"-")</f>
        <v>-</v>
      </c>
      <c r="I504" t="str">
        <f>IFERROR(__xludf.DUMMYFUNCTION("""COMPUTED_VALUE"""),"-")</f>
        <v>-</v>
      </c>
      <c r="J504" t="str">
        <f>IFERROR(__xludf.DUMMYFUNCTION("""COMPUTED_VALUE"""),"-")</f>
        <v>-</v>
      </c>
      <c r="K504" t="str">
        <f>IFERROR(__xludf.DUMMYFUNCTION("""COMPUTED_VALUE"""),"-")</f>
        <v>-</v>
      </c>
      <c r="L504" t="str">
        <f>IFERROR(__xludf.DUMMYFUNCTION("""COMPUTED_VALUE"""),"-")</f>
        <v>-</v>
      </c>
      <c r="M504" t="str">
        <f>IFERROR(__xludf.DUMMYFUNCTION("""COMPUTED_VALUE"""),"-")</f>
        <v>-</v>
      </c>
      <c r="O504" t="str">
        <f>IFERROR(__xludf.DUMMYFUNCTION("""COMPUTED_VALUE"""),"#503")</f>
        <v>#503</v>
      </c>
      <c r="P504" t="str">
        <f>IFERROR(__xludf.DUMMYFUNCTION("""COMPUTED_VALUE"""),"Patrick Thevenin")</f>
        <v>Patrick Thevenin</v>
      </c>
      <c r="Q504">
        <f>IFERROR(__xludf.DUMMYFUNCTION("""COMPUTED_VALUE"""),2885.0)</f>
        <v>2885</v>
      </c>
      <c r="R504" t="str">
        <f>IFERROR(__xludf.DUMMYFUNCTION("""COMPUTED_VALUE"""),"-")</f>
        <v>-</v>
      </c>
      <c r="S504" t="str">
        <f>IFERROR(__xludf.DUMMYFUNCTION("""COMPUTED_VALUE"""),"-")</f>
        <v>-</v>
      </c>
      <c r="T504" t="str">
        <f>IFERROR(__xludf.DUMMYFUNCTION("""COMPUTED_VALUE"""),"-")</f>
        <v>-</v>
      </c>
      <c r="U504" t="str">
        <f>IFERROR(__xludf.DUMMYFUNCTION("""COMPUTED_VALUE"""),"-")</f>
        <v>-</v>
      </c>
      <c r="V504" t="str">
        <f>IFERROR(__xludf.DUMMYFUNCTION("""COMPUTED_VALUE"""),"-")</f>
        <v>-</v>
      </c>
      <c r="W504" t="str">
        <f>IFERROR(__xludf.DUMMYFUNCTION("""COMPUTED_VALUE"""),"-")</f>
        <v>-</v>
      </c>
      <c r="X504" t="str">
        <f>IFERROR(__xludf.DUMMYFUNCTION("""COMPUTED_VALUE"""),"-")</f>
        <v>-</v>
      </c>
      <c r="Y504" t="str">
        <f>IFERROR(__xludf.DUMMYFUNCTION("""COMPUTED_VALUE"""),"-")</f>
        <v>-</v>
      </c>
      <c r="Z504" t="str">
        <f>IFERROR(__xludf.DUMMYFUNCTION("""COMPUTED_VALUE"""),"-")</f>
        <v>-</v>
      </c>
      <c r="AA504" t="str">
        <f>IFERROR(__xludf.DUMMYFUNCTION("""COMPUTED_VALUE"""),"-")</f>
        <v>-</v>
      </c>
    </row>
    <row r="505">
      <c r="A505" t="str">
        <f>IFERROR(__xludf.DUMMYFUNCTION("""COMPUTED_VALUE"""),"#504")</f>
        <v>#504</v>
      </c>
      <c r="B505" t="str">
        <f>IFERROR(__xludf.DUMMYFUNCTION("""COMPUTED_VALUE"""),"Gaëlle Lenfant")</f>
        <v>Gaëlle Lenfant</v>
      </c>
      <c r="C505">
        <f>IFERROR(__xludf.DUMMYFUNCTION("""COMPUTED_VALUE"""),2883.0)</f>
        <v>2883</v>
      </c>
      <c r="D505" t="str">
        <f>IFERROR(__xludf.DUMMYFUNCTION("""COMPUTED_VALUE"""),"-")</f>
        <v>-</v>
      </c>
      <c r="E505" t="str">
        <f>IFERROR(__xludf.DUMMYFUNCTION("""COMPUTED_VALUE"""),"-")</f>
        <v>-</v>
      </c>
      <c r="F505" t="str">
        <f>IFERROR(__xludf.DUMMYFUNCTION("""COMPUTED_VALUE"""),"-")</f>
        <v>-</v>
      </c>
      <c r="G505" t="str">
        <f>IFERROR(__xludf.DUMMYFUNCTION("""COMPUTED_VALUE"""),"-")</f>
        <v>-</v>
      </c>
      <c r="H505" t="str">
        <f>IFERROR(__xludf.DUMMYFUNCTION("""COMPUTED_VALUE"""),"-")</f>
        <v>-</v>
      </c>
      <c r="I505" t="str">
        <f>IFERROR(__xludf.DUMMYFUNCTION("""COMPUTED_VALUE"""),"-")</f>
        <v>-</v>
      </c>
      <c r="J505" t="str">
        <f>IFERROR(__xludf.DUMMYFUNCTION("""COMPUTED_VALUE"""),"-")</f>
        <v>-</v>
      </c>
      <c r="K505" t="str">
        <f>IFERROR(__xludf.DUMMYFUNCTION("""COMPUTED_VALUE"""),"-")</f>
        <v>-</v>
      </c>
      <c r="L505" t="str">
        <f>IFERROR(__xludf.DUMMYFUNCTION("""COMPUTED_VALUE"""),"-")</f>
        <v>-</v>
      </c>
      <c r="M505" t="str">
        <f>IFERROR(__xludf.DUMMYFUNCTION("""COMPUTED_VALUE"""),"-")</f>
        <v>-</v>
      </c>
      <c r="O505" t="str">
        <f>IFERROR(__xludf.DUMMYFUNCTION("""COMPUTED_VALUE"""),"#504")</f>
        <v>#504</v>
      </c>
      <c r="P505" t="str">
        <f>IFERROR(__xludf.DUMMYFUNCTION("""COMPUTED_VALUE"""),"Gaëlle Lenfant")</f>
        <v>Gaëlle Lenfant</v>
      </c>
      <c r="Q505">
        <f>IFERROR(__xludf.DUMMYFUNCTION("""COMPUTED_VALUE"""),2883.0)</f>
        <v>2883</v>
      </c>
      <c r="R505" t="str">
        <f>IFERROR(__xludf.DUMMYFUNCTION("""COMPUTED_VALUE"""),"-")</f>
        <v>-</v>
      </c>
      <c r="S505" t="str">
        <f>IFERROR(__xludf.DUMMYFUNCTION("""COMPUTED_VALUE"""),"-")</f>
        <v>-</v>
      </c>
      <c r="T505" t="str">
        <f>IFERROR(__xludf.DUMMYFUNCTION("""COMPUTED_VALUE"""),"-")</f>
        <v>-</v>
      </c>
      <c r="U505" t="str">
        <f>IFERROR(__xludf.DUMMYFUNCTION("""COMPUTED_VALUE"""),"-")</f>
        <v>-</v>
      </c>
      <c r="V505" t="str">
        <f>IFERROR(__xludf.DUMMYFUNCTION("""COMPUTED_VALUE"""),"-")</f>
        <v>-</v>
      </c>
      <c r="W505" t="str">
        <f>IFERROR(__xludf.DUMMYFUNCTION("""COMPUTED_VALUE"""),"-")</f>
        <v>-</v>
      </c>
      <c r="X505" t="str">
        <f>IFERROR(__xludf.DUMMYFUNCTION("""COMPUTED_VALUE"""),"-")</f>
        <v>-</v>
      </c>
      <c r="Y505" t="str">
        <f>IFERROR(__xludf.DUMMYFUNCTION("""COMPUTED_VALUE"""),"-")</f>
        <v>-</v>
      </c>
      <c r="Z505" t="str">
        <f>IFERROR(__xludf.DUMMYFUNCTION("""COMPUTED_VALUE"""),"-")</f>
        <v>-</v>
      </c>
      <c r="AA505" t="str">
        <f>IFERROR(__xludf.DUMMYFUNCTION("""COMPUTED_VALUE"""),"-")</f>
        <v>-</v>
      </c>
    </row>
    <row r="506">
      <c r="A506" t="str">
        <f>IFERROR(__xludf.DUMMYFUNCTION("""COMPUTED_VALUE"""),"#505")</f>
        <v>#505</v>
      </c>
      <c r="B506" t="str">
        <f>IFERROR(__xludf.DUMMYFUNCTION("""COMPUTED_VALUE"""),"Robert Hue")</f>
        <v>Robert Hue</v>
      </c>
      <c r="C506">
        <f>IFERROR(__xludf.DUMMYFUNCTION("""COMPUTED_VALUE"""),2858.0)</f>
        <v>2858</v>
      </c>
      <c r="D506" t="str">
        <f>IFERROR(__xludf.DUMMYFUNCTION("""COMPUTED_VALUE"""),"-")</f>
        <v>-</v>
      </c>
      <c r="E506" t="str">
        <f>IFERROR(__xludf.DUMMYFUNCTION("""COMPUTED_VALUE"""),"-")</f>
        <v>-</v>
      </c>
      <c r="F506" t="str">
        <f>IFERROR(__xludf.DUMMYFUNCTION("""COMPUTED_VALUE"""),"-")</f>
        <v>-</v>
      </c>
      <c r="G506" t="str">
        <f>IFERROR(__xludf.DUMMYFUNCTION("""COMPUTED_VALUE"""),"-")</f>
        <v>-</v>
      </c>
      <c r="H506" t="str">
        <f>IFERROR(__xludf.DUMMYFUNCTION("""COMPUTED_VALUE"""),"-")</f>
        <v>-</v>
      </c>
      <c r="I506" t="str">
        <f>IFERROR(__xludf.DUMMYFUNCTION("""COMPUTED_VALUE"""),"-")</f>
        <v>-</v>
      </c>
      <c r="J506" t="str">
        <f>IFERROR(__xludf.DUMMYFUNCTION("""COMPUTED_VALUE"""),"-")</f>
        <v>-</v>
      </c>
      <c r="K506" t="str">
        <f>IFERROR(__xludf.DUMMYFUNCTION("""COMPUTED_VALUE"""),"-")</f>
        <v>-</v>
      </c>
      <c r="L506" t="str">
        <f>IFERROR(__xludf.DUMMYFUNCTION("""COMPUTED_VALUE"""),"-")</f>
        <v>-</v>
      </c>
      <c r="M506" t="str">
        <f>IFERROR(__xludf.DUMMYFUNCTION("""COMPUTED_VALUE"""),"-")</f>
        <v>-</v>
      </c>
      <c r="O506" t="str">
        <f>IFERROR(__xludf.DUMMYFUNCTION("""COMPUTED_VALUE"""),"#505")</f>
        <v>#505</v>
      </c>
      <c r="P506" t="str">
        <f>IFERROR(__xludf.DUMMYFUNCTION("""COMPUTED_VALUE"""),"Robert Hue")</f>
        <v>Robert Hue</v>
      </c>
      <c r="Q506">
        <f>IFERROR(__xludf.DUMMYFUNCTION("""COMPUTED_VALUE"""),2858.0)</f>
        <v>2858</v>
      </c>
      <c r="R506" t="str">
        <f>IFERROR(__xludf.DUMMYFUNCTION("""COMPUTED_VALUE"""),"-")</f>
        <v>-</v>
      </c>
      <c r="S506" t="str">
        <f>IFERROR(__xludf.DUMMYFUNCTION("""COMPUTED_VALUE"""),"-")</f>
        <v>-</v>
      </c>
      <c r="T506" t="str">
        <f>IFERROR(__xludf.DUMMYFUNCTION("""COMPUTED_VALUE"""),"-")</f>
        <v>-</v>
      </c>
      <c r="U506" t="str">
        <f>IFERROR(__xludf.DUMMYFUNCTION("""COMPUTED_VALUE"""),"-")</f>
        <v>-</v>
      </c>
      <c r="V506" t="str">
        <f>IFERROR(__xludf.DUMMYFUNCTION("""COMPUTED_VALUE"""),"-")</f>
        <v>-</v>
      </c>
      <c r="W506" t="str">
        <f>IFERROR(__xludf.DUMMYFUNCTION("""COMPUTED_VALUE"""),"-")</f>
        <v>-</v>
      </c>
      <c r="X506" t="str">
        <f>IFERROR(__xludf.DUMMYFUNCTION("""COMPUTED_VALUE"""),"-")</f>
        <v>-</v>
      </c>
      <c r="Y506" t="str">
        <f>IFERROR(__xludf.DUMMYFUNCTION("""COMPUTED_VALUE"""),"-")</f>
        <v>-</v>
      </c>
      <c r="Z506" t="str">
        <f>IFERROR(__xludf.DUMMYFUNCTION("""COMPUTED_VALUE"""),"-")</f>
        <v>-</v>
      </c>
      <c r="AA506" t="str">
        <f>IFERROR(__xludf.DUMMYFUNCTION("""COMPUTED_VALUE"""),"-")</f>
        <v>-</v>
      </c>
    </row>
    <row r="507">
      <c r="A507" t="str">
        <f>IFERROR(__xludf.DUMMYFUNCTION("""COMPUTED_VALUE"""),"#506")</f>
        <v>#506</v>
      </c>
      <c r="B507" t="str">
        <f>IFERROR(__xludf.DUMMYFUNCTION("""COMPUTED_VALUE"""),"Philippe Noguès")</f>
        <v>Philippe Noguès</v>
      </c>
      <c r="C507">
        <f>IFERROR(__xludf.DUMMYFUNCTION("""COMPUTED_VALUE"""),2837.0)</f>
        <v>2837</v>
      </c>
      <c r="D507" t="str">
        <f>IFERROR(__xludf.DUMMYFUNCTION("""COMPUTED_VALUE"""),"-")</f>
        <v>-</v>
      </c>
      <c r="E507" t="str">
        <f>IFERROR(__xludf.DUMMYFUNCTION("""COMPUTED_VALUE"""),"-")</f>
        <v>-</v>
      </c>
      <c r="F507" t="str">
        <f>IFERROR(__xludf.DUMMYFUNCTION("""COMPUTED_VALUE"""),"-")</f>
        <v>-</v>
      </c>
      <c r="G507" t="str">
        <f>IFERROR(__xludf.DUMMYFUNCTION("""COMPUTED_VALUE"""),"-")</f>
        <v>-</v>
      </c>
      <c r="H507" t="str">
        <f>IFERROR(__xludf.DUMMYFUNCTION("""COMPUTED_VALUE"""),"-")</f>
        <v>-</v>
      </c>
      <c r="I507" t="str">
        <f>IFERROR(__xludf.DUMMYFUNCTION("""COMPUTED_VALUE"""),"-")</f>
        <v>-</v>
      </c>
      <c r="J507" t="str">
        <f>IFERROR(__xludf.DUMMYFUNCTION("""COMPUTED_VALUE"""),"-")</f>
        <v>-</v>
      </c>
      <c r="K507" t="str">
        <f>IFERROR(__xludf.DUMMYFUNCTION("""COMPUTED_VALUE"""),"-")</f>
        <v>-</v>
      </c>
      <c r="L507" t="str">
        <f>IFERROR(__xludf.DUMMYFUNCTION("""COMPUTED_VALUE"""),"-")</f>
        <v>-</v>
      </c>
      <c r="M507" t="str">
        <f>IFERROR(__xludf.DUMMYFUNCTION("""COMPUTED_VALUE"""),"-")</f>
        <v>-</v>
      </c>
      <c r="O507" t="str">
        <f>IFERROR(__xludf.DUMMYFUNCTION("""COMPUTED_VALUE"""),"#506")</f>
        <v>#506</v>
      </c>
      <c r="P507" t="str">
        <f>IFERROR(__xludf.DUMMYFUNCTION("""COMPUTED_VALUE"""),"Philippe Noguès")</f>
        <v>Philippe Noguès</v>
      </c>
      <c r="Q507">
        <f>IFERROR(__xludf.DUMMYFUNCTION("""COMPUTED_VALUE"""),2837.0)</f>
        <v>2837</v>
      </c>
      <c r="R507" t="str">
        <f>IFERROR(__xludf.DUMMYFUNCTION("""COMPUTED_VALUE"""),"-")</f>
        <v>-</v>
      </c>
      <c r="S507" t="str">
        <f>IFERROR(__xludf.DUMMYFUNCTION("""COMPUTED_VALUE"""),"-")</f>
        <v>-</v>
      </c>
      <c r="T507" t="str">
        <f>IFERROR(__xludf.DUMMYFUNCTION("""COMPUTED_VALUE"""),"-")</f>
        <v>-</v>
      </c>
      <c r="U507" t="str">
        <f>IFERROR(__xludf.DUMMYFUNCTION("""COMPUTED_VALUE"""),"-")</f>
        <v>-</v>
      </c>
      <c r="V507" t="str">
        <f>IFERROR(__xludf.DUMMYFUNCTION("""COMPUTED_VALUE"""),"-")</f>
        <v>-</v>
      </c>
      <c r="W507" t="str">
        <f>IFERROR(__xludf.DUMMYFUNCTION("""COMPUTED_VALUE"""),"-")</f>
        <v>-</v>
      </c>
      <c r="X507" t="str">
        <f>IFERROR(__xludf.DUMMYFUNCTION("""COMPUTED_VALUE"""),"-")</f>
        <v>-</v>
      </c>
      <c r="Y507" t="str">
        <f>IFERROR(__xludf.DUMMYFUNCTION("""COMPUTED_VALUE"""),"-")</f>
        <v>-</v>
      </c>
      <c r="Z507" t="str">
        <f>IFERROR(__xludf.DUMMYFUNCTION("""COMPUTED_VALUE"""),"-")</f>
        <v>-</v>
      </c>
      <c r="AA507" t="str">
        <f>IFERROR(__xludf.DUMMYFUNCTION("""COMPUTED_VALUE"""),"-")</f>
        <v>-</v>
      </c>
    </row>
    <row r="508">
      <c r="A508" t="str">
        <f>IFERROR(__xludf.DUMMYFUNCTION("""COMPUTED_VALUE"""),"#507")</f>
        <v>#507</v>
      </c>
      <c r="B508" t="str">
        <f>IFERROR(__xludf.DUMMYFUNCTION("""COMPUTED_VALUE"""),"Franck de Lapersonne")</f>
        <v>Franck de Lapersonne</v>
      </c>
      <c r="C508">
        <f>IFERROR(__xludf.DUMMYFUNCTION("""COMPUTED_VALUE"""),2832.0)</f>
        <v>2832</v>
      </c>
      <c r="D508" t="str">
        <f>IFERROR(__xludf.DUMMYFUNCTION("""COMPUTED_VALUE"""),"-")</f>
        <v>-</v>
      </c>
      <c r="E508" t="str">
        <f>IFERROR(__xludf.DUMMYFUNCTION("""COMPUTED_VALUE"""),"-")</f>
        <v>-</v>
      </c>
      <c r="F508" t="str">
        <f>IFERROR(__xludf.DUMMYFUNCTION("""COMPUTED_VALUE"""),"-")</f>
        <v>-</v>
      </c>
      <c r="G508" t="str">
        <f>IFERROR(__xludf.DUMMYFUNCTION("""COMPUTED_VALUE"""),"-")</f>
        <v>-</v>
      </c>
      <c r="H508" t="str">
        <f>IFERROR(__xludf.DUMMYFUNCTION("""COMPUTED_VALUE"""),"-")</f>
        <v>-</v>
      </c>
      <c r="I508" t="str">
        <f>IFERROR(__xludf.DUMMYFUNCTION("""COMPUTED_VALUE"""),"-")</f>
        <v>-</v>
      </c>
      <c r="J508" t="str">
        <f>IFERROR(__xludf.DUMMYFUNCTION("""COMPUTED_VALUE"""),"-")</f>
        <v>-</v>
      </c>
      <c r="K508" t="str">
        <f>IFERROR(__xludf.DUMMYFUNCTION("""COMPUTED_VALUE"""),"-")</f>
        <v>-</v>
      </c>
      <c r="L508" t="str">
        <f>IFERROR(__xludf.DUMMYFUNCTION("""COMPUTED_VALUE"""),"-")</f>
        <v>-</v>
      </c>
      <c r="M508" t="str">
        <f>IFERROR(__xludf.DUMMYFUNCTION("""COMPUTED_VALUE"""),"-")</f>
        <v>-</v>
      </c>
      <c r="O508" t="str">
        <f>IFERROR(__xludf.DUMMYFUNCTION("""COMPUTED_VALUE"""),"#507")</f>
        <v>#507</v>
      </c>
      <c r="P508" t="str">
        <f>IFERROR(__xludf.DUMMYFUNCTION("""COMPUTED_VALUE"""),"Franck de Lapersonne")</f>
        <v>Franck de Lapersonne</v>
      </c>
      <c r="Q508">
        <f>IFERROR(__xludf.DUMMYFUNCTION("""COMPUTED_VALUE"""),2832.0)</f>
        <v>2832</v>
      </c>
      <c r="R508" t="str">
        <f>IFERROR(__xludf.DUMMYFUNCTION("""COMPUTED_VALUE"""),"-")</f>
        <v>-</v>
      </c>
      <c r="S508" t="str">
        <f>IFERROR(__xludf.DUMMYFUNCTION("""COMPUTED_VALUE"""),"-")</f>
        <v>-</v>
      </c>
      <c r="T508" t="str">
        <f>IFERROR(__xludf.DUMMYFUNCTION("""COMPUTED_VALUE"""),"-")</f>
        <v>-</v>
      </c>
      <c r="U508" t="str">
        <f>IFERROR(__xludf.DUMMYFUNCTION("""COMPUTED_VALUE"""),"-")</f>
        <v>-</v>
      </c>
      <c r="V508" t="str">
        <f>IFERROR(__xludf.DUMMYFUNCTION("""COMPUTED_VALUE"""),"-")</f>
        <v>-</v>
      </c>
      <c r="W508" t="str">
        <f>IFERROR(__xludf.DUMMYFUNCTION("""COMPUTED_VALUE"""),"-")</f>
        <v>-</v>
      </c>
      <c r="X508" t="str">
        <f>IFERROR(__xludf.DUMMYFUNCTION("""COMPUTED_VALUE"""),"-")</f>
        <v>-</v>
      </c>
      <c r="Y508" t="str">
        <f>IFERROR(__xludf.DUMMYFUNCTION("""COMPUTED_VALUE"""),"-")</f>
        <v>-</v>
      </c>
      <c r="Z508" t="str">
        <f>IFERROR(__xludf.DUMMYFUNCTION("""COMPUTED_VALUE"""),"-")</f>
        <v>-</v>
      </c>
      <c r="AA508" t="str">
        <f>IFERROR(__xludf.DUMMYFUNCTION("""COMPUTED_VALUE"""),"-")</f>
        <v>-</v>
      </c>
    </row>
    <row r="509">
      <c r="A509" t="str">
        <f>IFERROR(__xludf.DUMMYFUNCTION("""COMPUTED_VALUE"""),"#508")</f>
        <v>#508</v>
      </c>
      <c r="B509" t="str">
        <f>IFERROR(__xludf.DUMMYFUNCTION("""COMPUTED_VALUE"""),"Dominique Martin")</f>
        <v>Dominique Martin</v>
      </c>
      <c r="C509">
        <f>IFERROR(__xludf.DUMMYFUNCTION("""COMPUTED_VALUE"""),2820.0)</f>
        <v>2820</v>
      </c>
      <c r="D509" t="str">
        <f>IFERROR(__xludf.DUMMYFUNCTION("""COMPUTED_VALUE"""),"-")</f>
        <v>-</v>
      </c>
      <c r="E509" t="str">
        <f>IFERROR(__xludf.DUMMYFUNCTION("""COMPUTED_VALUE"""),"-")</f>
        <v>-</v>
      </c>
      <c r="F509" t="str">
        <f>IFERROR(__xludf.DUMMYFUNCTION("""COMPUTED_VALUE"""),"-")</f>
        <v>-</v>
      </c>
      <c r="G509" t="str">
        <f>IFERROR(__xludf.DUMMYFUNCTION("""COMPUTED_VALUE"""),"-")</f>
        <v>-</v>
      </c>
      <c r="H509" t="str">
        <f>IFERROR(__xludf.DUMMYFUNCTION("""COMPUTED_VALUE"""),"-")</f>
        <v>-</v>
      </c>
      <c r="I509" t="str">
        <f>IFERROR(__xludf.DUMMYFUNCTION("""COMPUTED_VALUE"""),"-")</f>
        <v>-</v>
      </c>
      <c r="J509" t="str">
        <f>IFERROR(__xludf.DUMMYFUNCTION("""COMPUTED_VALUE"""),"-")</f>
        <v>-</v>
      </c>
      <c r="K509" t="str">
        <f>IFERROR(__xludf.DUMMYFUNCTION("""COMPUTED_VALUE"""),"-")</f>
        <v>-</v>
      </c>
      <c r="L509" t="str">
        <f>IFERROR(__xludf.DUMMYFUNCTION("""COMPUTED_VALUE"""),"-")</f>
        <v>-</v>
      </c>
      <c r="M509" t="str">
        <f>IFERROR(__xludf.DUMMYFUNCTION("""COMPUTED_VALUE"""),"-")</f>
        <v>-</v>
      </c>
      <c r="O509" t="str">
        <f>IFERROR(__xludf.DUMMYFUNCTION("""COMPUTED_VALUE"""),"#508")</f>
        <v>#508</v>
      </c>
      <c r="P509" t="str">
        <f>IFERROR(__xludf.DUMMYFUNCTION("""COMPUTED_VALUE"""),"Dominique Martin")</f>
        <v>Dominique Martin</v>
      </c>
      <c r="Q509">
        <f>IFERROR(__xludf.DUMMYFUNCTION("""COMPUTED_VALUE"""),2820.0)</f>
        <v>2820</v>
      </c>
      <c r="R509" t="str">
        <f>IFERROR(__xludf.DUMMYFUNCTION("""COMPUTED_VALUE"""),"-")</f>
        <v>-</v>
      </c>
      <c r="S509" t="str">
        <f>IFERROR(__xludf.DUMMYFUNCTION("""COMPUTED_VALUE"""),"-")</f>
        <v>-</v>
      </c>
      <c r="T509" t="str">
        <f>IFERROR(__xludf.DUMMYFUNCTION("""COMPUTED_VALUE"""),"-")</f>
        <v>-</v>
      </c>
      <c r="U509" t="str">
        <f>IFERROR(__xludf.DUMMYFUNCTION("""COMPUTED_VALUE"""),"-")</f>
        <v>-</v>
      </c>
      <c r="V509" t="str">
        <f>IFERROR(__xludf.DUMMYFUNCTION("""COMPUTED_VALUE"""),"-")</f>
        <v>-</v>
      </c>
      <c r="W509" t="str">
        <f>IFERROR(__xludf.DUMMYFUNCTION("""COMPUTED_VALUE"""),"-")</f>
        <v>-</v>
      </c>
      <c r="X509" t="str">
        <f>IFERROR(__xludf.DUMMYFUNCTION("""COMPUTED_VALUE"""),"-")</f>
        <v>-</v>
      </c>
      <c r="Y509" t="str">
        <f>IFERROR(__xludf.DUMMYFUNCTION("""COMPUTED_VALUE"""),"-")</f>
        <v>-</v>
      </c>
      <c r="Z509" t="str">
        <f>IFERROR(__xludf.DUMMYFUNCTION("""COMPUTED_VALUE"""),"-")</f>
        <v>-</v>
      </c>
      <c r="AA509" t="str">
        <f>IFERROR(__xludf.DUMMYFUNCTION("""COMPUTED_VALUE"""),"-")</f>
        <v>-</v>
      </c>
    </row>
    <row r="510">
      <c r="A510" t="str">
        <f>IFERROR(__xludf.DUMMYFUNCTION("""COMPUTED_VALUE"""),"#509")</f>
        <v>#509</v>
      </c>
      <c r="B510" t="str">
        <f>IFERROR(__xludf.DUMMYFUNCTION("""COMPUTED_VALUE"""),"Mohed Altrad")</f>
        <v>Mohed Altrad</v>
      </c>
      <c r="C510">
        <f>IFERROR(__xludf.DUMMYFUNCTION("""COMPUTED_VALUE"""),2802.0)</f>
        <v>2802</v>
      </c>
      <c r="D510" t="str">
        <f>IFERROR(__xludf.DUMMYFUNCTION("""COMPUTED_VALUE"""),"-")</f>
        <v>-</v>
      </c>
      <c r="E510" t="str">
        <f>IFERROR(__xludf.DUMMYFUNCTION("""COMPUTED_VALUE"""),"-")</f>
        <v>-</v>
      </c>
      <c r="F510" t="str">
        <f>IFERROR(__xludf.DUMMYFUNCTION("""COMPUTED_VALUE"""),"-")</f>
        <v>-</v>
      </c>
      <c r="G510" t="str">
        <f>IFERROR(__xludf.DUMMYFUNCTION("""COMPUTED_VALUE"""),"-")</f>
        <v>-</v>
      </c>
      <c r="H510" t="str">
        <f>IFERROR(__xludf.DUMMYFUNCTION("""COMPUTED_VALUE"""),"-")</f>
        <v>-</v>
      </c>
      <c r="I510" t="str">
        <f>IFERROR(__xludf.DUMMYFUNCTION("""COMPUTED_VALUE"""),"-")</f>
        <v>-</v>
      </c>
      <c r="J510" t="str">
        <f>IFERROR(__xludf.DUMMYFUNCTION("""COMPUTED_VALUE"""),"-")</f>
        <v>-</v>
      </c>
      <c r="K510" t="str">
        <f>IFERROR(__xludf.DUMMYFUNCTION("""COMPUTED_VALUE"""),"-")</f>
        <v>-</v>
      </c>
      <c r="L510" t="str">
        <f>IFERROR(__xludf.DUMMYFUNCTION("""COMPUTED_VALUE"""),"-")</f>
        <v>-</v>
      </c>
      <c r="M510" t="str">
        <f>IFERROR(__xludf.DUMMYFUNCTION("""COMPUTED_VALUE"""),"-")</f>
        <v>-</v>
      </c>
      <c r="O510" t="str">
        <f>IFERROR(__xludf.DUMMYFUNCTION("""COMPUTED_VALUE"""),"#509")</f>
        <v>#509</v>
      </c>
      <c r="P510" t="str">
        <f>IFERROR(__xludf.DUMMYFUNCTION("""COMPUTED_VALUE"""),"Mohed Altrad")</f>
        <v>Mohed Altrad</v>
      </c>
      <c r="Q510">
        <f>IFERROR(__xludf.DUMMYFUNCTION("""COMPUTED_VALUE"""),2802.0)</f>
        <v>2802</v>
      </c>
      <c r="R510" t="str">
        <f>IFERROR(__xludf.DUMMYFUNCTION("""COMPUTED_VALUE"""),"-")</f>
        <v>-</v>
      </c>
      <c r="S510" t="str">
        <f>IFERROR(__xludf.DUMMYFUNCTION("""COMPUTED_VALUE"""),"-")</f>
        <v>-</v>
      </c>
      <c r="T510" t="str">
        <f>IFERROR(__xludf.DUMMYFUNCTION("""COMPUTED_VALUE"""),"-")</f>
        <v>-</v>
      </c>
      <c r="U510" t="str">
        <f>IFERROR(__xludf.DUMMYFUNCTION("""COMPUTED_VALUE"""),"-")</f>
        <v>-</v>
      </c>
      <c r="V510" t="str">
        <f>IFERROR(__xludf.DUMMYFUNCTION("""COMPUTED_VALUE"""),"-")</f>
        <v>-</v>
      </c>
      <c r="W510" t="str">
        <f>IFERROR(__xludf.DUMMYFUNCTION("""COMPUTED_VALUE"""),"-")</f>
        <v>-</v>
      </c>
      <c r="X510" t="str">
        <f>IFERROR(__xludf.DUMMYFUNCTION("""COMPUTED_VALUE"""),"-")</f>
        <v>-</v>
      </c>
      <c r="Y510" t="str">
        <f>IFERROR(__xludf.DUMMYFUNCTION("""COMPUTED_VALUE"""),"-")</f>
        <v>-</v>
      </c>
      <c r="Z510" t="str">
        <f>IFERROR(__xludf.DUMMYFUNCTION("""COMPUTED_VALUE"""),"-")</f>
        <v>-</v>
      </c>
      <c r="AA510" t="str">
        <f>IFERROR(__xludf.DUMMYFUNCTION("""COMPUTED_VALUE"""),"-")</f>
        <v>-</v>
      </c>
    </row>
    <row r="511">
      <c r="A511" t="str">
        <f>IFERROR(__xludf.DUMMYFUNCTION("""COMPUTED_VALUE"""),"#510")</f>
        <v>#510</v>
      </c>
      <c r="B511" t="str">
        <f>IFERROR(__xludf.DUMMYFUNCTION("""COMPUTED_VALUE"""),"Georges Mothron")</f>
        <v>Georges Mothron</v>
      </c>
      <c r="C511">
        <f>IFERROR(__xludf.DUMMYFUNCTION("""COMPUTED_VALUE"""),2748.0)</f>
        <v>2748</v>
      </c>
      <c r="D511" t="str">
        <f>IFERROR(__xludf.DUMMYFUNCTION("""COMPUTED_VALUE"""),"-")</f>
        <v>-</v>
      </c>
      <c r="E511" t="str">
        <f>IFERROR(__xludf.DUMMYFUNCTION("""COMPUTED_VALUE"""),"-")</f>
        <v>-</v>
      </c>
      <c r="F511" t="str">
        <f>IFERROR(__xludf.DUMMYFUNCTION("""COMPUTED_VALUE"""),"-")</f>
        <v>-</v>
      </c>
      <c r="G511" t="str">
        <f>IFERROR(__xludf.DUMMYFUNCTION("""COMPUTED_VALUE"""),"-")</f>
        <v>-</v>
      </c>
      <c r="H511" t="str">
        <f>IFERROR(__xludf.DUMMYFUNCTION("""COMPUTED_VALUE"""),"-")</f>
        <v>-</v>
      </c>
      <c r="I511" t="str">
        <f>IFERROR(__xludf.DUMMYFUNCTION("""COMPUTED_VALUE"""),"-")</f>
        <v>-</v>
      </c>
      <c r="J511" t="str">
        <f>IFERROR(__xludf.DUMMYFUNCTION("""COMPUTED_VALUE"""),"-")</f>
        <v>-</v>
      </c>
      <c r="K511" t="str">
        <f>IFERROR(__xludf.DUMMYFUNCTION("""COMPUTED_VALUE"""),"-")</f>
        <v>-</v>
      </c>
      <c r="L511" t="str">
        <f>IFERROR(__xludf.DUMMYFUNCTION("""COMPUTED_VALUE"""),"-")</f>
        <v>-</v>
      </c>
      <c r="M511" t="str">
        <f>IFERROR(__xludf.DUMMYFUNCTION("""COMPUTED_VALUE"""),"-")</f>
        <v>-</v>
      </c>
      <c r="O511" t="str">
        <f>IFERROR(__xludf.DUMMYFUNCTION("""COMPUTED_VALUE"""),"#510")</f>
        <v>#510</v>
      </c>
      <c r="P511" t="str">
        <f>IFERROR(__xludf.DUMMYFUNCTION("""COMPUTED_VALUE"""),"Georges Mothron")</f>
        <v>Georges Mothron</v>
      </c>
      <c r="Q511">
        <f>IFERROR(__xludf.DUMMYFUNCTION("""COMPUTED_VALUE"""),2748.0)</f>
        <v>2748</v>
      </c>
      <c r="R511" t="str">
        <f>IFERROR(__xludf.DUMMYFUNCTION("""COMPUTED_VALUE"""),"-")</f>
        <v>-</v>
      </c>
      <c r="S511" t="str">
        <f>IFERROR(__xludf.DUMMYFUNCTION("""COMPUTED_VALUE"""),"-")</f>
        <v>-</v>
      </c>
      <c r="T511" t="str">
        <f>IFERROR(__xludf.DUMMYFUNCTION("""COMPUTED_VALUE"""),"-")</f>
        <v>-</v>
      </c>
      <c r="U511" t="str">
        <f>IFERROR(__xludf.DUMMYFUNCTION("""COMPUTED_VALUE"""),"-")</f>
        <v>-</v>
      </c>
      <c r="V511" t="str">
        <f>IFERROR(__xludf.DUMMYFUNCTION("""COMPUTED_VALUE"""),"-")</f>
        <v>-</v>
      </c>
      <c r="W511" t="str">
        <f>IFERROR(__xludf.DUMMYFUNCTION("""COMPUTED_VALUE"""),"-")</f>
        <v>-</v>
      </c>
      <c r="X511" t="str">
        <f>IFERROR(__xludf.DUMMYFUNCTION("""COMPUTED_VALUE"""),"-")</f>
        <v>-</v>
      </c>
      <c r="Y511" t="str">
        <f>IFERROR(__xludf.DUMMYFUNCTION("""COMPUTED_VALUE"""),"-")</f>
        <v>-</v>
      </c>
      <c r="Z511" t="str">
        <f>IFERROR(__xludf.DUMMYFUNCTION("""COMPUTED_VALUE"""),"-")</f>
        <v>-</v>
      </c>
      <c r="AA511" t="str">
        <f>IFERROR(__xludf.DUMMYFUNCTION("""COMPUTED_VALUE"""),"-")</f>
        <v>-</v>
      </c>
    </row>
    <row r="512">
      <c r="A512" t="str">
        <f>IFERROR(__xludf.DUMMYFUNCTION("""COMPUTED_VALUE"""),"#511")</f>
        <v>#511</v>
      </c>
      <c r="B512" t="str">
        <f>IFERROR(__xludf.DUMMYFUNCTION("""COMPUTED_VALUE"""),"François Chollet")</f>
        <v>François Chollet</v>
      </c>
      <c r="C512">
        <f>IFERROR(__xludf.DUMMYFUNCTION("""COMPUTED_VALUE"""),2699.0)</f>
        <v>2699</v>
      </c>
      <c r="D512" t="str">
        <f>IFERROR(__xludf.DUMMYFUNCTION("""COMPUTED_VALUE"""),"-")</f>
        <v>-</v>
      </c>
      <c r="E512" t="str">
        <f>IFERROR(__xludf.DUMMYFUNCTION("""COMPUTED_VALUE"""),"-")</f>
        <v>-</v>
      </c>
      <c r="F512" t="str">
        <f>IFERROR(__xludf.DUMMYFUNCTION("""COMPUTED_VALUE"""),"-")</f>
        <v>-</v>
      </c>
      <c r="G512" t="str">
        <f>IFERROR(__xludf.DUMMYFUNCTION("""COMPUTED_VALUE"""),"-")</f>
        <v>-</v>
      </c>
      <c r="H512" t="str">
        <f>IFERROR(__xludf.DUMMYFUNCTION("""COMPUTED_VALUE"""),"-")</f>
        <v>-</v>
      </c>
      <c r="I512" t="str">
        <f>IFERROR(__xludf.DUMMYFUNCTION("""COMPUTED_VALUE"""),"-")</f>
        <v>-</v>
      </c>
      <c r="J512" t="str">
        <f>IFERROR(__xludf.DUMMYFUNCTION("""COMPUTED_VALUE"""),"-")</f>
        <v>-</v>
      </c>
      <c r="K512" t="str">
        <f>IFERROR(__xludf.DUMMYFUNCTION("""COMPUTED_VALUE"""),"-")</f>
        <v>-</v>
      </c>
      <c r="L512" t="str">
        <f>IFERROR(__xludf.DUMMYFUNCTION("""COMPUTED_VALUE"""),"-")</f>
        <v>-</v>
      </c>
      <c r="M512" t="str">
        <f>IFERROR(__xludf.DUMMYFUNCTION("""COMPUTED_VALUE"""),"-")</f>
        <v>-</v>
      </c>
      <c r="O512" t="str">
        <f>IFERROR(__xludf.DUMMYFUNCTION("""COMPUTED_VALUE"""),"#511")</f>
        <v>#511</v>
      </c>
      <c r="P512" t="str">
        <f>IFERROR(__xludf.DUMMYFUNCTION("""COMPUTED_VALUE"""),"François Chollet")</f>
        <v>François Chollet</v>
      </c>
      <c r="Q512">
        <f>IFERROR(__xludf.DUMMYFUNCTION("""COMPUTED_VALUE"""),2699.0)</f>
        <v>2699</v>
      </c>
      <c r="R512" t="str">
        <f>IFERROR(__xludf.DUMMYFUNCTION("""COMPUTED_VALUE"""),"-")</f>
        <v>-</v>
      </c>
      <c r="S512" t="str">
        <f>IFERROR(__xludf.DUMMYFUNCTION("""COMPUTED_VALUE"""),"-")</f>
        <v>-</v>
      </c>
      <c r="T512" t="str">
        <f>IFERROR(__xludf.DUMMYFUNCTION("""COMPUTED_VALUE"""),"-")</f>
        <v>-</v>
      </c>
      <c r="U512" t="str">
        <f>IFERROR(__xludf.DUMMYFUNCTION("""COMPUTED_VALUE"""),"-")</f>
        <v>-</v>
      </c>
      <c r="V512" t="str">
        <f>IFERROR(__xludf.DUMMYFUNCTION("""COMPUTED_VALUE"""),"-")</f>
        <v>-</v>
      </c>
      <c r="W512" t="str">
        <f>IFERROR(__xludf.DUMMYFUNCTION("""COMPUTED_VALUE"""),"-")</f>
        <v>-</v>
      </c>
      <c r="X512" t="str">
        <f>IFERROR(__xludf.DUMMYFUNCTION("""COMPUTED_VALUE"""),"-")</f>
        <v>-</v>
      </c>
      <c r="Y512" t="str">
        <f>IFERROR(__xludf.DUMMYFUNCTION("""COMPUTED_VALUE"""),"-")</f>
        <v>-</v>
      </c>
      <c r="Z512" t="str">
        <f>IFERROR(__xludf.DUMMYFUNCTION("""COMPUTED_VALUE"""),"-")</f>
        <v>-</v>
      </c>
      <c r="AA512" t="str">
        <f>IFERROR(__xludf.DUMMYFUNCTION("""COMPUTED_VALUE"""),"-")</f>
        <v>-</v>
      </c>
    </row>
    <row r="513">
      <c r="A513" t="str">
        <f>IFERROR(__xludf.DUMMYFUNCTION("""COMPUTED_VALUE"""),"#512")</f>
        <v>#512</v>
      </c>
      <c r="B513" t="str">
        <f>IFERROR(__xludf.DUMMYFUNCTION("""COMPUTED_VALUE"""),"Thierry Robert")</f>
        <v>Thierry Robert</v>
      </c>
      <c r="C513">
        <f>IFERROR(__xludf.DUMMYFUNCTION("""COMPUTED_VALUE"""),2677.0)</f>
        <v>2677</v>
      </c>
      <c r="D513" t="str">
        <f>IFERROR(__xludf.DUMMYFUNCTION("""COMPUTED_VALUE"""),"-")</f>
        <v>-</v>
      </c>
      <c r="E513" t="str">
        <f>IFERROR(__xludf.DUMMYFUNCTION("""COMPUTED_VALUE"""),"-")</f>
        <v>-</v>
      </c>
      <c r="F513" t="str">
        <f>IFERROR(__xludf.DUMMYFUNCTION("""COMPUTED_VALUE"""),"-")</f>
        <v>-</v>
      </c>
      <c r="G513" t="str">
        <f>IFERROR(__xludf.DUMMYFUNCTION("""COMPUTED_VALUE"""),"-")</f>
        <v>-</v>
      </c>
      <c r="H513" t="str">
        <f>IFERROR(__xludf.DUMMYFUNCTION("""COMPUTED_VALUE"""),"-")</f>
        <v>-</v>
      </c>
      <c r="I513" t="str">
        <f>IFERROR(__xludf.DUMMYFUNCTION("""COMPUTED_VALUE"""),"-")</f>
        <v>-</v>
      </c>
      <c r="J513" t="str">
        <f>IFERROR(__xludf.DUMMYFUNCTION("""COMPUTED_VALUE"""),"-")</f>
        <v>-</v>
      </c>
      <c r="K513" t="str">
        <f>IFERROR(__xludf.DUMMYFUNCTION("""COMPUTED_VALUE"""),"-")</f>
        <v>-</v>
      </c>
      <c r="L513" t="str">
        <f>IFERROR(__xludf.DUMMYFUNCTION("""COMPUTED_VALUE"""),"-")</f>
        <v>-</v>
      </c>
      <c r="M513" t="str">
        <f>IFERROR(__xludf.DUMMYFUNCTION("""COMPUTED_VALUE"""),"-")</f>
        <v>-</v>
      </c>
      <c r="O513" t="str">
        <f>IFERROR(__xludf.DUMMYFUNCTION("""COMPUTED_VALUE"""),"#512")</f>
        <v>#512</v>
      </c>
      <c r="P513" t="str">
        <f>IFERROR(__xludf.DUMMYFUNCTION("""COMPUTED_VALUE"""),"Thierry Robert")</f>
        <v>Thierry Robert</v>
      </c>
      <c r="Q513">
        <f>IFERROR(__xludf.DUMMYFUNCTION("""COMPUTED_VALUE"""),2677.0)</f>
        <v>2677</v>
      </c>
      <c r="R513" t="str">
        <f>IFERROR(__xludf.DUMMYFUNCTION("""COMPUTED_VALUE"""),"-")</f>
        <v>-</v>
      </c>
      <c r="S513" t="str">
        <f>IFERROR(__xludf.DUMMYFUNCTION("""COMPUTED_VALUE"""),"-")</f>
        <v>-</v>
      </c>
      <c r="T513" t="str">
        <f>IFERROR(__xludf.DUMMYFUNCTION("""COMPUTED_VALUE"""),"-")</f>
        <v>-</v>
      </c>
      <c r="U513" t="str">
        <f>IFERROR(__xludf.DUMMYFUNCTION("""COMPUTED_VALUE"""),"-")</f>
        <v>-</v>
      </c>
      <c r="V513" t="str">
        <f>IFERROR(__xludf.DUMMYFUNCTION("""COMPUTED_VALUE"""),"-")</f>
        <v>-</v>
      </c>
      <c r="W513" t="str">
        <f>IFERROR(__xludf.DUMMYFUNCTION("""COMPUTED_VALUE"""),"-")</f>
        <v>-</v>
      </c>
      <c r="X513" t="str">
        <f>IFERROR(__xludf.DUMMYFUNCTION("""COMPUTED_VALUE"""),"-")</f>
        <v>-</v>
      </c>
      <c r="Y513" t="str">
        <f>IFERROR(__xludf.DUMMYFUNCTION("""COMPUTED_VALUE"""),"-")</f>
        <v>-</v>
      </c>
      <c r="Z513" t="str">
        <f>IFERROR(__xludf.DUMMYFUNCTION("""COMPUTED_VALUE"""),"-")</f>
        <v>-</v>
      </c>
      <c r="AA513" t="str">
        <f>IFERROR(__xludf.DUMMYFUNCTION("""COMPUTED_VALUE"""),"-")</f>
        <v>-</v>
      </c>
    </row>
    <row r="514">
      <c r="A514" t="str">
        <f>IFERROR(__xludf.DUMMYFUNCTION("""COMPUTED_VALUE"""),"#513")</f>
        <v>#513</v>
      </c>
      <c r="B514" t="str">
        <f>IFERROR(__xludf.DUMMYFUNCTION("""COMPUTED_VALUE"""),"Jean-Luc Bleunven")</f>
        <v>Jean-Luc Bleunven</v>
      </c>
      <c r="C514">
        <f>IFERROR(__xludf.DUMMYFUNCTION("""COMPUTED_VALUE"""),2614.0)</f>
        <v>2614</v>
      </c>
      <c r="D514" t="str">
        <f>IFERROR(__xludf.DUMMYFUNCTION("""COMPUTED_VALUE"""),"-")</f>
        <v>-</v>
      </c>
      <c r="E514" t="str">
        <f>IFERROR(__xludf.DUMMYFUNCTION("""COMPUTED_VALUE"""),"-")</f>
        <v>-</v>
      </c>
      <c r="F514" t="str">
        <f>IFERROR(__xludf.DUMMYFUNCTION("""COMPUTED_VALUE"""),"-")</f>
        <v>-</v>
      </c>
      <c r="G514" t="str">
        <f>IFERROR(__xludf.DUMMYFUNCTION("""COMPUTED_VALUE"""),"-")</f>
        <v>-</v>
      </c>
      <c r="H514" t="str">
        <f>IFERROR(__xludf.DUMMYFUNCTION("""COMPUTED_VALUE"""),"-")</f>
        <v>-</v>
      </c>
      <c r="I514" t="str">
        <f>IFERROR(__xludf.DUMMYFUNCTION("""COMPUTED_VALUE"""),"-")</f>
        <v>-</v>
      </c>
      <c r="J514" t="str">
        <f>IFERROR(__xludf.DUMMYFUNCTION("""COMPUTED_VALUE"""),"-")</f>
        <v>-</v>
      </c>
      <c r="K514" t="str">
        <f>IFERROR(__xludf.DUMMYFUNCTION("""COMPUTED_VALUE"""),"-")</f>
        <v>-</v>
      </c>
      <c r="L514" t="str">
        <f>IFERROR(__xludf.DUMMYFUNCTION("""COMPUTED_VALUE"""),"-")</f>
        <v>-</v>
      </c>
      <c r="M514" t="str">
        <f>IFERROR(__xludf.DUMMYFUNCTION("""COMPUTED_VALUE"""),"-")</f>
        <v>-</v>
      </c>
      <c r="O514" t="str">
        <f>IFERROR(__xludf.DUMMYFUNCTION("""COMPUTED_VALUE"""),"#513")</f>
        <v>#513</v>
      </c>
      <c r="P514" t="str">
        <f>IFERROR(__xludf.DUMMYFUNCTION("""COMPUTED_VALUE"""),"Jean-Luc Bleunven")</f>
        <v>Jean-Luc Bleunven</v>
      </c>
      <c r="Q514">
        <f>IFERROR(__xludf.DUMMYFUNCTION("""COMPUTED_VALUE"""),2614.0)</f>
        <v>2614</v>
      </c>
      <c r="R514" t="str">
        <f>IFERROR(__xludf.DUMMYFUNCTION("""COMPUTED_VALUE"""),"-")</f>
        <v>-</v>
      </c>
      <c r="S514" t="str">
        <f>IFERROR(__xludf.DUMMYFUNCTION("""COMPUTED_VALUE"""),"-")</f>
        <v>-</v>
      </c>
      <c r="T514" t="str">
        <f>IFERROR(__xludf.DUMMYFUNCTION("""COMPUTED_VALUE"""),"-")</f>
        <v>-</v>
      </c>
      <c r="U514" t="str">
        <f>IFERROR(__xludf.DUMMYFUNCTION("""COMPUTED_VALUE"""),"-")</f>
        <v>-</v>
      </c>
      <c r="V514" t="str">
        <f>IFERROR(__xludf.DUMMYFUNCTION("""COMPUTED_VALUE"""),"-")</f>
        <v>-</v>
      </c>
      <c r="W514" t="str">
        <f>IFERROR(__xludf.DUMMYFUNCTION("""COMPUTED_VALUE"""),"-")</f>
        <v>-</v>
      </c>
      <c r="X514" t="str">
        <f>IFERROR(__xludf.DUMMYFUNCTION("""COMPUTED_VALUE"""),"-")</f>
        <v>-</v>
      </c>
      <c r="Y514" t="str">
        <f>IFERROR(__xludf.DUMMYFUNCTION("""COMPUTED_VALUE"""),"-")</f>
        <v>-</v>
      </c>
      <c r="Z514" t="str">
        <f>IFERROR(__xludf.DUMMYFUNCTION("""COMPUTED_VALUE"""),"-")</f>
        <v>-</v>
      </c>
      <c r="AA514" t="str">
        <f>IFERROR(__xludf.DUMMYFUNCTION("""COMPUTED_VALUE"""),"-")</f>
        <v>-</v>
      </c>
    </row>
    <row r="515">
      <c r="A515" t="str">
        <f>IFERROR(__xludf.DUMMYFUNCTION("""COMPUTED_VALUE"""),"#514")</f>
        <v>#514</v>
      </c>
      <c r="B515" t="str">
        <f>IFERROR(__xludf.DUMMYFUNCTION("""COMPUTED_VALUE"""),"Eric Noirez")</f>
        <v>Eric Noirez</v>
      </c>
      <c r="C515">
        <f>IFERROR(__xludf.DUMMYFUNCTION("""COMPUTED_VALUE"""),2559.0)</f>
        <v>2559</v>
      </c>
      <c r="D515" t="str">
        <f>IFERROR(__xludf.DUMMYFUNCTION("""COMPUTED_VALUE"""),"-")</f>
        <v>-</v>
      </c>
      <c r="E515" t="str">
        <f>IFERROR(__xludf.DUMMYFUNCTION("""COMPUTED_VALUE"""),"-")</f>
        <v>-</v>
      </c>
      <c r="F515" t="str">
        <f>IFERROR(__xludf.DUMMYFUNCTION("""COMPUTED_VALUE"""),"-")</f>
        <v>-</v>
      </c>
      <c r="G515" t="str">
        <f>IFERROR(__xludf.DUMMYFUNCTION("""COMPUTED_VALUE"""),"-")</f>
        <v>-</v>
      </c>
      <c r="H515" t="str">
        <f>IFERROR(__xludf.DUMMYFUNCTION("""COMPUTED_VALUE"""),"-")</f>
        <v>-</v>
      </c>
      <c r="I515" t="str">
        <f>IFERROR(__xludf.DUMMYFUNCTION("""COMPUTED_VALUE"""),"-")</f>
        <v>-</v>
      </c>
      <c r="J515" t="str">
        <f>IFERROR(__xludf.DUMMYFUNCTION("""COMPUTED_VALUE"""),"-")</f>
        <v>-</v>
      </c>
      <c r="K515" t="str">
        <f>IFERROR(__xludf.DUMMYFUNCTION("""COMPUTED_VALUE"""),"-")</f>
        <v>-</v>
      </c>
      <c r="L515" t="str">
        <f>IFERROR(__xludf.DUMMYFUNCTION("""COMPUTED_VALUE"""),"-")</f>
        <v>-</v>
      </c>
      <c r="M515" t="str">
        <f>IFERROR(__xludf.DUMMYFUNCTION("""COMPUTED_VALUE"""),"-")</f>
        <v>-</v>
      </c>
      <c r="O515" t="str">
        <f>IFERROR(__xludf.DUMMYFUNCTION("""COMPUTED_VALUE"""),"#514")</f>
        <v>#514</v>
      </c>
      <c r="P515" t="str">
        <f>IFERROR(__xludf.DUMMYFUNCTION("""COMPUTED_VALUE"""),"Eric Noirez")</f>
        <v>Eric Noirez</v>
      </c>
      <c r="Q515">
        <f>IFERROR(__xludf.DUMMYFUNCTION("""COMPUTED_VALUE"""),2559.0)</f>
        <v>2559</v>
      </c>
      <c r="R515" t="str">
        <f>IFERROR(__xludf.DUMMYFUNCTION("""COMPUTED_VALUE"""),"-")</f>
        <v>-</v>
      </c>
      <c r="S515" t="str">
        <f>IFERROR(__xludf.DUMMYFUNCTION("""COMPUTED_VALUE"""),"-")</f>
        <v>-</v>
      </c>
      <c r="T515" t="str">
        <f>IFERROR(__xludf.DUMMYFUNCTION("""COMPUTED_VALUE"""),"-")</f>
        <v>-</v>
      </c>
      <c r="U515" t="str">
        <f>IFERROR(__xludf.DUMMYFUNCTION("""COMPUTED_VALUE"""),"-")</f>
        <v>-</v>
      </c>
      <c r="V515" t="str">
        <f>IFERROR(__xludf.DUMMYFUNCTION("""COMPUTED_VALUE"""),"-")</f>
        <v>-</v>
      </c>
      <c r="W515" t="str">
        <f>IFERROR(__xludf.DUMMYFUNCTION("""COMPUTED_VALUE"""),"-")</f>
        <v>-</v>
      </c>
      <c r="X515" t="str">
        <f>IFERROR(__xludf.DUMMYFUNCTION("""COMPUTED_VALUE"""),"-")</f>
        <v>-</v>
      </c>
      <c r="Y515" t="str">
        <f>IFERROR(__xludf.DUMMYFUNCTION("""COMPUTED_VALUE"""),"-")</f>
        <v>-</v>
      </c>
      <c r="Z515" t="str">
        <f>IFERROR(__xludf.DUMMYFUNCTION("""COMPUTED_VALUE"""),"-")</f>
        <v>-</v>
      </c>
      <c r="AA515" t="str">
        <f>IFERROR(__xludf.DUMMYFUNCTION("""COMPUTED_VALUE"""),"-")</f>
        <v>-</v>
      </c>
    </row>
    <row r="516">
      <c r="A516" t="str">
        <f>IFERROR(__xludf.DUMMYFUNCTION("""COMPUTED_VALUE"""),"#515")</f>
        <v>#515</v>
      </c>
      <c r="B516" t="str">
        <f>IFERROR(__xludf.DUMMYFUNCTION("""COMPUTED_VALUE"""),"Sylvie Espagnolle-Labrune")</f>
        <v>Sylvie Espagnolle-Labrune</v>
      </c>
      <c r="C516">
        <f>IFERROR(__xludf.DUMMYFUNCTION("""COMPUTED_VALUE"""),2556.0)</f>
        <v>2556</v>
      </c>
      <c r="D516" t="str">
        <f>IFERROR(__xludf.DUMMYFUNCTION("""COMPUTED_VALUE"""),"-")</f>
        <v>-</v>
      </c>
      <c r="E516" t="str">
        <f>IFERROR(__xludf.DUMMYFUNCTION("""COMPUTED_VALUE"""),"-")</f>
        <v>-</v>
      </c>
      <c r="F516" t="str">
        <f>IFERROR(__xludf.DUMMYFUNCTION("""COMPUTED_VALUE"""),"-")</f>
        <v>-</v>
      </c>
      <c r="G516" t="str">
        <f>IFERROR(__xludf.DUMMYFUNCTION("""COMPUTED_VALUE"""),"-")</f>
        <v>-</v>
      </c>
      <c r="H516" t="str">
        <f>IFERROR(__xludf.DUMMYFUNCTION("""COMPUTED_VALUE"""),"-")</f>
        <v>-</v>
      </c>
      <c r="I516" t="str">
        <f>IFERROR(__xludf.DUMMYFUNCTION("""COMPUTED_VALUE"""),"-")</f>
        <v>-</v>
      </c>
      <c r="J516" t="str">
        <f>IFERROR(__xludf.DUMMYFUNCTION("""COMPUTED_VALUE"""),"-")</f>
        <v>-</v>
      </c>
      <c r="K516" t="str">
        <f>IFERROR(__xludf.DUMMYFUNCTION("""COMPUTED_VALUE"""),"-")</f>
        <v>-</v>
      </c>
      <c r="L516" t="str">
        <f>IFERROR(__xludf.DUMMYFUNCTION("""COMPUTED_VALUE"""),"-")</f>
        <v>-</v>
      </c>
      <c r="M516" t="str">
        <f>IFERROR(__xludf.DUMMYFUNCTION("""COMPUTED_VALUE"""),"-")</f>
        <v>-</v>
      </c>
      <c r="O516" t="str">
        <f>IFERROR(__xludf.DUMMYFUNCTION("""COMPUTED_VALUE"""),"#515")</f>
        <v>#515</v>
      </c>
      <c r="P516" t="str">
        <f>IFERROR(__xludf.DUMMYFUNCTION("""COMPUTED_VALUE"""),"Sylvie Espagnolle-Labrune")</f>
        <v>Sylvie Espagnolle-Labrune</v>
      </c>
      <c r="Q516">
        <f>IFERROR(__xludf.DUMMYFUNCTION("""COMPUTED_VALUE"""),2556.0)</f>
        <v>2556</v>
      </c>
      <c r="R516" t="str">
        <f>IFERROR(__xludf.DUMMYFUNCTION("""COMPUTED_VALUE"""),"-")</f>
        <v>-</v>
      </c>
      <c r="S516" t="str">
        <f>IFERROR(__xludf.DUMMYFUNCTION("""COMPUTED_VALUE"""),"-")</f>
        <v>-</v>
      </c>
      <c r="T516" t="str">
        <f>IFERROR(__xludf.DUMMYFUNCTION("""COMPUTED_VALUE"""),"-")</f>
        <v>-</v>
      </c>
      <c r="U516" t="str">
        <f>IFERROR(__xludf.DUMMYFUNCTION("""COMPUTED_VALUE"""),"-")</f>
        <v>-</v>
      </c>
      <c r="V516" t="str">
        <f>IFERROR(__xludf.DUMMYFUNCTION("""COMPUTED_VALUE"""),"-")</f>
        <v>-</v>
      </c>
      <c r="W516" t="str">
        <f>IFERROR(__xludf.DUMMYFUNCTION("""COMPUTED_VALUE"""),"-")</f>
        <v>-</v>
      </c>
      <c r="X516" t="str">
        <f>IFERROR(__xludf.DUMMYFUNCTION("""COMPUTED_VALUE"""),"-")</f>
        <v>-</v>
      </c>
      <c r="Y516" t="str">
        <f>IFERROR(__xludf.DUMMYFUNCTION("""COMPUTED_VALUE"""),"-")</f>
        <v>-</v>
      </c>
      <c r="Z516" t="str">
        <f>IFERROR(__xludf.DUMMYFUNCTION("""COMPUTED_VALUE"""),"-")</f>
        <v>-</v>
      </c>
      <c r="AA516" t="str">
        <f>IFERROR(__xludf.DUMMYFUNCTION("""COMPUTED_VALUE"""),"-")</f>
        <v>-</v>
      </c>
    </row>
    <row r="517">
      <c r="A517" t="str">
        <f>IFERROR(__xludf.DUMMYFUNCTION("""COMPUTED_VALUE"""),"#516")</f>
        <v>#516</v>
      </c>
      <c r="B517" t="str">
        <f>IFERROR(__xludf.DUMMYFUNCTION("""COMPUTED_VALUE"""),"Didier Thévenieau")</f>
        <v>Didier Thévenieau</v>
      </c>
      <c r="C517">
        <f>IFERROR(__xludf.DUMMYFUNCTION("""COMPUTED_VALUE"""),2506.0)</f>
        <v>2506</v>
      </c>
      <c r="D517" t="str">
        <f>IFERROR(__xludf.DUMMYFUNCTION("""COMPUTED_VALUE"""),"-")</f>
        <v>-</v>
      </c>
      <c r="E517" t="str">
        <f>IFERROR(__xludf.DUMMYFUNCTION("""COMPUTED_VALUE"""),"-")</f>
        <v>-</v>
      </c>
      <c r="F517" t="str">
        <f>IFERROR(__xludf.DUMMYFUNCTION("""COMPUTED_VALUE"""),"-")</f>
        <v>-</v>
      </c>
      <c r="G517" t="str">
        <f>IFERROR(__xludf.DUMMYFUNCTION("""COMPUTED_VALUE"""),"-")</f>
        <v>-</v>
      </c>
      <c r="H517" t="str">
        <f>IFERROR(__xludf.DUMMYFUNCTION("""COMPUTED_VALUE"""),"-")</f>
        <v>-</v>
      </c>
      <c r="I517" t="str">
        <f>IFERROR(__xludf.DUMMYFUNCTION("""COMPUTED_VALUE"""),"-")</f>
        <v>-</v>
      </c>
      <c r="J517" t="str">
        <f>IFERROR(__xludf.DUMMYFUNCTION("""COMPUTED_VALUE"""),"-")</f>
        <v>-</v>
      </c>
      <c r="K517" t="str">
        <f>IFERROR(__xludf.DUMMYFUNCTION("""COMPUTED_VALUE"""),"-")</f>
        <v>-</v>
      </c>
      <c r="L517" t="str">
        <f>IFERROR(__xludf.DUMMYFUNCTION("""COMPUTED_VALUE"""),"-")</f>
        <v>-</v>
      </c>
      <c r="M517" t="str">
        <f>IFERROR(__xludf.DUMMYFUNCTION("""COMPUTED_VALUE"""),"-")</f>
        <v>-</v>
      </c>
      <c r="O517" t="str">
        <f>IFERROR(__xludf.DUMMYFUNCTION("""COMPUTED_VALUE"""),"#516")</f>
        <v>#516</v>
      </c>
      <c r="P517" t="str">
        <f>IFERROR(__xludf.DUMMYFUNCTION("""COMPUTED_VALUE"""),"Didier Thévenieau")</f>
        <v>Didier Thévenieau</v>
      </c>
      <c r="Q517">
        <f>IFERROR(__xludf.DUMMYFUNCTION("""COMPUTED_VALUE"""),2506.0)</f>
        <v>2506</v>
      </c>
      <c r="R517" t="str">
        <f>IFERROR(__xludf.DUMMYFUNCTION("""COMPUTED_VALUE"""),"-")</f>
        <v>-</v>
      </c>
      <c r="S517" t="str">
        <f>IFERROR(__xludf.DUMMYFUNCTION("""COMPUTED_VALUE"""),"-")</f>
        <v>-</v>
      </c>
      <c r="T517" t="str">
        <f>IFERROR(__xludf.DUMMYFUNCTION("""COMPUTED_VALUE"""),"-")</f>
        <v>-</v>
      </c>
      <c r="U517" t="str">
        <f>IFERROR(__xludf.DUMMYFUNCTION("""COMPUTED_VALUE"""),"-")</f>
        <v>-</v>
      </c>
      <c r="V517" t="str">
        <f>IFERROR(__xludf.DUMMYFUNCTION("""COMPUTED_VALUE"""),"-")</f>
        <v>-</v>
      </c>
      <c r="W517" t="str">
        <f>IFERROR(__xludf.DUMMYFUNCTION("""COMPUTED_VALUE"""),"-")</f>
        <v>-</v>
      </c>
      <c r="X517" t="str">
        <f>IFERROR(__xludf.DUMMYFUNCTION("""COMPUTED_VALUE"""),"-")</f>
        <v>-</v>
      </c>
      <c r="Y517" t="str">
        <f>IFERROR(__xludf.DUMMYFUNCTION("""COMPUTED_VALUE"""),"-")</f>
        <v>-</v>
      </c>
      <c r="Z517" t="str">
        <f>IFERROR(__xludf.DUMMYFUNCTION("""COMPUTED_VALUE"""),"-")</f>
        <v>-</v>
      </c>
      <c r="AA517" t="str">
        <f>IFERROR(__xludf.DUMMYFUNCTION("""COMPUTED_VALUE"""),"-")</f>
        <v>-</v>
      </c>
    </row>
    <row r="518">
      <c r="A518" t="str">
        <f>IFERROR(__xludf.DUMMYFUNCTION("""COMPUTED_VALUE"""),"#517")</f>
        <v>#517</v>
      </c>
      <c r="B518" t="str">
        <f>IFERROR(__xludf.DUMMYFUNCTION("""COMPUTED_VALUE"""),"Paul Meyer")</f>
        <v>Paul Meyer</v>
      </c>
      <c r="C518">
        <f>IFERROR(__xludf.DUMMYFUNCTION("""COMPUTED_VALUE"""),2474.0)</f>
        <v>2474</v>
      </c>
      <c r="D518" t="str">
        <f>IFERROR(__xludf.DUMMYFUNCTION("""COMPUTED_VALUE"""),"-")</f>
        <v>-</v>
      </c>
      <c r="E518" t="str">
        <f>IFERROR(__xludf.DUMMYFUNCTION("""COMPUTED_VALUE"""),"-")</f>
        <v>-</v>
      </c>
      <c r="F518" t="str">
        <f>IFERROR(__xludf.DUMMYFUNCTION("""COMPUTED_VALUE"""),"-")</f>
        <v>-</v>
      </c>
      <c r="G518" t="str">
        <f>IFERROR(__xludf.DUMMYFUNCTION("""COMPUTED_VALUE"""),"-")</f>
        <v>-</v>
      </c>
      <c r="H518" t="str">
        <f>IFERROR(__xludf.DUMMYFUNCTION("""COMPUTED_VALUE"""),"-")</f>
        <v>-</v>
      </c>
      <c r="I518" t="str">
        <f>IFERROR(__xludf.DUMMYFUNCTION("""COMPUTED_VALUE"""),"-")</f>
        <v>-</v>
      </c>
      <c r="J518" t="str">
        <f>IFERROR(__xludf.DUMMYFUNCTION("""COMPUTED_VALUE"""),"-")</f>
        <v>-</v>
      </c>
      <c r="K518" t="str">
        <f>IFERROR(__xludf.DUMMYFUNCTION("""COMPUTED_VALUE"""),"-")</f>
        <v>-</v>
      </c>
      <c r="L518" t="str">
        <f>IFERROR(__xludf.DUMMYFUNCTION("""COMPUTED_VALUE"""),"-")</f>
        <v>-</v>
      </c>
      <c r="M518" t="str">
        <f>IFERROR(__xludf.DUMMYFUNCTION("""COMPUTED_VALUE"""),"-")</f>
        <v>-</v>
      </c>
      <c r="O518" t="str">
        <f>IFERROR(__xludf.DUMMYFUNCTION("""COMPUTED_VALUE"""),"#517")</f>
        <v>#517</v>
      </c>
      <c r="P518" t="str">
        <f>IFERROR(__xludf.DUMMYFUNCTION("""COMPUTED_VALUE"""),"Paul Meyer")</f>
        <v>Paul Meyer</v>
      </c>
      <c r="Q518">
        <f>IFERROR(__xludf.DUMMYFUNCTION("""COMPUTED_VALUE"""),2474.0)</f>
        <v>2474</v>
      </c>
      <c r="R518" t="str">
        <f>IFERROR(__xludf.DUMMYFUNCTION("""COMPUTED_VALUE"""),"-")</f>
        <v>-</v>
      </c>
      <c r="S518" t="str">
        <f>IFERROR(__xludf.DUMMYFUNCTION("""COMPUTED_VALUE"""),"-")</f>
        <v>-</v>
      </c>
      <c r="T518" t="str">
        <f>IFERROR(__xludf.DUMMYFUNCTION("""COMPUTED_VALUE"""),"-")</f>
        <v>-</v>
      </c>
      <c r="U518" t="str">
        <f>IFERROR(__xludf.DUMMYFUNCTION("""COMPUTED_VALUE"""),"-")</f>
        <v>-</v>
      </c>
      <c r="V518" t="str">
        <f>IFERROR(__xludf.DUMMYFUNCTION("""COMPUTED_VALUE"""),"-")</f>
        <v>-</v>
      </c>
      <c r="W518" t="str">
        <f>IFERROR(__xludf.DUMMYFUNCTION("""COMPUTED_VALUE"""),"-")</f>
        <v>-</v>
      </c>
      <c r="X518" t="str">
        <f>IFERROR(__xludf.DUMMYFUNCTION("""COMPUTED_VALUE"""),"-")</f>
        <v>-</v>
      </c>
      <c r="Y518" t="str">
        <f>IFERROR(__xludf.DUMMYFUNCTION("""COMPUTED_VALUE"""),"-")</f>
        <v>-</v>
      </c>
      <c r="Z518" t="str">
        <f>IFERROR(__xludf.DUMMYFUNCTION("""COMPUTED_VALUE"""),"-")</f>
        <v>-</v>
      </c>
      <c r="AA518" t="str">
        <f>IFERROR(__xludf.DUMMYFUNCTION("""COMPUTED_VALUE"""),"-")</f>
        <v>-</v>
      </c>
    </row>
    <row r="519">
      <c r="A519" t="str">
        <f>IFERROR(__xludf.DUMMYFUNCTION("""COMPUTED_VALUE"""),"#518")</f>
        <v>#518</v>
      </c>
      <c r="B519" t="str">
        <f>IFERROR(__xludf.DUMMYFUNCTION("""COMPUTED_VALUE"""),"Nora Preziosi")</f>
        <v>Nora Preziosi</v>
      </c>
      <c r="C519">
        <f>IFERROR(__xludf.DUMMYFUNCTION("""COMPUTED_VALUE"""),2403.0)</f>
        <v>2403</v>
      </c>
      <c r="D519" t="str">
        <f>IFERROR(__xludf.DUMMYFUNCTION("""COMPUTED_VALUE"""),"-")</f>
        <v>-</v>
      </c>
      <c r="E519" t="str">
        <f>IFERROR(__xludf.DUMMYFUNCTION("""COMPUTED_VALUE"""),"-")</f>
        <v>-</v>
      </c>
      <c r="F519" t="str">
        <f>IFERROR(__xludf.DUMMYFUNCTION("""COMPUTED_VALUE"""),"-")</f>
        <v>-</v>
      </c>
      <c r="G519" t="str">
        <f>IFERROR(__xludf.DUMMYFUNCTION("""COMPUTED_VALUE"""),"-")</f>
        <v>-</v>
      </c>
      <c r="H519" t="str">
        <f>IFERROR(__xludf.DUMMYFUNCTION("""COMPUTED_VALUE"""),"-")</f>
        <v>-</v>
      </c>
      <c r="I519" t="str">
        <f>IFERROR(__xludf.DUMMYFUNCTION("""COMPUTED_VALUE"""),"-")</f>
        <v>-</v>
      </c>
      <c r="J519" t="str">
        <f>IFERROR(__xludf.DUMMYFUNCTION("""COMPUTED_VALUE"""),"-")</f>
        <v>-</v>
      </c>
      <c r="K519" t="str">
        <f>IFERROR(__xludf.DUMMYFUNCTION("""COMPUTED_VALUE"""),"-")</f>
        <v>-</v>
      </c>
      <c r="L519" t="str">
        <f>IFERROR(__xludf.DUMMYFUNCTION("""COMPUTED_VALUE"""),"-")</f>
        <v>-</v>
      </c>
      <c r="M519" t="str">
        <f>IFERROR(__xludf.DUMMYFUNCTION("""COMPUTED_VALUE"""),"-")</f>
        <v>-</v>
      </c>
      <c r="O519" t="str">
        <f>IFERROR(__xludf.DUMMYFUNCTION("""COMPUTED_VALUE"""),"#518")</f>
        <v>#518</v>
      </c>
      <c r="P519" t="str">
        <f>IFERROR(__xludf.DUMMYFUNCTION("""COMPUTED_VALUE"""),"Nora Preziosi")</f>
        <v>Nora Preziosi</v>
      </c>
      <c r="Q519">
        <f>IFERROR(__xludf.DUMMYFUNCTION("""COMPUTED_VALUE"""),2403.0)</f>
        <v>2403</v>
      </c>
      <c r="R519" t="str">
        <f>IFERROR(__xludf.DUMMYFUNCTION("""COMPUTED_VALUE"""),"-")</f>
        <v>-</v>
      </c>
      <c r="S519" t="str">
        <f>IFERROR(__xludf.DUMMYFUNCTION("""COMPUTED_VALUE"""),"-")</f>
        <v>-</v>
      </c>
      <c r="T519" t="str">
        <f>IFERROR(__xludf.DUMMYFUNCTION("""COMPUTED_VALUE"""),"-")</f>
        <v>-</v>
      </c>
      <c r="U519" t="str">
        <f>IFERROR(__xludf.DUMMYFUNCTION("""COMPUTED_VALUE"""),"-")</f>
        <v>-</v>
      </c>
      <c r="V519" t="str">
        <f>IFERROR(__xludf.DUMMYFUNCTION("""COMPUTED_VALUE"""),"-")</f>
        <v>-</v>
      </c>
      <c r="W519" t="str">
        <f>IFERROR(__xludf.DUMMYFUNCTION("""COMPUTED_VALUE"""),"-")</f>
        <v>-</v>
      </c>
      <c r="X519" t="str">
        <f>IFERROR(__xludf.DUMMYFUNCTION("""COMPUTED_VALUE"""),"-")</f>
        <v>-</v>
      </c>
      <c r="Y519" t="str">
        <f>IFERROR(__xludf.DUMMYFUNCTION("""COMPUTED_VALUE"""),"-")</f>
        <v>-</v>
      </c>
      <c r="Z519" t="str">
        <f>IFERROR(__xludf.DUMMYFUNCTION("""COMPUTED_VALUE"""),"-")</f>
        <v>-</v>
      </c>
      <c r="AA519" t="str">
        <f>IFERROR(__xludf.DUMMYFUNCTION("""COMPUTED_VALUE"""),"-")</f>
        <v>-</v>
      </c>
    </row>
    <row r="520">
      <c r="A520" t="str">
        <f>IFERROR(__xludf.DUMMYFUNCTION("""COMPUTED_VALUE"""),"#519")</f>
        <v>#519</v>
      </c>
      <c r="B520" t="str">
        <f>IFERROR(__xludf.DUMMYFUNCTION("""COMPUTED_VALUE"""),"Jean-Louis Costes")</f>
        <v>Jean-Louis Costes</v>
      </c>
      <c r="C520">
        <f>IFERROR(__xludf.DUMMYFUNCTION("""COMPUTED_VALUE"""),2268.0)</f>
        <v>2268</v>
      </c>
      <c r="D520" t="str">
        <f>IFERROR(__xludf.DUMMYFUNCTION("""COMPUTED_VALUE"""),"-")</f>
        <v>-</v>
      </c>
      <c r="E520" t="str">
        <f>IFERROR(__xludf.DUMMYFUNCTION("""COMPUTED_VALUE"""),"-")</f>
        <v>-</v>
      </c>
      <c r="F520" t="str">
        <f>IFERROR(__xludf.DUMMYFUNCTION("""COMPUTED_VALUE"""),"-")</f>
        <v>-</v>
      </c>
      <c r="G520" t="str">
        <f>IFERROR(__xludf.DUMMYFUNCTION("""COMPUTED_VALUE"""),"-")</f>
        <v>-</v>
      </c>
      <c r="H520" t="str">
        <f>IFERROR(__xludf.DUMMYFUNCTION("""COMPUTED_VALUE"""),"-")</f>
        <v>-</v>
      </c>
      <c r="I520" t="str">
        <f>IFERROR(__xludf.DUMMYFUNCTION("""COMPUTED_VALUE"""),"-")</f>
        <v>-</v>
      </c>
      <c r="J520" t="str">
        <f>IFERROR(__xludf.DUMMYFUNCTION("""COMPUTED_VALUE"""),"-")</f>
        <v>-</v>
      </c>
      <c r="K520" t="str">
        <f>IFERROR(__xludf.DUMMYFUNCTION("""COMPUTED_VALUE"""),"-")</f>
        <v>-</v>
      </c>
      <c r="L520" t="str">
        <f>IFERROR(__xludf.DUMMYFUNCTION("""COMPUTED_VALUE"""),"-")</f>
        <v>-</v>
      </c>
      <c r="M520" t="str">
        <f>IFERROR(__xludf.DUMMYFUNCTION("""COMPUTED_VALUE"""),"-")</f>
        <v>-</v>
      </c>
      <c r="O520" t="str">
        <f>IFERROR(__xludf.DUMMYFUNCTION("""COMPUTED_VALUE"""),"#519")</f>
        <v>#519</v>
      </c>
      <c r="P520" t="str">
        <f>IFERROR(__xludf.DUMMYFUNCTION("""COMPUTED_VALUE"""),"Jean-Louis Costes")</f>
        <v>Jean-Louis Costes</v>
      </c>
      <c r="Q520">
        <f>IFERROR(__xludf.DUMMYFUNCTION("""COMPUTED_VALUE"""),2268.0)</f>
        <v>2268</v>
      </c>
      <c r="R520" t="str">
        <f>IFERROR(__xludf.DUMMYFUNCTION("""COMPUTED_VALUE"""),"-")</f>
        <v>-</v>
      </c>
      <c r="S520" t="str">
        <f>IFERROR(__xludf.DUMMYFUNCTION("""COMPUTED_VALUE"""),"-")</f>
        <v>-</v>
      </c>
      <c r="T520" t="str">
        <f>IFERROR(__xludf.DUMMYFUNCTION("""COMPUTED_VALUE"""),"-")</f>
        <v>-</v>
      </c>
      <c r="U520" t="str">
        <f>IFERROR(__xludf.DUMMYFUNCTION("""COMPUTED_VALUE"""),"-")</f>
        <v>-</v>
      </c>
      <c r="V520" t="str">
        <f>IFERROR(__xludf.DUMMYFUNCTION("""COMPUTED_VALUE"""),"-")</f>
        <v>-</v>
      </c>
      <c r="W520" t="str">
        <f>IFERROR(__xludf.DUMMYFUNCTION("""COMPUTED_VALUE"""),"-")</f>
        <v>-</v>
      </c>
      <c r="X520" t="str">
        <f>IFERROR(__xludf.DUMMYFUNCTION("""COMPUTED_VALUE"""),"-")</f>
        <v>-</v>
      </c>
      <c r="Y520" t="str">
        <f>IFERROR(__xludf.DUMMYFUNCTION("""COMPUTED_VALUE"""),"-")</f>
        <v>-</v>
      </c>
      <c r="Z520" t="str">
        <f>IFERROR(__xludf.DUMMYFUNCTION("""COMPUTED_VALUE"""),"-")</f>
        <v>-</v>
      </c>
      <c r="AA520" t="str">
        <f>IFERROR(__xludf.DUMMYFUNCTION("""COMPUTED_VALUE"""),"-")</f>
        <v>-</v>
      </c>
    </row>
    <row r="521">
      <c r="A521" t="str">
        <f>IFERROR(__xludf.DUMMYFUNCTION("""COMPUTED_VALUE"""),"#520")</f>
        <v>#520</v>
      </c>
      <c r="B521" t="str">
        <f>IFERROR(__xludf.DUMMYFUNCTION("""COMPUTED_VALUE"""),"Olivier Loisel")</f>
        <v>Olivier Loisel</v>
      </c>
      <c r="C521">
        <f>IFERROR(__xludf.DUMMYFUNCTION("""COMPUTED_VALUE"""),2168.0)</f>
        <v>2168</v>
      </c>
      <c r="D521" t="str">
        <f>IFERROR(__xludf.DUMMYFUNCTION("""COMPUTED_VALUE"""),"-")</f>
        <v>-</v>
      </c>
      <c r="E521" t="str">
        <f>IFERROR(__xludf.DUMMYFUNCTION("""COMPUTED_VALUE"""),"-")</f>
        <v>-</v>
      </c>
      <c r="F521" t="str">
        <f>IFERROR(__xludf.DUMMYFUNCTION("""COMPUTED_VALUE"""),"-")</f>
        <v>-</v>
      </c>
      <c r="G521" t="str">
        <f>IFERROR(__xludf.DUMMYFUNCTION("""COMPUTED_VALUE"""),"-")</f>
        <v>-</v>
      </c>
      <c r="H521" t="str">
        <f>IFERROR(__xludf.DUMMYFUNCTION("""COMPUTED_VALUE"""),"-")</f>
        <v>-</v>
      </c>
      <c r="I521" t="str">
        <f>IFERROR(__xludf.DUMMYFUNCTION("""COMPUTED_VALUE"""),"-")</f>
        <v>-</v>
      </c>
      <c r="J521" t="str">
        <f>IFERROR(__xludf.DUMMYFUNCTION("""COMPUTED_VALUE"""),"-")</f>
        <v>-</v>
      </c>
      <c r="K521" t="str">
        <f>IFERROR(__xludf.DUMMYFUNCTION("""COMPUTED_VALUE"""),"-")</f>
        <v>-</v>
      </c>
      <c r="L521" t="str">
        <f>IFERROR(__xludf.DUMMYFUNCTION("""COMPUTED_VALUE"""),"-")</f>
        <v>-</v>
      </c>
      <c r="M521" t="str">
        <f>IFERROR(__xludf.DUMMYFUNCTION("""COMPUTED_VALUE"""),"-")</f>
        <v>-</v>
      </c>
      <c r="O521" t="str">
        <f>IFERROR(__xludf.DUMMYFUNCTION("""COMPUTED_VALUE"""),"#520")</f>
        <v>#520</v>
      </c>
      <c r="P521" t="str">
        <f>IFERROR(__xludf.DUMMYFUNCTION("""COMPUTED_VALUE"""),"Olivier Loisel")</f>
        <v>Olivier Loisel</v>
      </c>
      <c r="Q521">
        <f>IFERROR(__xludf.DUMMYFUNCTION("""COMPUTED_VALUE"""),2168.0)</f>
        <v>2168</v>
      </c>
      <c r="R521" t="str">
        <f>IFERROR(__xludf.DUMMYFUNCTION("""COMPUTED_VALUE"""),"-")</f>
        <v>-</v>
      </c>
      <c r="S521" t="str">
        <f>IFERROR(__xludf.DUMMYFUNCTION("""COMPUTED_VALUE"""),"-")</f>
        <v>-</v>
      </c>
      <c r="T521" t="str">
        <f>IFERROR(__xludf.DUMMYFUNCTION("""COMPUTED_VALUE"""),"-")</f>
        <v>-</v>
      </c>
      <c r="U521" t="str">
        <f>IFERROR(__xludf.DUMMYFUNCTION("""COMPUTED_VALUE"""),"-")</f>
        <v>-</v>
      </c>
      <c r="V521" t="str">
        <f>IFERROR(__xludf.DUMMYFUNCTION("""COMPUTED_VALUE"""),"-")</f>
        <v>-</v>
      </c>
      <c r="W521" t="str">
        <f>IFERROR(__xludf.DUMMYFUNCTION("""COMPUTED_VALUE"""),"-")</f>
        <v>-</v>
      </c>
      <c r="X521" t="str">
        <f>IFERROR(__xludf.DUMMYFUNCTION("""COMPUTED_VALUE"""),"-")</f>
        <v>-</v>
      </c>
      <c r="Y521" t="str">
        <f>IFERROR(__xludf.DUMMYFUNCTION("""COMPUTED_VALUE"""),"-")</f>
        <v>-</v>
      </c>
      <c r="Z521" t="str">
        <f>IFERROR(__xludf.DUMMYFUNCTION("""COMPUTED_VALUE"""),"-")</f>
        <v>-</v>
      </c>
      <c r="AA521" t="str">
        <f>IFERROR(__xludf.DUMMYFUNCTION("""COMPUTED_VALUE"""),"-")</f>
        <v>-</v>
      </c>
    </row>
    <row r="522">
      <c r="A522" t="str">
        <f>IFERROR(__xludf.DUMMYFUNCTION("""COMPUTED_VALUE"""),"#521")</f>
        <v>#521</v>
      </c>
      <c r="B522" t="str">
        <f>IFERROR(__xludf.DUMMYFUNCTION("""COMPUTED_VALUE"""),"Philippe de Beauregard")</f>
        <v>Philippe de Beauregard</v>
      </c>
      <c r="C522">
        <f>IFERROR(__xludf.DUMMYFUNCTION("""COMPUTED_VALUE"""),2163.0)</f>
        <v>2163</v>
      </c>
      <c r="D522" t="str">
        <f>IFERROR(__xludf.DUMMYFUNCTION("""COMPUTED_VALUE"""),"-")</f>
        <v>-</v>
      </c>
      <c r="E522" t="str">
        <f>IFERROR(__xludf.DUMMYFUNCTION("""COMPUTED_VALUE"""),"-")</f>
        <v>-</v>
      </c>
      <c r="F522" t="str">
        <f>IFERROR(__xludf.DUMMYFUNCTION("""COMPUTED_VALUE"""),"-")</f>
        <v>-</v>
      </c>
      <c r="G522" t="str">
        <f>IFERROR(__xludf.DUMMYFUNCTION("""COMPUTED_VALUE"""),"-")</f>
        <v>-</v>
      </c>
      <c r="H522" t="str">
        <f>IFERROR(__xludf.DUMMYFUNCTION("""COMPUTED_VALUE"""),"-")</f>
        <v>-</v>
      </c>
      <c r="I522" t="str">
        <f>IFERROR(__xludf.DUMMYFUNCTION("""COMPUTED_VALUE"""),"-")</f>
        <v>-</v>
      </c>
      <c r="J522" t="str">
        <f>IFERROR(__xludf.DUMMYFUNCTION("""COMPUTED_VALUE"""),"-")</f>
        <v>-</v>
      </c>
      <c r="K522" t="str">
        <f>IFERROR(__xludf.DUMMYFUNCTION("""COMPUTED_VALUE"""),"-")</f>
        <v>-</v>
      </c>
      <c r="L522" t="str">
        <f>IFERROR(__xludf.DUMMYFUNCTION("""COMPUTED_VALUE"""),"-")</f>
        <v>-</v>
      </c>
      <c r="M522" t="str">
        <f>IFERROR(__xludf.DUMMYFUNCTION("""COMPUTED_VALUE"""),"-")</f>
        <v>-</v>
      </c>
      <c r="O522" t="str">
        <f>IFERROR(__xludf.DUMMYFUNCTION("""COMPUTED_VALUE"""),"#521")</f>
        <v>#521</v>
      </c>
      <c r="P522" t="str">
        <f>IFERROR(__xludf.DUMMYFUNCTION("""COMPUTED_VALUE"""),"Philippe de Beauregard")</f>
        <v>Philippe de Beauregard</v>
      </c>
      <c r="Q522">
        <f>IFERROR(__xludf.DUMMYFUNCTION("""COMPUTED_VALUE"""),2163.0)</f>
        <v>2163</v>
      </c>
      <c r="R522" t="str">
        <f>IFERROR(__xludf.DUMMYFUNCTION("""COMPUTED_VALUE"""),"-")</f>
        <v>-</v>
      </c>
      <c r="S522" t="str">
        <f>IFERROR(__xludf.DUMMYFUNCTION("""COMPUTED_VALUE"""),"-")</f>
        <v>-</v>
      </c>
      <c r="T522" t="str">
        <f>IFERROR(__xludf.DUMMYFUNCTION("""COMPUTED_VALUE"""),"-")</f>
        <v>-</v>
      </c>
      <c r="U522" t="str">
        <f>IFERROR(__xludf.DUMMYFUNCTION("""COMPUTED_VALUE"""),"-")</f>
        <v>-</v>
      </c>
      <c r="V522" t="str">
        <f>IFERROR(__xludf.DUMMYFUNCTION("""COMPUTED_VALUE"""),"-")</f>
        <v>-</v>
      </c>
      <c r="W522" t="str">
        <f>IFERROR(__xludf.DUMMYFUNCTION("""COMPUTED_VALUE"""),"-")</f>
        <v>-</v>
      </c>
      <c r="X522" t="str">
        <f>IFERROR(__xludf.DUMMYFUNCTION("""COMPUTED_VALUE"""),"-")</f>
        <v>-</v>
      </c>
      <c r="Y522" t="str">
        <f>IFERROR(__xludf.DUMMYFUNCTION("""COMPUTED_VALUE"""),"-")</f>
        <v>-</v>
      </c>
      <c r="Z522" t="str">
        <f>IFERROR(__xludf.DUMMYFUNCTION("""COMPUTED_VALUE"""),"-")</f>
        <v>-</v>
      </c>
      <c r="AA522" t="str">
        <f>IFERROR(__xludf.DUMMYFUNCTION("""COMPUTED_VALUE"""),"-")</f>
        <v>-</v>
      </c>
    </row>
    <row r="523">
      <c r="A523" t="str">
        <f>IFERROR(__xludf.DUMMYFUNCTION("""COMPUTED_VALUE"""),"#522")</f>
        <v>#522</v>
      </c>
      <c r="B523" t="str">
        <f>IFERROR(__xludf.DUMMYFUNCTION("""COMPUTED_VALUE"""),"Sally Chadjaa")</f>
        <v>Sally Chadjaa</v>
      </c>
      <c r="C523">
        <f>IFERROR(__xludf.DUMMYFUNCTION("""COMPUTED_VALUE"""),2148.0)</f>
        <v>2148</v>
      </c>
      <c r="D523" t="str">
        <f>IFERROR(__xludf.DUMMYFUNCTION("""COMPUTED_VALUE"""),"-")</f>
        <v>-</v>
      </c>
      <c r="E523" t="str">
        <f>IFERROR(__xludf.DUMMYFUNCTION("""COMPUTED_VALUE"""),"-")</f>
        <v>-</v>
      </c>
      <c r="F523" t="str">
        <f>IFERROR(__xludf.DUMMYFUNCTION("""COMPUTED_VALUE"""),"-")</f>
        <v>-</v>
      </c>
      <c r="G523" t="str">
        <f>IFERROR(__xludf.DUMMYFUNCTION("""COMPUTED_VALUE"""),"-")</f>
        <v>-</v>
      </c>
      <c r="H523" t="str">
        <f>IFERROR(__xludf.DUMMYFUNCTION("""COMPUTED_VALUE"""),"-")</f>
        <v>-</v>
      </c>
      <c r="I523" t="str">
        <f>IFERROR(__xludf.DUMMYFUNCTION("""COMPUTED_VALUE"""),"-")</f>
        <v>-</v>
      </c>
      <c r="J523" t="str">
        <f>IFERROR(__xludf.DUMMYFUNCTION("""COMPUTED_VALUE"""),"-")</f>
        <v>-</v>
      </c>
      <c r="K523" t="str">
        <f>IFERROR(__xludf.DUMMYFUNCTION("""COMPUTED_VALUE"""),"-")</f>
        <v>-</v>
      </c>
      <c r="L523" t="str">
        <f>IFERROR(__xludf.DUMMYFUNCTION("""COMPUTED_VALUE"""),"-")</f>
        <v>-</v>
      </c>
      <c r="M523" t="str">
        <f>IFERROR(__xludf.DUMMYFUNCTION("""COMPUTED_VALUE"""),"-")</f>
        <v>-</v>
      </c>
      <c r="O523" t="str">
        <f>IFERROR(__xludf.DUMMYFUNCTION("""COMPUTED_VALUE"""),"#522")</f>
        <v>#522</v>
      </c>
      <c r="P523" t="str">
        <f>IFERROR(__xludf.DUMMYFUNCTION("""COMPUTED_VALUE"""),"Sally Chadjaa")</f>
        <v>Sally Chadjaa</v>
      </c>
      <c r="Q523">
        <f>IFERROR(__xludf.DUMMYFUNCTION("""COMPUTED_VALUE"""),2148.0)</f>
        <v>2148</v>
      </c>
      <c r="R523" t="str">
        <f>IFERROR(__xludf.DUMMYFUNCTION("""COMPUTED_VALUE"""),"-")</f>
        <v>-</v>
      </c>
      <c r="S523" t="str">
        <f>IFERROR(__xludf.DUMMYFUNCTION("""COMPUTED_VALUE"""),"-")</f>
        <v>-</v>
      </c>
      <c r="T523" t="str">
        <f>IFERROR(__xludf.DUMMYFUNCTION("""COMPUTED_VALUE"""),"-")</f>
        <v>-</v>
      </c>
      <c r="U523" t="str">
        <f>IFERROR(__xludf.DUMMYFUNCTION("""COMPUTED_VALUE"""),"-")</f>
        <v>-</v>
      </c>
      <c r="V523" t="str">
        <f>IFERROR(__xludf.DUMMYFUNCTION("""COMPUTED_VALUE"""),"-")</f>
        <v>-</v>
      </c>
      <c r="W523" t="str">
        <f>IFERROR(__xludf.DUMMYFUNCTION("""COMPUTED_VALUE"""),"-")</f>
        <v>-</v>
      </c>
      <c r="X523" t="str">
        <f>IFERROR(__xludf.DUMMYFUNCTION("""COMPUTED_VALUE"""),"-")</f>
        <v>-</v>
      </c>
      <c r="Y523" t="str">
        <f>IFERROR(__xludf.DUMMYFUNCTION("""COMPUTED_VALUE"""),"-")</f>
        <v>-</v>
      </c>
      <c r="Z523" t="str">
        <f>IFERROR(__xludf.DUMMYFUNCTION("""COMPUTED_VALUE"""),"-")</f>
        <v>-</v>
      </c>
      <c r="AA523" t="str">
        <f>IFERROR(__xludf.DUMMYFUNCTION("""COMPUTED_VALUE"""),"-")</f>
        <v>-</v>
      </c>
    </row>
    <row r="524">
      <c r="A524" t="str">
        <f>IFERROR(__xludf.DUMMYFUNCTION("""COMPUTED_VALUE"""),"#523")</f>
        <v>#523</v>
      </c>
      <c r="B524" t="str">
        <f>IFERROR(__xludf.DUMMYFUNCTION("""COMPUTED_VALUE"""),"Claudine Schmid")</f>
        <v>Claudine Schmid</v>
      </c>
      <c r="C524">
        <f>IFERROR(__xludf.DUMMYFUNCTION("""COMPUTED_VALUE"""),2125.0)</f>
        <v>2125</v>
      </c>
      <c r="D524" t="str">
        <f>IFERROR(__xludf.DUMMYFUNCTION("""COMPUTED_VALUE"""),"-")</f>
        <v>-</v>
      </c>
      <c r="E524" t="str">
        <f>IFERROR(__xludf.DUMMYFUNCTION("""COMPUTED_VALUE"""),"-")</f>
        <v>-</v>
      </c>
      <c r="F524" t="str">
        <f>IFERROR(__xludf.DUMMYFUNCTION("""COMPUTED_VALUE"""),"-")</f>
        <v>-</v>
      </c>
      <c r="G524" t="str">
        <f>IFERROR(__xludf.DUMMYFUNCTION("""COMPUTED_VALUE"""),"-")</f>
        <v>-</v>
      </c>
      <c r="H524" t="str">
        <f>IFERROR(__xludf.DUMMYFUNCTION("""COMPUTED_VALUE"""),"-")</f>
        <v>-</v>
      </c>
      <c r="I524" t="str">
        <f>IFERROR(__xludf.DUMMYFUNCTION("""COMPUTED_VALUE"""),"-")</f>
        <v>-</v>
      </c>
      <c r="J524" t="str">
        <f>IFERROR(__xludf.DUMMYFUNCTION("""COMPUTED_VALUE"""),"-")</f>
        <v>-</v>
      </c>
      <c r="K524" t="str">
        <f>IFERROR(__xludf.DUMMYFUNCTION("""COMPUTED_VALUE"""),"-")</f>
        <v>-</v>
      </c>
      <c r="L524" t="str">
        <f>IFERROR(__xludf.DUMMYFUNCTION("""COMPUTED_VALUE"""),"-")</f>
        <v>-</v>
      </c>
      <c r="M524" t="str">
        <f>IFERROR(__xludf.DUMMYFUNCTION("""COMPUTED_VALUE"""),"-")</f>
        <v>-</v>
      </c>
      <c r="O524" t="str">
        <f>IFERROR(__xludf.DUMMYFUNCTION("""COMPUTED_VALUE"""),"#523")</f>
        <v>#523</v>
      </c>
      <c r="P524" t="str">
        <f>IFERROR(__xludf.DUMMYFUNCTION("""COMPUTED_VALUE"""),"Claudine Schmid")</f>
        <v>Claudine Schmid</v>
      </c>
      <c r="Q524">
        <f>IFERROR(__xludf.DUMMYFUNCTION("""COMPUTED_VALUE"""),2125.0)</f>
        <v>2125</v>
      </c>
      <c r="R524" t="str">
        <f>IFERROR(__xludf.DUMMYFUNCTION("""COMPUTED_VALUE"""),"-")</f>
        <v>-</v>
      </c>
      <c r="S524" t="str">
        <f>IFERROR(__xludf.DUMMYFUNCTION("""COMPUTED_VALUE"""),"-")</f>
        <v>-</v>
      </c>
      <c r="T524" t="str">
        <f>IFERROR(__xludf.DUMMYFUNCTION("""COMPUTED_VALUE"""),"-")</f>
        <v>-</v>
      </c>
      <c r="U524" t="str">
        <f>IFERROR(__xludf.DUMMYFUNCTION("""COMPUTED_VALUE"""),"-")</f>
        <v>-</v>
      </c>
      <c r="V524" t="str">
        <f>IFERROR(__xludf.DUMMYFUNCTION("""COMPUTED_VALUE"""),"-")</f>
        <v>-</v>
      </c>
      <c r="W524" t="str">
        <f>IFERROR(__xludf.DUMMYFUNCTION("""COMPUTED_VALUE"""),"-")</f>
        <v>-</v>
      </c>
      <c r="X524" t="str">
        <f>IFERROR(__xludf.DUMMYFUNCTION("""COMPUTED_VALUE"""),"-")</f>
        <v>-</v>
      </c>
      <c r="Y524" t="str">
        <f>IFERROR(__xludf.DUMMYFUNCTION("""COMPUTED_VALUE"""),"-")</f>
        <v>-</v>
      </c>
      <c r="Z524" t="str">
        <f>IFERROR(__xludf.DUMMYFUNCTION("""COMPUTED_VALUE"""),"-")</f>
        <v>-</v>
      </c>
      <c r="AA524" t="str">
        <f>IFERROR(__xludf.DUMMYFUNCTION("""COMPUTED_VALUE"""),"-")</f>
        <v>-</v>
      </c>
    </row>
    <row r="525">
      <c r="A525" t="str">
        <f>IFERROR(__xludf.DUMMYFUNCTION("""COMPUTED_VALUE"""),"#524")</f>
        <v>#524</v>
      </c>
      <c r="B525" t="str">
        <f>IFERROR(__xludf.DUMMYFUNCTION("""COMPUTED_VALUE"""),"Bastien Faudot")</f>
        <v>Bastien Faudot</v>
      </c>
      <c r="C525">
        <f>IFERROR(__xludf.DUMMYFUNCTION("""COMPUTED_VALUE"""),2109.0)</f>
        <v>2109</v>
      </c>
      <c r="D525" t="str">
        <f>IFERROR(__xludf.DUMMYFUNCTION("""COMPUTED_VALUE"""),"-")</f>
        <v>-</v>
      </c>
      <c r="E525" t="str">
        <f>IFERROR(__xludf.DUMMYFUNCTION("""COMPUTED_VALUE"""),"-")</f>
        <v>-</v>
      </c>
      <c r="F525" t="str">
        <f>IFERROR(__xludf.DUMMYFUNCTION("""COMPUTED_VALUE"""),"-")</f>
        <v>-</v>
      </c>
      <c r="G525" t="str">
        <f>IFERROR(__xludf.DUMMYFUNCTION("""COMPUTED_VALUE"""),"-")</f>
        <v>-</v>
      </c>
      <c r="H525" t="str">
        <f>IFERROR(__xludf.DUMMYFUNCTION("""COMPUTED_VALUE"""),"-")</f>
        <v>-</v>
      </c>
      <c r="I525" t="str">
        <f>IFERROR(__xludf.DUMMYFUNCTION("""COMPUTED_VALUE"""),"-")</f>
        <v>-</v>
      </c>
      <c r="J525" t="str">
        <f>IFERROR(__xludf.DUMMYFUNCTION("""COMPUTED_VALUE"""),"-")</f>
        <v>-</v>
      </c>
      <c r="K525" t="str">
        <f>IFERROR(__xludf.DUMMYFUNCTION("""COMPUTED_VALUE"""),"-")</f>
        <v>-</v>
      </c>
      <c r="L525" t="str">
        <f>IFERROR(__xludf.DUMMYFUNCTION("""COMPUTED_VALUE"""),"-")</f>
        <v>-</v>
      </c>
      <c r="M525" t="str">
        <f>IFERROR(__xludf.DUMMYFUNCTION("""COMPUTED_VALUE"""),"-")</f>
        <v>-</v>
      </c>
      <c r="O525" t="str">
        <f>IFERROR(__xludf.DUMMYFUNCTION("""COMPUTED_VALUE"""),"#524")</f>
        <v>#524</v>
      </c>
      <c r="P525" t="str">
        <f>IFERROR(__xludf.DUMMYFUNCTION("""COMPUTED_VALUE"""),"Bastien Faudot")</f>
        <v>Bastien Faudot</v>
      </c>
      <c r="Q525">
        <f>IFERROR(__xludf.DUMMYFUNCTION("""COMPUTED_VALUE"""),2109.0)</f>
        <v>2109</v>
      </c>
      <c r="R525" t="str">
        <f>IFERROR(__xludf.DUMMYFUNCTION("""COMPUTED_VALUE"""),"-")</f>
        <v>-</v>
      </c>
      <c r="S525" t="str">
        <f>IFERROR(__xludf.DUMMYFUNCTION("""COMPUTED_VALUE"""),"-")</f>
        <v>-</v>
      </c>
      <c r="T525" t="str">
        <f>IFERROR(__xludf.DUMMYFUNCTION("""COMPUTED_VALUE"""),"-")</f>
        <v>-</v>
      </c>
      <c r="U525" t="str">
        <f>IFERROR(__xludf.DUMMYFUNCTION("""COMPUTED_VALUE"""),"-")</f>
        <v>-</v>
      </c>
      <c r="V525" t="str">
        <f>IFERROR(__xludf.DUMMYFUNCTION("""COMPUTED_VALUE"""),"-")</f>
        <v>-</v>
      </c>
      <c r="W525" t="str">
        <f>IFERROR(__xludf.DUMMYFUNCTION("""COMPUTED_VALUE"""),"-")</f>
        <v>-</v>
      </c>
      <c r="X525" t="str">
        <f>IFERROR(__xludf.DUMMYFUNCTION("""COMPUTED_VALUE"""),"-")</f>
        <v>-</v>
      </c>
      <c r="Y525" t="str">
        <f>IFERROR(__xludf.DUMMYFUNCTION("""COMPUTED_VALUE"""),"-")</f>
        <v>-</v>
      </c>
      <c r="Z525" t="str">
        <f>IFERROR(__xludf.DUMMYFUNCTION("""COMPUTED_VALUE"""),"-")</f>
        <v>-</v>
      </c>
      <c r="AA525" t="str">
        <f>IFERROR(__xludf.DUMMYFUNCTION("""COMPUTED_VALUE"""),"-")</f>
        <v>-</v>
      </c>
    </row>
    <row r="526">
      <c r="A526" t="str">
        <f>IFERROR(__xludf.DUMMYFUNCTION("""COMPUTED_VALUE"""),"#525")</f>
        <v>#525</v>
      </c>
      <c r="B526" t="str">
        <f>IFERROR(__xludf.DUMMYFUNCTION("""COMPUTED_VALUE"""),"Jacques Domergue")</f>
        <v>Jacques Domergue</v>
      </c>
      <c r="C526">
        <f>IFERROR(__xludf.DUMMYFUNCTION("""COMPUTED_VALUE"""),2102.0)</f>
        <v>2102</v>
      </c>
      <c r="D526" t="str">
        <f>IFERROR(__xludf.DUMMYFUNCTION("""COMPUTED_VALUE"""),"-")</f>
        <v>-</v>
      </c>
      <c r="E526" t="str">
        <f>IFERROR(__xludf.DUMMYFUNCTION("""COMPUTED_VALUE"""),"-")</f>
        <v>-</v>
      </c>
      <c r="F526" t="str">
        <f>IFERROR(__xludf.DUMMYFUNCTION("""COMPUTED_VALUE"""),"-")</f>
        <v>-</v>
      </c>
      <c r="G526" t="str">
        <f>IFERROR(__xludf.DUMMYFUNCTION("""COMPUTED_VALUE"""),"-")</f>
        <v>-</v>
      </c>
      <c r="H526" t="str">
        <f>IFERROR(__xludf.DUMMYFUNCTION("""COMPUTED_VALUE"""),"-")</f>
        <v>-</v>
      </c>
      <c r="I526" t="str">
        <f>IFERROR(__xludf.DUMMYFUNCTION("""COMPUTED_VALUE"""),"-")</f>
        <v>-</v>
      </c>
      <c r="J526" t="str">
        <f>IFERROR(__xludf.DUMMYFUNCTION("""COMPUTED_VALUE"""),"-")</f>
        <v>-</v>
      </c>
      <c r="K526" t="str">
        <f>IFERROR(__xludf.DUMMYFUNCTION("""COMPUTED_VALUE"""),"-")</f>
        <v>-</v>
      </c>
      <c r="L526" t="str">
        <f>IFERROR(__xludf.DUMMYFUNCTION("""COMPUTED_VALUE"""),"-")</f>
        <v>-</v>
      </c>
      <c r="M526" t="str">
        <f>IFERROR(__xludf.DUMMYFUNCTION("""COMPUTED_VALUE"""),"-")</f>
        <v>-</v>
      </c>
      <c r="O526" t="str">
        <f>IFERROR(__xludf.DUMMYFUNCTION("""COMPUTED_VALUE"""),"#525")</f>
        <v>#525</v>
      </c>
      <c r="P526" t="str">
        <f>IFERROR(__xludf.DUMMYFUNCTION("""COMPUTED_VALUE"""),"Jacques Domergue")</f>
        <v>Jacques Domergue</v>
      </c>
      <c r="Q526">
        <f>IFERROR(__xludf.DUMMYFUNCTION("""COMPUTED_VALUE"""),2102.0)</f>
        <v>2102</v>
      </c>
      <c r="R526" t="str">
        <f>IFERROR(__xludf.DUMMYFUNCTION("""COMPUTED_VALUE"""),"-")</f>
        <v>-</v>
      </c>
      <c r="S526" t="str">
        <f>IFERROR(__xludf.DUMMYFUNCTION("""COMPUTED_VALUE"""),"-")</f>
        <v>-</v>
      </c>
      <c r="T526" t="str">
        <f>IFERROR(__xludf.DUMMYFUNCTION("""COMPUTED_VALUE"""),"-")</f>
        <v>-</v>
      </c>
      <c r="U526" t="str">
        <f>IFERROR(__xludf.DUMMYFUNCTION("""COMPUTED_VALUE"""),"-")</f>
        <v>-</v>
      </c>
      <c r="V526" t="str">
        <f>IFERROR(__xludf.DUMMYFUNCTION("""COMPUTED_VALUE"""),"-")</f>
        <v>-</v>
      </c>
      <c r="W526" t="str">
        <f>IFERROR(__xludf.DUMMYFUNCTION("""COMPUTED_VALUE"""),"-")</f>
        <v>-</v>
      </c>
      <c r="X526" t="str">
        <f>IFERROR(__xludf.DUMMYFUNCTION("""COMPUTED_VALUE"""),"-")</f>
        <v>-</v>
      </c>
      <c r="Y526" t="str">
        <f>IFERROR(__xludf.DUMMYFUNCTION("""COMPUTED_VALUE"""),"-")</f>
        <v>-</v>
      </c>
      <c r="Z526" t="str">
        <f>IFERROR(__xludf.DUMMYFUNCTION("""COMPUTED_VALUE"""),"-")</f>
        <v>-</v>
      </c>
      <c r="AA526" t="str">
        <f>IFERROR(__xludf.DUMMYFUNCTION("""COMPUTED_VALUE"""),"-")</f>
        <v>-</v>
      </c>
    </row>
    <row r="527">
      <c r="A527" t="str">
        <f>IFERROR(__xludf.DUMMYFUNCTION("""COMPUTED_VALUE"""),"#526")</f>
        <v>#526</v>
      </c>
      <c r="B527" t="str">
        <f>IFERROR(__xludf.DUMMYFUNCTION("""COMPUTED_VALUE"""),"Matthieu Chamussy")</f>
        <v>Matthieu Chamussy</v>
      </c>
      <c r="C527">
        <f>IFERROR(__xludf.DUMMYFUNCTION("""COMPUTED_VALUE"""),2102.0)</f>
        <v>2102</v>
      </c>
      <c r="D527" t="str">
        <f>IFERROR(__xludf.DUMMYFUNCTION("""COMPUTED_VALUE"""),"-")</f>
        <v>-</v>
      </c>
      <c r="E527" t="str">
        <f>IFERROR(__xludf.DUMMYFUNCTION("""COMPUTED_VALUE"""),"-")</f>
        <v>-</v>
      </c>
      <c r="F527" t="str">
        <f>IFERROR(__xludf.DUMMYFUNCTION("""COMPUTED_VALUE"""),"-")</f>
        <v>-</v>
      </c>
      <c r="G527" t="str">
        <f>IFERROR(__xludf.DUMMYFUNCTION("""COMPUTED_VALUE"""),"-")</f>
        <v>-</v>
      </c>
      <c r="H527" t="str">
        <f>IFERROR(__xludf.DUMMYFUNCTION("""COMPUTED_VALUE"""),"-")</f>
        <v>-</v>
      </c>
      <c r="I527" t="str">
        <f>IFERROR(__xludf.DUMMYFUNCTION("""COMPUTED_VALUE"""),"-")</f>
        <v>-</v>
      </c>
      <c r="J527" t="str">
        <f>IFERROR(__xludf.DUMMYFUNCTION("""COMPUTED_VALUE"""),"-")</f>
        <v>-</v>
      </c>
      <c r="K527" t="str">
        <f>IFERROR(__xludf.DUMMYFUNCTION("""COMPUTED_VALUE"""),"-")</f>
        <v>-</v>
      </c>
      <c r="L527" t="str">
        <f>IFERROR(__xludf.DUMMYFUNCTION("""COMPUTED_VALUE"""),"-")</f>
        <v>-</v>
      </c>
      <c r="M527" t="str">
        <f>IFERROR(__xludf.DUMMYFUNCTION("""COMPUTED_VALUE"""),"-")</f>
        <v>-</v>
      </c>
      <c r="O527" t="str">
        <f>IFERROR(__xludf.DUMMYFUNCTION("""COMPUTED_VALUE"""),"#526")</f>
        <v>#526</v>
      </c>
      <c r="P527" t="str">
        <f>IFERROR(__xludf.DUMMYFUNCTION("""COMPUTED_VALUE"""),"Matthieu Chamussy")</f>
        <v>Matthieu Chamussy</v>
      </c>
      <c r="Q527">
        <f>IFERROR(__xludf.DUMMYFUNCTION("""COMPUTED_VALUE"""),2102.0)</f>
        <v>2102</v>
      </c>
      <c r="R527" t="str">
        <f>IFERROR(__xludf.DUMMYFUNCTION("""COMPUTED_VALUE"""),"-")</f>
        <v>-</v>
      </c>
      <c r="S527" t="str">
        <f>IFERROR(__xludf.DUMMYFUNCTION("""COMPUTED_VALUE"""),"-")</f>
        <v>-</v>
      </c>
      <c r="T527" t="str">
        <f>IFERROR(__xludf.DUMMYFUNCTION("""COMPUTED_VALUE"""),"-")</f>
        <v>-</v>
      </c>
      <c r="U527" t="str">
        <f>IFERROR(__xludf.DUMMYFUNCTION("""COMPUTED_VALUE"""),"-")</f>
        <v>-</v>
      </c>
      <c r="V527" t="str">
        <f>IFERROR(__xludf.DUMMYFUNCTION("""COMPUTED_VALUE"""),"-")</f>
        <v>-</v>
      </c>
      <c r="W527" t="str">
        <f>IFERROR(__xludf.DUMMYFUNCTION("""COMPUTED_VALUE"""),"-")</f>
        <v>-</v>
      </c>
      <c r="X527" t="str">
        <f>IFERROR(__xludf.DUMMYFUNCTION("""COMPUTED_VALUE"""),"-")</f>
        <v>-</v>
      </c>
      <c r="Y527" t="str">
        <f>IFERROR(__xludf.DUMMYFUNCTION("""COMPUTED_VALUE"""),"-")</f>
        <v>-</v>
      </c>
      <c r="Z527" t="str">
        <f>IFERROR(__xludf.DUMMYFUNCTION("""COMPUTED_VALUE"""),"-")</f>
        <v>-</v>
      </c>
      <c r="AA527" t="str">
        <f>IFERROR(__xludf.DUMMYFUNCTION("""COMPUTED_VALUE"""),"-")</f>
        <v>-</v>
      </c>
    </row>
    <row r="528">
      <c r="A528" t="str">
        <f>IFERROR(__xludf.DUMMYFUNCTION("""COMPUTED_VALUE"""),"#527")</f>
        <v>#527</v>
      </c>
      <c r="B528" t="str">
        <f>IFERROR(__xludf.DUMMYFUNCTION("""COMPUTED_VALUE"""),"Amin Ben Ali")</f>
        <v>Amin Ben Ali</v>
      </c>
      <c r="C528">
        <f>IFERROR(__xludf.DUMMYFUNCTION("""COMPUTED_VALUE"""),2096.0)</f>
        <v>2096</v>
      </c>
      <c r="D528" t="str">
        <f>IFERROR(__xludf.DUMMYFUNCTION("""COMPUTED_VALUE"""),"-")</f>
        <v>-</v>
      </c>
      <c r="E528" t="str">
        <f>IFERROR(__xludf.DUMMYFUNCTION("""COMPUTED_VALUE"""),"-")</f>
        <v>-</v>
      </c>
      <c r="F528" t="str">
        <f>IFERROR(__xludf.DUMMYFUNCTION("""COMPUTED_VALUE"""),"-")</f>
        <v>-</v>
      </c>
      <c r="G528" t="str">
        <f>IFERROR(__xludf.DUMMYFUNCTION("""COMPUTED_VALUE"""),"-")</f>
        <v>-</v>
      </c>
      <c r="H528" t="str">
        <f>IFERROR(__xludf.DUMMYFUNCTION("""COMPUTED_VALUE"""),"-")</f>
        <v>-</v>
      </c>
      <c r="I528" t="str">
        <f>IFERROR(__xludf.DUMMYFUNCTION("""COMPUTED_VALUE"""),"-")</f>
        <v>-</v>
      </c>
      <c r="J528" t="str">
        <f>IFERROR(__xludf.DUMMYFUNCTION("""COMPUTED_VALUE"""),"-")</f>
        <v>-</v>
      </c>
      <c r="K528" t="str">
        <f>IFERROR(__xludf.DUMMYFUNCTION("""COMPUTED_VALUE"""),"-")</f>
        <v>-</v>
      </c>
      <c r="L528" t="str">
        <f>IFERROR(__xludf.DUMMYFUNCTION("""COMPUTED_VALUE"""),"-")</f>
        <v>-</v>
      </c>
      <c r="M528" t="str">
        <f>IFERROR(__xludf.DUMMYFUNCTION("""COMPUTED_VALUE"""),"-")</f>
        <v>-</v>
      </c>
      <c r="O528" t="str">
        <f>IFERROR(__xludf.DUMMYFUNCTION("""COMPUTED_VALUE"""),"#527")</f>
        <v>#527</v>
      </c>
      <c r="P528" t="str">
        <f>IFERROR(__xludf.DUMMYFUNCTION("""COMPUTED_VALUE"""),"Amin Ben Ali")</f>
        <v>Amin Ben Ali</v>
      </c>
      <c r="Q528">
        <f>IFERROR(__xludf.DUMMYFUNCTION("""COMPUTED_VALUE"""),2096.0)</f>
        <v>2096</v>
      </c>
      <c r="R528" t="str">
        <f>IFERROR(__xludf.DUMMYFUNCTION("""COMPUTED_VALUE"""),"-")</f>
        <v>-</v>
      </c>
      <c r="S528" t="str">
        <f>IFERROR(__xludf.DUMMYFUNCTION("""COMPUTED_VALUE"""),"-")</f>
        <v>-</v>
      </c>
      <c r="T528" t="str">
        <f>IFERROR(__xludf.DUMMYFUNCTION("""COMPUTED_VALUE"""),"-")</f>
        <v>-</v>
      </c>
      <c r="U528" t="str">
        <f>IFERROR(__xludf.DUMMYFUNCTION("""COMPUTED_VALUE"""),"-")</f>
        <v>-</v>
      </c>
      <c r="V528" t="str">
        <f>IFERROR(__xludf.DUMMYFUNCTION("""COMPUTED_VALUE"""),"-")</f>
        <v>-</v>
      </c>
      <c r="W528" t="str">
        <f>IFERROR(__xludf.DUMMYFUNCTION("""COMPUTED_VALUE"""),"-")</f>
        <v>-</v>
      </c>
      <c r="X528" t="str">
        <f>IFERROR(__xludf.DUMMYFUNCTION("""COMPUTED_VALUE"""),"-")</f>
        <v>-</v>
      </c>
      <c r="Y528" t="str">
        <f>IFERROR(__xludf.DUMMYFUNCTION("""COMPUTED_VALUE"""),"-")</f>
        <v>-</v>
      </c>
      <c r="Z528" t="str">
        <f>IFERROR(__xludf.DUMMYFUNCTION("""COMPUTED_VALUE"""),"-")</f>
        <v>-</v>
      </c>
      <c r="AA528" t="str">
        <f>IFERROR(__xludf.DUMMYFUNCTION("""COMPUTED_VALUE"""),"-")</f>
        <v>-</v>
      </c>
    </row>
    <row r="529">
      <c r="A529" t="str">
        <f>IFERROR(__xludf.DUMMYFUNCTION("""COMPUTED_VALUE"""),"#528")</f>
        <v>#528</v>
      </c>
      <c r="B529" t="str">
        <f>IFERROR(__xludf.DUMMYFUNCTION("""COMPUTED_VALUE"""),"Astrid Baud Roche")</f>
        <v>Astrid Baud Roche</v>
      </c>
      <c r="C529">
        <f>IFERROR(__xludf.DUMMYFUNCTION("""COMPUTED_VALUE"""),2069.0)</f>
        <v>2069</v>
      </c>
      <c r="D529" t="str">
        <f>IFERROR(__xludf.DUMMYFUNCTION("""COMPUTED_VALUE"""),"-")</f>
        <v>-</v>
      </c>
      <c r="E529" t="str">
        <f>IFERROR(__xludf.DUMMYFUNCTION("""COMPUTED_VALUE"""),"-")</f>
        <v>-</v>
      </c>
      <c r="F529" t="str">
        <f>IFERROR(__xludf.DUMMYFUNCTION("""COMPUTED_VALUE"""),"-")</f>
        <v>-</v>
      </c>
      <c r="G529" t="str">
        <f>IFERROR(__xludf.DUMMYFUNCTION("""COMPUTED_VALUE"""),"-")</f>
        <v>-</v>
      </c>
      <c r="H529" t="str">
        <f>IFERROR(__xludf.DUMMYFUNCTION("""COMPUTED_VALUE"""),"-")</f>
        <v>-</v>
      </c>
      <c r="I529" t="str">
        <f>IFERROR(__xludf.DUMMYFUNCTION("""COMPUTED_VALUE"""),"-")</f>
        <v>-</v>
      </c>
      <c r="J529" t="str">
        <f>IFERROR(__xludf.DUMMYFUNCTION("""COMPUTED_VALUE"""),"-")</f>
        <v>-</v>
      </c>
      <c r="K529" t="str">
        <f>IFERROR(__xludf.DUMMYFUNCTION("""COMPUTED_VALUE"""),"-")</f>
        <v>-</v>
      </c>
      <c r="L529" t="str">
        <f>IFERROR(__xludf.DUMMYFUNCTION("""COMPUTED_VALUE"""),"-")</f>
        <v>-</v>
      </c>
      <c r="M529" t="str">
        <f>IFERROR(__xludf.DUMMYFUNCTION("""COMPUTED_VALUE"""),"-")</f>
        <v>-</v>
      </c>
      <c r="O529" t="str">
        <f>IFERROR(__xludf.DUMMYFUNCTION("""COMPUTED_VALUE"""),"#528")</f>
        <v>#528</v>
      </c>
      <c r="P529" t="str">
        <f>IFERROR(__xludf.DUMMYFUNCTION("""COMPUTED_VALUE"""),"Astrid Baud Roche")</f>
        <v>Astrid Baud Roche</v>
      </c>
      <c r="Q529">
        <f>IFERROR(__xludf.DUMMYFUNCTION("""COMPUTED_VALUE"""),2069.0)</f>
        <v>2069</v>
      </c>
      <c r="R529" t="str">
        <f>IFERROR(__xludf.DUMMYFUNCTION("""COMPUTED_VALUE"""),"-")</f>
        <v>-</v>
      </c>
      <c r="S529" t="str">
        <f>IFERROR(__xludf.DUMMYFUNCTION("""COMPUTED_VALUE"""),"-")</f>
        <v>-</v>
      </c>
      <c r="T529" t="str">
        <f>IFERROR(__xludf.DUMMYFUNCTION("""COMPUTED_VALUE"""),"-")</f>
        <v>-</v>
      </c>
      <c r="U529" t="str">
        <f>IFERROR(__xludf.DUMMYFUNCTION("""COMPUTED_VALUE"""),"-")</f>
        <v>-</v>
      </c>
      <c r="V529" t="str">
        <f>IFERROR(__xludf.DUMMYFUNCTION("""COMPUTED_VALUE"""),"-")</f>
        <v>-</v>
      </c>
      <c r="W529" t="str">
        <f>IFERROR(__xludf.DUMMYFUNCTION("""COMPUTED_VALUE"""),"-")</f>
        <v>-</v>
      </c>
      <c r="X529" t="str">
        <f>IFERROR(__xludf.DUMMYFUNCTION("""COMPUTED_VALUE"""),"-")</f>
        <v>-</v>
      </c>
      <c r="Y529" t="str">
        <f>IFERROR(__xludf.DUMMYFUNCTION("""COMPUTED_VALUE"""),"-")</f>
        <v>-</v>
      </c>
      <c r="Z529" t="str">
        <f>IFERROR(__xludf.DUMMYFUNCTION("""COMPUTED_VALUE"""),"-")</f>
        <v>-</v>
      </c>
      <c r="AA529" t="str">
        <f>IFERROR(__xludf.DUMMYFUNCTION("""COMPUTED_VALUE"""),"-")</f>
        <v>-</v>
      </c>
    </row>
    <row r="530">
      <c r="A530" t="str">
        <f>IFERROR(__xludf.DUMMYFUNCTION("""COMPUTED_VALUE"""),"#529")</f>
        <v>#529</v>
      </c>
      <c r="B530" t="str">
        <f>IFERROR(__xludf.DUMMYFUNCTION("""COMPUTED_VALUE"""),"Jean-Marie Tetart")</f>
        <v>Jean-Marie Tetart</v>
      </c>
      <c r="C530">
        <f>IFERROR(__xludf.DUMMYFUNCTION("""COMPUTED_VALUE"""),2062.0)</f>
        <v>2062</v>
      </c>
      <c r="D530" t="str">
        <f>IFERROR(__xludf.DUMMYFUNCTION("""COMPUTED_VALUE"""),"-")</f>
        <v>-</v>
      </c>
      <c r="E530" t="str">
        <f>IFERROR(__xludf.DUMMYFUNCTION("""COMPUTED_VALUE"""),"-")</f>
        <v>-</v>
      </c>
      <c r="F530" t="str">
        <f>IFERROR(__xludf.DUMMYFUNCTION("""COMPUTED_VALUE"""),"-")</f>
        <v>-</v>
      </c>
      <c r="G530" t="str">
        <f>IFERROR(__xludf.DUMMYFUNCTION("""COMPUTED_VALUE"""),"-")</f>
        <v>-</v>
      </c>
      <c r="H530" t="str">
        <f>IFERROR(__xludf.DUMMYFUNCTION("""COMPUTED_VALUE"""),"-")</f>
        <v>-</v>
      </c>
      <c r="I530" t="str">
        <f>IFERROR(__xludf.DUMMYFUNCTION("""COMPUTED_VALUE"""),"-")</f>
        <v>-</v>
      </c>
      <c r="J530" t="str">
        <f>IFERROR(__xludf.DUMMYFUNCTION("""COMPUTED_VALUE"""),"-")</f>
        <v>-</v>
      </c>
      <c r="K530" t="str">
        <f>IFERROR(__xludf.DUMMYFUNCTION("""COMPUTED_VALUE"""),"-")</f>
        <v>-</v>
      </c>
      <c r="L530" t="str">
        <f>IFERROR(__xludf.DUMMYFUNCTION("""COMPUTED_VALUE"""),"-")</f>
        <v>-</v>
      </c>
      <c r="M530" t="str">
        <f>IFERROR(__xludf.DUMMYFUNCTION("""COMPUTED_VALUE"""),"-")</f>
        <v>-</v>
      </c>
      <c r="O530" t="str">
        <f>IFERROR(__xludf.DUMMYFUNCTION("""COMPUTED_VALUE"""),"#529")</f>
        <v>#529</v>
      </c>
      <c r="P530" t="str">
        <f>IFERROR(__xludf.DUMMYFUNCTION("""COMPUTED_VALUE"""),"Jean-Marie Tetart")</f>
        <v>Jean-Marie Tetart</v>
      </c>
      <c r="Q530">
        <f>IFERROR(__xludf.DUMMYFUNCTION("""COMPUTED_VALUE"""),2062.0)</f>
        <v>2062</v>
      </c>
      <c r="R530" t="str">
        <f>IFERROR(__xludf.DUMMYFUNCTION("""COMPUTED_VALUE"""),"-")</f>
        <v>-</v>
      </c>
      <c r="S530" t="str">
        <f>IFERROR(__xludf.DUMMYFUNCTION("""COMPUTED_VALUE"""),"-")</f>
        <v>-</v>
      </c>
      <c r="T530" t="str">
        <f>IFERROR(__xludf.DUMMYFUNCTION("""COMPUTED_VALUE"""),"-")</f>
        <v>-</v>
      </c>
      <c r="U530" t="str">
        <f>IFERROR(__xludf.DUMMYFUNCTION("""COMPUTED_VALUE"""),"-")</f>
        <v>-</v>
      </c>
      <c r="V530" t="str">
        <f>IFERROR(__xludf.DUMMYFUNCTION("""COMPUTED_VALUE"""),"-")</f>
        <v>-</v>
      </c>
      <c r="W530" t="str">
        <f>IFERROR(__xludf.DUMMYFUNCTION("""COMPUTED_VALUE"""),"-")</f>
        <v>-</v>
      </c>
      <c r="X530" t="str">
        <f>IFERROR(__xludf.DUMMYFUNCTION("""COMPUTED_VALUE"""),"-")</f>
        <v>-</v>
      </c>
      <c r="Y530" t="str">
        <f>IFERROR(__xludf.DUMMYFUNCTION("""COMPUTED_VALUE"""),"-")</f>
        <v>-</v>
      </c>
      <c r="Z530" t="str">
        <f>IFERROR(__xludf.DUMMYFUNCTION("""COMPUTED_VALUE"""),"-")</f>
        <v>-</v>
      </c>
      <c r="AA530" t="str">
        <f>IFERROR(__xludf.DUMMYFUNCTION("""COMPUTED_VALUE"""),"-")</f>
        <v>-</v>
      </c>
    </row>
    <row r="531">
      <c r="A531" t="str">
        <f>IFERROR(__xludf.DUMMYFUNCTION("""COMPUTED_VALUE"""),"#530")</f>
        <v>#530</v>
      </c>
      <c r="B531" t="str">
        <f>IFERROR(__xludf.DUMMYFUNCTION("""COMPUTED_VALUE"""),"Yannick Villardier")</f>
        <v>Yannick Villardier</v>
      </c>
      <c r="C531">
        <f>IFERROR(__xludf.DUMMYFUNCTION("""COMPUTED_VALUE"""),2057.0)</f>
        <v>2057</v>
      </c>
      <c r="D531" t="str">
        <f>IFERROR(__xludf.DUMMYFUNCTION("""COMPUTED_VALUE"""),"-")</f>
        <v>-</v>
      </c>
      <c r="E531" t="str">
        <f>IFERROR(__xludf.DUMMYFUNCTION("""COMPUTED_VALUE"""),"-")</f>
        <v>-</v>
      </c>
      <c r="F531" t="str">
        <f>IFERROR(__xludf.DUMMYFUNCTION("""COMPUTED_VALUE"""),"-")</f>
        <v>-</v>
      </c>
      <c r="G531" t="str">
        <f>IFERROR(__xludf.DUMMYFUNCTION("""COMPUTED_VALUE"""),"-")</f>
        <v>-</v>
      </c>
      <c r="H531" t="str">
        <f>IFERROR(__xludf.DUMMYFUNCTION("""COMPUTED_VALUE"""),"-")</f>
        <v>-</v>
      </c>
      <c r="I531" t="str">
        <f>IFERROR(__xludf.DUMMYFUNCTION("""COMPUTED_VALUE"""),"-")</f>
        <v>-</v>
      </c>
      <c r="J531" t="str">
        <f>IFERROR(__xludf.DUMMYFUNCTION("""COMPUTED_VALUE"""),"-")</f>
        <v>-</v>
      </c>
      <c r="K531" t="str">
        <f>IFERROR(__xludf.DUMMYFUNCTION("""COMPUTED_VALUE"""),"-")</f>
        <v>-</v>
      </c>
      <c r="L531" t="str">
        <f>IFERROR(__xludf.DUMMYFUNCTION("""COMPUTED_VALUE"""),"-")</f>
        <v>-</v>
      </c>
      <c r="M531" t="str">
        <f>IFERROR(__xludf.DUMMYFUNCTION("""COMPUTED_VALUE"""),"-")</f>
        <v>-</v>
      </c>
      <c r="O531" t="str">
        <f>IFERROR(__xludf.DUMMYFUNCTION("""COMPUTED_VALUE"""),"#530")</f>
        <v>#530</v>
      </c>
      <c r="P531" t="str">
        <f>IFERROR(__xludf.DUMMYFUNCTION("""COMPUTED_VALUE"""),"Yannick Villardier")</f>
        <v>Yannick Villardier</v>
      </c>
      <c r="Q531">
        <f>IFERROR(__xludf.DUMMYFUNCTION("""COMPUTED_VALUE"""),2057.0)</f>
        <v>2057</v>
      </c>
      <c r="R531" t="str">
        <f>IFERROR(__xludf.DUMMYFUNCTION("""COMPUTED_VALUE"""),"-")</f>
        <v>-</v>
      </c>
      <c r="S531" t="str">
        <f>IFERROR(__xludf.DUMMYFUNCTION("""COMPUTED_VALUE"""),"-")</f>
        <v>-</v>
      </c>
      <c r="T531" t="str">
        <f>IFERROR(__xludf.DUMMYFUNCTION("""COMPUTED_VALUE"""),"-")</f>
        <v>-</v>
      </c>
      <c r="U531" t="str">
        <f>IFERROR(__xludf.DUMMYFUNCTION("""COMPUTED_VALUE"""),"-")</f>
        <v>-</v>
      </c>
      <c r="V531" t="str">
        <f>IFERROR(__xludf.DUMMYFUNCTION("""COMPUTED_VALUE"""),"-")</f>
        <v>-</v>
      </c>
      <c r="W531" t="str">
        <f>IFERROR(__xludf.DUMMYFUNCTION("""COMPUTED_VALUE"""),"-")</f>
        <v>-</v>
      </c>
      <c r="X531" t="str">
        <f>IFERROR(__xludf.DUMMYFUNCTION("""COMPUTED_VALUE"""),"-")</f>
        <v>-</v>
      </c>
      <c r="Y531" t="str">
        <f>IFERROR(__xludf.DUMMYFUNCTION("""COMPUTED_VALUE"""),"-")</f>
        <v>-</v>
      </c>
      <c r="Z531" t="str">
        <f>IFERROR(__xludf.DUMMYFUNCTION("""COMPUTED_VALUE"""),"-")</f>
        <v>-</v>
      </c>
      <c r="AA531" t="str">
        <f>IFERROR(__xludf.DUMMYFUNCTION("""COMPUTED_VALUE"""),"-")</f>
        <v>-</v>
      </c>
    </row>
    <row r="532">
      <c r="A532" t="str">
        <f>IFERROR(__xludf.DUMMYFUNCTION("""COMPUTED_VALUE"""),"#531")</f>
        <v>#531</v>
      </c>
      <c r="B532" t="str">
        <f>IFERROR(__xludf.DUMMYFUNCTION("""COMPUTED_VALUE"""),"Marie-Christine Blandin")</f>
        <v>Marie-Christine Blandin</v>
      </c>
      <c r="C532">
        <f>IFERROR(__xludf.DUMMYFUNCTION("""COMPUTED_VALUE"""),2039.0)</f>
        <v>2039</v>
      </c>
      <c r="D532" t="str">
        <f>IFERROR(__xludf.DUMMYFUNCTION("""COMPUTED_VALUE"""),"-")</f>
        <v>-</v>
      </c>
      <c r="E532" t="str">
        <f>IFERROR(__xludf.DUMMYFUNCTION("""COMPUTED_VALUE"""),"-")</f>
        <v>-</v>
      </c>
      <c r="F532" t="str">
        <f>IFERROR(__xludf.DUMMYFUNCTION("""COMPUTED_VALUE"""),"-")</f>
        <v>-</v>
      </c>
      <c r="G532" t="str">
        <f>IFERROR(__xludf.DUMMYFUNCTION("""COMPUTED_VALUE"""),"-")</f>
        <v>-</v>
      </c>
      <c r="H532" t="str">
        <f>IFERROR(__xludf.DUMMYFUNCTION("""COMPUTED_VALUE"""),"-")</f>
        <v>-</v>
      </c>
      <c r="I532" t="str">
        <f>IFERROR(__xludf.DUMMYFUNCTION("""COMPUTED_VALUE"""),"-")</f>
        <v>-</v>
      </c>
      <c r="J532" t="str">
        <f>IFERROR(__xludf.DUMMYFUNCTION("""COMPUTED_VALUE"""),"-")</f>
        <v>-</v>
      </c>
      <c r="K532" t="str">
        <f>IFERROR(__xludf.DUMMYFUNCTION("""COMPUTED_VALUE"""),"-")</f>
        <v>-</v>
      </c>
      <c r="L532" t="str">
        <f>IFERROR(__xludf.DUMMYFUNCTION("""COMPUTED_VALUE"""),"-")</f>
        <v>-</v>
      </c>
      <c r="M532" t="str">
        <f>IFERROR(__xludf.DUMMYFUNCTION("""COMPUTED_VALUE"""),"-")</f>
        <v>-</v>
      </c>
      <c r="O532" t="str">
        <f>IFERROR(__xludf.DUMMYFUNCTION("""COMPUTED_VALUE"""),"#531")</f>
        <v>#531</v>
      </c>
      <c r="P532" t="str">
        <f>IFERROR(__xludf.DUMMYFUNCTION("""COMPUTED_VALUE"""),"Marie-Christine Blandin")</f>
        <v>Marie-Christine Blandin</v>
      </c>
      <c r="Q532">
        <f>IFERROR(__xludf.DUMMYFUNCTION("""COMPUTED_VALUE"""),2039.0)</f>
        <v>2039</v>
      </c>
      <c r="R532" t="str">
        <f>IFERROR(__xludf.DUMMYFUNCTION("""COMPUTED_VALUE"""),"-")</f>
        <v>-</v>
      </c>
      <c r="S532" t="str">
        <f>IFERROR(__xludf.DUMMYFUNCTION("""COMPUTED_VALUE"""),"-")</f>
        <v>-</v>
      </c>
      <c r="T532" t="str">
        <f>IFERROR(__xludf.DUMMYFUNCTION("""COMPUTED_VALUE"""),"-")</f>
        <v>-</v>
      </c>
      <c r="U532" t="str">
        <f>IFERROR(__xludf.DUMMYFUNCTION("""COMPUTED_VALUE"""),"-")</f>
        <v>-</v>
      </c>
      <c r="V532" t="str">
        <f>IFERROR(__xludf.DUMMYFUNCTION("""COMPUTED_VALUE"""),"-")</f>
        <v>-</v>
      </c>
      <c r="W532" t="str">
        <f>IFERROR(__xludf.DUMMYFUNCTION("""COMPUTED_VALUE"""),"-")</f>
        <v>-</v>
      </c>
      <c r="X532" t="str">
        <f>IFERROR(__xludf.DUMMYFUNCTION("""COMPUTED_VALUE"""),"-")</f>
        <v>-</v>
      </c>
      <c r="Y532" t="str">
        <f>IFERROR(__xludf.DUMMYFUNCTION("""COMPUTED_VALUE"""),"-")</f>
        <v>-</v>
      </c>
      <c r="Z532" t="str">
        <f>IFERROR(__xludf.DUMMYFUNCTION("""COMPUTED_VALUE"""),"-")</f>
        <v>-</v>
      </c>
      <c r="AA532" t="str">
        <f>IFERROR(__xludf.DUMMYFUNCTION("""COMPUTED_VALUE"""),"-")</f>
        <v>-</v>
      </c>
    </row>
    <row r="533">
      <c r="A533" t="str">
        <f>IFERROR(__xludf.DUMMYFUNCTION("""COMPUTED_VALUE"""),"#532")</f>
        <v>#532</v>
      </c>
      <c r="B533" t="str">
        <f>IFERROR(__xludf.DUMMYFUNCTION("""COMPUTED_VALUE"""),"Annie Le Houérou")</f>
        <v>Annie Le Houérou</v>
      </c>
      <c r="C533">
        <f>IFERROR(__xludf.DUMMYFUNCTION("""COMPUTED_VALUE"""),1954.0)</f>
        <v>1954</v>
      </c>
      <c r="D533" t="str">
        <f>IFERROR(__xludf.DUMMYFUNCTION("""COMPUTED_VALUE"""),"-")</f>
        <v>-</v>
      </c>
      <c r="E533" t="str">
        <f>IFERROR(__xludf.DUMMYFUNCTION("""COMPUTED_VALUE"""),"-")</f>
        <v>-</v>
      </c>
      <c r="F533" t="str">
        <f>IFERROR(__xludf.DUMMYFUNCTION("""COMPUTED_VALUE"""),"-")</f>
        <v>-</v>
      </c>
      <c r="G533" t="str">
        <f>IFERROR(__xludf.DUMMYFUNCTION("""COMPUTED_VALUE"""),"-")</f>
        <v>-</v>
      </c>
      <c r="H533" t="str">
        <f>IFERROR(__xludf.DUMMYFUNCTION("""COMPUTED_VALUE"""),"-")</f>
        <v>-</v>
      </c>
      <c r="I533" t="str">
        <f>IFERROR(__xludf.DUMMYFUNCTION("""COMPUTED_VALUE"""),"-")</f>
        <v>-</v>
      </c>
      <c r="J533" t="str">
        <f>IFERROR(__xludf.DUMMYFUNCTION("""COMPUTED_VALUE"""),"-")</f>
        <v>-</v>
      </c>
      <c r="K533" t="str">
        <f>IFERROR(__xludf.DUMMYFUNCTION("""COMPUTED_VALUE"""),"-")</f>
        <v>-</v>
      </c>
      <c r="L533" t="str">
        <f>IFERROR(__xludf.DUMMYFUNCTION("""COMPUTED_VALUE"""),"-")</f>
        <v>-</v>
      </c>
      <c r="M533" t="str">
        <f>IFERROR(__xludf.DUMMYFUNCTION("""COMPUTED_VALUE"""),"-")</f>
        <v>-</v>
      </c>
      <c r="O533" t="str">
        <f>IFERROR(__xludf.DUMMYFUNCTION("""COMPUTED_VALUE"""),"#532")</f>
        <v>#532</v>
      </c>
      <c r="P533" t="str">
        <f>IFERROR(__xludf.DUMMYFUNCTION("""COMPUTED_VALUE"""),"Annie Le Houérou")</f>
        <v>Annie Le Houérou</v>
      </c>
      <c r="Q533">
        <f>IFERROR(__xludf.DUMMYFUNCTION("""COMPUTED_VALUE"""),1954.0)</f>
        <v>1954</v>
      </c>
      <c r="R533" t="str">
        <f>IFERROR(__xludf.DUMMYFUNCTION("""COMPUTED_VALUE"""),"-")</f>
        <v>-</v>
      </c>
      <c r="S533" t="str">
        <f>IFERROR(__xludf.DUMMYFUNCTION("""COMPUTED_VALUE"""),"-")</f>
        <v>-</v>
      </c>
      <c r="T533" t="str">
        <f>IFERROR(__xludf.DUMMYFUNCTION("""COMPUTED_VALUE"""),"-")</f>
        <v>-</v>
      </c>
      <c r="U533" t="str">
        <f>IFERROR(__xludf.DUMMYFUNCTION("""COMPUTED_VALUE"""),"-")</f>
        <v>-</v>
      </c>
      <c r="V533" t="str">
        <f>IFERROR(__xludf.DUMMYFUNCTION("""COMPUTED_VALUE"""),"-")</f>
        <v>-</v>
      </c>
      <c r="W533" t="str">
        <f>IFERROR(__xludf.DUMMYFUNCTION("""COMPUTED_VALUE"""),"-")</f>
        <v>-</v>
      </c>
      <c r="X533" t="str">
        <f>IFERROR(__xludf.DUMMYFUNCTION("""COMPUTED_VALUE"""),"-")</f>
        <v>-</v>
      </c>
      <c r="Y533" t="str">
        <f>IFERROR(__xludf.DUMMYFUNCTION("""COMPUTED_VALUE"""),"-")</f>
        <v>-</v>
      </c>
      <c r="Z533" t="str">
        <f>IFERROR(__xludf.DUMMYFUNCTION("""COMPUTED_VALUE"""),"-")</f>
        <v>-</v>
      </c>
      <c r="AA533" t="str">
        <f>IFERROR(__xludf.DUMMYFUNCTION("""COMPUTED_VALUE"""),"-")</f>
        <v>-</v>
      </c>
    </row>
    <row r="534">
      <c r="A534" t="str">
        <f>IFERROR(__xludf.DUMMYFUNCTION("""COMPUTED_VALUE"""),"#533")</f>
        <v>#533</v>
      </c>
      <c r="B534" t="str">
        <f>IFERROR(__xludf.DUMMYFUNCTION("""COMPUTED_VALUE"""),"Marie-Christine Parolin")</f>
        <v>Marie-Christine Parolin</v>
      </c>
      <c r="C534">
        <f>IFERROR(__xludf.DUMMYFUNCTION("""COMPUTED_VALUE"""),1923.0)</f>
        <v>1923</v>
      </c>
      <c r="D534" t="str">
        <f>IFERROR(__xludf.DUMMYFUNCTION("""COMPUTED_VALUE"""),"-")</f>
        <v>-</v>
      </c>
      <c r="E534" t="str">
        <f>IFERROR(__xludf.DUMMYFUNCTION("""COMPUTED_VALUE"""),"-")</f>
        <v>-</v>
      </c>
      <c r="F534" t="str">
        <f>IFERROR(__xludf.DUMMYFUNCTION("""COMPUTED_VALUE"""),"-")</f>
        <v>-</v>
      </c>
      <c r="G534" t="str">
        <f>IFERROR(__xludf.DUMMYFUNCTION("""COMPUTED_VALUE"""),"-")</f>
        <v>-</v>
      </c>
      <c r="H534" t="str">
        <f>IFERROR(__xludf.DUMMYFUNCTION("""COMPUTED_VALUE"""),"-")</f>
        <v>-</v>
      </c>
      <c r="I534" t="str">
        <f>IFERROR(__xludf.DUMMYFUNCTION("""COMPUTED_VALUE"""),"-")</f>
        <v>-</v>
      </c>
      <c r="J534" t="str">
        <f>IFERROR(__xludf.DUMMYFUNCTION("""COMPUTED_VALUE"""),"-")</f>
        <v>-</v>
      </c>
      <c r="K534" t="str">
        <f>IFERROR(__xludf.DUMMYFUNCTION("""COMPUTED_VALUE"""),"-")</f>
        <v>-</v>
      </c>
      <c r="L534" t="str">
        <f>IFERROR(__xludf.DUMMYFUNCTION("""COMPUTED_VALUE"""),"-")</f>
        <v>-</v>
      </c>
      <c r="M534" t="str">
        <f>IFERROR(__xludf.DUMMYFUNCTION("""COMPUTED_VALUE"""),"-")</f>
        <v>-</v>
      </c>
      <c r="O534" t="str">
        <f>IFERROR(__xludf.DUMMYFUNCTION("""COMPUTED_VALUE"""),"#533")</f>
        <v>#533</v>
      </c>
      <c r="P534" t="str">
        <f>IFERROR(__xludf.DUMMYFUNCTION("""COMPUTED_VALUE"""),"Marie-Christine Parolin")</f>
        <v>Marie-Christine Parolin</v>
      </c>
      <c r="Q534">
        <f>IFERROR(__xludf.DUMMYFUNCTION("""COMPUTED_VALUE"""),1923.0)</f>
        <v>1923</v>
      </c>
      <c r="R534" t="str">
        <f>IFERROR(__xludf.DUMMYFUNCTION("""COMPUTED_VALUE"""),"-")</f>
        <v>-</v>
      </c>
      <c r="S534" t="str">
        <f>IFERROR(__xludf.DUMMYFUNCTION("""COMPUTED_VALUE"""),"-")</f>
        <v>-</v>
      </c>
      <c r="T534" t="str">
        <f>IFERROR(__xludf.DUMMYFUNCTION("""COMPUTED_VALUE"""),"-")</f>
        <v>-</v>
      </c>
      <c r="U534" t="str">
        <f>IFERROR(__xludf.DUMMYFUNCTION("""COMPUTED_VALUE"""),"-")</f>
        <v>-</v>
      </c>
      <c r="V534" t="str">
        <f>IFERROR(__xludf.DUMMYFUNCTION("""COMPUTED_VALUE"""),"-")</f>
        <v>-</v>
      </c>
      <c r="W534" t="str">
        <f>IFERROR(__xludf.DUMMYFUNCTION("""COMPUTED_VALUE"""),"-")</f>
        <v>-</v>
      </c>
      <c r="X534" t="str">
        <f>IFERROR(__xludf.DUMMYFUNCTION("""COMPUTED_VALUE"""),"-")</f>
        <v>-</v>
      </c>
      <c r="Y534" t="str">
        <f>IFERROR(__xludf.DUMMYFUNCTION("""COMPUTED_VALUE"""),"-")</f>
        <v>-</v>
      </c>
      <c r="Z534" t="str">
        <f>IFERROR(__xludf.DUMMYFUNCTION("""COMPUTED_VALUE"""),"-")</f>
        <v>-</v>
      </c>
      <c r="AA534" t="str">
        <f>IFERROR(__xludf.DUMMYFUNCTION("""COMPUTED_VALUE"""),"-")</f>
        <v>-</v>
      </c>
    </row>
    <row r="535">
      <c r="A535" t="str">
        <f>IFERROR(__xludf.DUMMYFUNCTION("""COMPUTED_VALUE"""),"#534")</f>
        <v>#534</v>
      </c>
      <c r="B535" t="str">
        <f>IFERROR(__xludf.DUMMYFUNCTION("""COMPUTED_VALUE"""),"Salah Amokrane")</f>
        <v>Salah Amokrane</v>
      </c>
      <c r="C535">
        <f>IFERROR(__xludf.DUMMYFUNCTION("""COMPUTED_VALUE"""),1857.0)</f>
        <v>1857</v>
      </c>
      <c r="D535" t="str">
        <f>IFERROR(__xludf.DUMMYFUNCTION("""COMPUTED_VALUE"""),"-")</f>
        <v>-</v>
      </c>
      <c r="E535" t="str">
        <f>IFERROR(__xludf.DUMMYFUNCTION("""COMPUTED_VALUE"""),"-")</f>
        <v>-</v>
      </c>
      <c r="F535" t="str">
        <f>IFERROR(__xludf.DUMMYFUNCTION("""COMPUTED_VALUE"""),"-")</f>
        <v>-</v>
      </c>
      <c r="G535" t="str">
        <f>IFERROR(__xludf.DUMMYFUNCTION("""COMPUTED_VALUE"""),"-")</f>
        <v>-</v>
      </c>
      <c r="H535" t="str">
        <f>IFERROR(__xludf.DUMMYFUNCTION("""COMPUTED_VALUE"""),"-")</f>
        <v>-</v>
      </c>
      <c r="I535" t="str">
        <f>IFERROR(__xludf.DUMMYFUNCTION("""COMPUTED_VALUE"""),"-")</f>
        <v>-</v>
      </c>
      <c r="J535" t="str">
        <f>IFERROR(__xludf.DUMMYFUNCTION("""COMPUTED_VALUE"""),"-")</f>
        <v>-</v>
      </c>
      <c r="K535" t="str">
        <f>IFERROR(__xludf.DUMMYFUNCTION("""COMPUTED_VALUE"""),"-")</f>
        <v>-</v>
      </c>
      <c r="L535" t="str">
        <f>IFERROR(__xludf.DUMMYFUNCTION("""COMPUTED_VALUE"""),"-")</f>
        <v>-</v>
      </c>
      <c r="M535" t="str">
        <f>IFERROR(__xludf.DUMMYFUNCTION("""COMPUTED_VALUE"""),"-")</f>
        <v>-</v>
      </c>
      <c r="O535" t="str">
        <f>IFERROR(__xludf.DUMMYFUNCTION("""COMPUTED_VALUE"""),"#534")</f>
        <v>#534</v>
      </c>
      <c r="P535" t="str">
        <f>IFERROR(__xludf.DUMMYFUNCTION("""COMPUTED_VALUE"""),"Salah Amokrane")</f>
        <v>Salah Amokrane</v>
      </c>
      <c r="Q535">
        <f>IFERROR(__xludf.DUMMYFUNCTION("""COMPUTED_VALUE"""),1857.0)</f>
        <v>1857</v>
      </c>
      <c r="R535" t="str">
        <f>IFERROR(__xludf.DUMMYFUNCTION("""COMPUTED_VALUE"""),"-")</f>
        <v>-</v>
      </c>
      <c r="S535" t="str">
        <f>IFERROR(__xludf.DUMMYFUNCTION("""COMPUTED_VALUE"""),"-")</f>
        <v>-</v>
      </c>
      <c r="T535" t="str">
        <f>IFERROR(__xludf.DUMMYFUNCTION("""COMPUTED_VALUE"""),"-")</f>
        <v>-</v>
      </c>
      <c r="U535" t="str">
        <f>IFERROR(__xludf.DUMMYFUNCTION("""COMPUTED_VALUE"""),"-")</f>
        <v>-</v>
      </c>
      <c r="V535" t="str">
        <f>IFERROR(__xludf.DUMMYFUNCTION("""COMPUTED_VALUE"""),"-")</f>
        <v>-</v>
      </c>
      <c r="W535" t="str">
        <f>IFERROR(__xludf.DUMMYFUNCTION("""COMPUTED_VALUE"""),"-")</f>
        <v>-</v>
      </c>
      <c r="X535" t="str">
        <f>IFERROR(__xludf.DUMMYFUNCTION("""COMPUTED_VALUE"""),"-")</f>
        <v>-</v>
      </c>
      <c r="Y535" t="str">
        <f>IFERROR(__xludf.DUMMYFUNCTION("""COMPUTED_VALUE"""),"-")</f>
        <v>-</v>
      </c>
      <c r="Z535" t="str">
        <f>IFERROR(__xludf.DUMMYFUNCTION("""COMPUTED_VALUE"""),"-")</f>
        <v>-</v>
      </c>
      <c r="AA535" t="str">
        <f>IFERROR(__xludf.DUMMYFUNCTION("""COMPUTED_VALUE"""),"-")</f>
        <v>-</v>
      </c>
    </row>
    <row r="536">
      <c r="A536" t="str">
        <f>IFERROR(__xludf.DUMMYFUNCTION("""COMPUTED_VALUE"""),"#535")</f>
        <v>#535</v>
      </c>
      <c r="B536" t="str">
        <f>IFERROR(__xludf.DUMMYFUNCTION("""COMPUTED_VALUE"""),"Muriel Burgaz")</f>
        <v>Muriel Burgaz</v>
      </c>
      <c r="C536">
        <f>IFERROR(__xludf.DUMMYFUNCTION("""COMPUTED_VALUE"""),1770.0)</f>
        <v>1770</v>
      </c>
      <c r="D536" t="str">
        <f>IFERROR(__xludf.DUMMYFUNCTION("""COMPUTED_VALUE"""),"-")</f>
        <v>-</v>
      </c>
      <c r="E536" t="str">
        <f>IFERROR(__xludf.DUMMYFUNCTION("""COMPUTED_VALUE"""),"-")</f>
        <v>-</v>
      </c>
      <c r="F536" t="str">
        <f>IFERROR(__xludf.DUMMYFUNCTION("""COMPUTED_VALUE"""),"-")</f>
        <v>-</v>
      </c>
      <c r="G536" t="str">
        <f>IFERROR(__xludf.DUMMYFUNCTION("""COMPUTED_VALUE"""),"-")</f>
        <v>-</v>
      </c>
      <c r="H536" t="str">
        <f>IFERROR(__xludf.DUMMYFUNCTION("""COMPUTED_VALUE"""),"-")</f>
        <v>-</v>
      </c>
      <c r="I536" t="str">
        <f>IFERROR(__xludf.DUMMYFUNCTION("""COMPUTED_VALUE"""),"-")</f>
        <v>-</v>
      </c>
      <c r="J536" t="str">
        <f>IFERROR(__xludf.DUMMYFUNCTION("""COMPUTED_VALUE"""),"-")</f>
        <v>-</v>
      </c>
      <c r="K536" t="str">
        <f>IFERROR(__xludf.DUMMYFUNCTION("""COMPUTED_VALUE"""),"-")</f>
        <v>-</v>
      </c>
      <c r="L536" t="str">
        <f>IFERROR(__xludf.DUMMYFUNCTION("""COMPUTED_VALUE"""),"-")</f>
        <v>-</v>
      </c>
      <c r="M536" t="str">
        <f>IFERROR(__xludf.DUMMYFUNCTION("""COMPUTED_VALUE"""),"-")</f>
        <v>-</v>
      </c>
      <c r="O536" t="str">
        <f>IFERROR(__xludf.DUMMYFUNCTION("""COMPUTED_VALUE"""),"#535")</f>
        <v>#535</v>
      </c>
      <c r="P536" t="str">
        <f>IFERROR(__xludf.DUMMYFUNCTION("""COMPUTED_VALUE"""),"Muriel Burgaz")</f>
        <v>Muriel Burgaz</v>
      </c>
      <c r="Q536">
        <f>IFERROR(__xludf.DUMMYFUNCTION("""COMPUTED_VALUE"""),1770.0)</f>
        <v>1770</v>
      </c>
      <c r="R536" t="str">
        <f>IFERROR(__xludf.DUMMYFUNCTION("""COMPUTED_VALUE"""),"-")</f>
        <v>-</v>
      </c>
      <c r="S536" t="str">
        <f>IFERROR(__xludf.DUMMYFUNCTION("""COMPUTED_VALUE"""),"-")</f>
        <v>-</v>
      </c>
      <c r="T536" t="str">
        <f>IFERROR(__xludf.DUMMYFUNCTION("""COMPUTED_VALUE"""),"-")</f>
        <v>-</v>
      </c>
      <c r="U536" t="str">
        <f>IFERROR(__xludf.DUMMYFUNCTION("""COMPUTED_VALUE"""),"-")</f>
        <v>-</v>
      </c>
      <c r="V536" t="str">
        <f>IFERROR(__xludf.DUMMYFUNCTION("""COMPUTED_VALUE"""),"-")</f>
        <v>-</v>
      </c>
      <c r="W536" t="str">
        <f>IFERROR(__xludf.DUMMYFUNCTION("""COMPUTED_VALUE"""),"-")</f>
        <v>-</v>
      </c>
      <c r="X536" t="str">
        <f>IFERROR(__xludf.DUMMYFUNCTION("""COMPUTED_VALUE"""),"-")</f>
        <v>-</v>
      </c>
      <c r="Y536" t="str">
        <f>IFERROR(__xludf.DUMMYFUNCTION("""COMPUTED_VALUE"""),"-")</f>
        <v>-</v>
      </c>
      <c r="Z536" t="str">
        <f>IFERROR(__xludf.DUMMYFUNCTION("""COMPUTED_VALUE"""),"-")</f>
        <v>-</v>
      </c>
      <c r="AA536" t="str">
        <f>IFERROR(__xludf.DUMMYFUNCTION("""COMPUTED_VALUE"""),"-")</f>
        <v>-</v>
      </c>
    </row>
    <row r="537">
      <c r="A537" t="str">
        <f>IFERROR(__xludf.DUMMYFUNCTION("""COMPUTED_VALUE"""),"#536")</f>
        <v>#536</v>
      </c>
      <c r="B537" t="str">
        <f>IFERROR(__xludf.DUMMYFUNCTION("""COMPUTED_VALUE"""),"Elisabeth Pouchelon")</f>
        <v>Elisabeth Pouchelon</v>
      </c>
      <c r="C537">
        <f>IFERROR(__xludf.DUMMYFUNCTION("""COMPUTED_VALUE"""),1718.0)</f>
        <v>1718</v>
      </c>
      <c r="D537" t="str">
        <f>IFERROR(__xludf.DUMMYFUNCTION("""COMPUTED_VALUE"""),"-")</f>
        <v>-</v>
      </c>
      <c r="E537" t="str">
        <f>IFERROR(__xludf.DUMMYFUNCTION("""COMPUTED_VALUE"""),"-")</f>
        <v>-</v>
      </c>
      <c r="F537" t="str">
        <f>IFERROR(__xludf.DUMMYFUNCTION("""COMPUTED_VALUE"""),"-")</f>
        <v>-</v>
      </c>
      <c r="G537" t="str">
        <f>IFERROR(__xludf.DUMMYFUNCTION("""COMPUTED_VALUE"""),"-")</f>
        <v>-</v>
      </c>
      <c r="H537" t="str">
        <f>IFERROR(__xludf.DUMMYFUNCTION("""COMPUTED_VALUE"""),"-")</f>
        <v>-</v>
      </c>
      <c r="I537" t="str">
        <f>IFERROR(__xludf.DUMMYFUNCTION("""COMPUTED_VALUE"""),"-")</f>
        <v>-</v>
      </c>
      <c r="J537" t="str">
        <f>IFERROR(__xludf.DUMMYFUNCTION("""COMPUTED_VALUE"""),"-")</f>
        <v>-</v>
      </c>
      <c r="K537" t="str">
        <f>IFERROR(__xludf.DUMMYFUNCTION("""COMPUTED_VALUE"""),"-")</f>
        <v>-</v>
      </c>
      <c r="L537" t="str">
        <f>IFERROR(__xludf.DUMMYFUNCTION("""COMPUTED_VALUE"""),"-")</f>
        <v>-</v>
      </c>
      <c r="M537" t="str">
        <f>IFERROR(__xludf.DUMMYFUNCTION("""COMPUTED_VALUE"""),"-")</f>
        <v>-</v>
      </c>
      <c r="O537" t="str">
        <f>IFERROR(__xludf.DUMMYFUNCTION("""COMPUTED_VALUE"""),"#536")</f>
        <v>#536</v>
      </c>
      <c r="P537" t="str">
        <f>IFERROR(__xludf.DUMMYFUNCTION("""COMPUTED_VALUE"""),"Elisabeth Pouchelon")</f>
        <v>Elisabeth Pouchelon</v>
      </c>
      <c r="Q537">
        <f>IFERROR(__xludf.DUMMYFUNCTION("""COMPUTED_VALUE"""),1718.0)</f>
        <v>1718</v>
      </c>
      <c r="R537" t="str">
        <f>IFERROR(__xludf.DUMMYFUNCTION("""COMPUTED_VALUE"""),"-")</f>
        <v>-</v>
      </c>
      <c r="S537" t="str">
        <f>IFERROR(__xludf.DUMMYFUNCTION("""COMPUTED_VALUE"""),"-")</f>
        <v>-</v>
      </c>
      <c r="T537" t="str">
        <f>IFERROR(__xludf.DUMMYFUNCTION("""COMPUTED_VALUE"""),"-")</f>
        <v>-</v>
      </c>
      <c r="U537" t="str">
        <f>IFERROR(__xludf.DUMMYFUNCTION("""COMPUTED_VALUE"""),"-")</f>
        <v>-</v>
      </c>
      <c r="V537" t="str">
        <f>IFERROR(__xludf.DUMMYFUNCTION("""COMPUTED_VALUE"""),"-")</f>
        <v>-</v>
      </c>
      <c r="W537" t="str">
        <f>IFERROR(__xludf.DUMMYFUNCTION("""COMPUTED_VALUE"""),"-")</f>
        <v>-</v>
      </c>
      <c r="X537" t="str">
        <f>IFERROR(__xludf.DUMMYFUNCTION("""COMPUTED_VALUE"""),"-")</f>
        <v>-</v>
      </c>
      <c r="Y537" t="str">
        <f>IFERROR(__xludf.DUMMYFUNCTION("""COMPUTED_VALUE"""),"-")</f>
        <v>-</v>
      </c>
      <c r="Z537" t="str">
        <f>IFERROR(__xludf.DUMMYFUNCTION("""COMPUTED_VALUE"""),"-")</f>
        <v>-</v>
      </c>
      <c r="AA537" t="str">
        <f>IFERROR(__xludf.DUMMYFUNCTION("""COMPUTED_VALUE"""),"-")</f>
        <v>-</v>
      </c>
    </row>
    <row r="538">
      <c r="A538" t="str">
        <f>IFERROR(__xludf.DUMMYFUNCTION("""COMPUTED_VALUE"""),"#537")</f>
        <v>#537</v>
      </c>
      <c r="B538" t="str">
        <f>IFERROR(__xludf.DUMMYFUNCTION("""COMPUTED_VALUE"""),"Jean-Baptiste Gernet")</f>
        <v>Jean-Baptiste Gernet</v>
      </c>
      <c r="C538">
        <f>IFERROR(__xludf.DUMMYFUNCTION("""COMPUTED_VALUE"""),1678.0)</f>
        <v>1678</v>
      </c>
      <c r="D538" t="str">
        <f>IFERROR(__xludf.DUMMYFUNCTION("""COMPUTED_VALUE"""),"-")</f>
        <v>-</v>
      </c>
      <c r="E538" t="str">
        <f>IFERROR(__xludf.DUMMYFUNCTION("""COMPUTED_VALUE"""),"-")</f>
        <v>-</v>
      </c>
      <c r="F538" t="str">
        <f>IFERROR(__xludf.DUMMYFUNCTION("""COMPUTED_VALUE"""),"-")</f>
        <v>-</v>
      </c>
      <c r="G538" t="str">
        <f>IFERROR(__xludf.DUMMYFUNCTION("""COMPUTED_VALUE"""),"-")</f>
        <v>-</v>
      </c>
      <c r="H538" t="str">
        <f>IFERROR(__xludf.DUMMYFUNCTION("""COMPUTED_VALUE"""),"-")</f>
        <v>-</v>
      </c>
      <c r="I538" t="str">
        <f>IFERROR(__xludf.DUMMYFUNCTION("""COMPUTED_VALUE"""),"-")</f>
        <v>-</v>
      </c>
      <c r="J538" t="str">
        <f>IFERROR(__xludf.DUMMYFUNCTION("""COMPUTED_VALUE"""),"-")</f>
        <v>-</v>
      </c>
      <c r="K538" t="str">
        <f>IFERROR(__xludf.DUMMYFUNCTION("""COMPUTED_VALUE"""),"-")</f>
        <v>-</v>
      </c>
      <c r="L538" t="str">
        <f>IFERROR(__xludf.DUMMYFUNCTION("""COMPUTED_VALUE"""),"-")</f>
        <v>-</v>
      </c>
      <c r="M538" t="str">
        <f>IFERROR(__xludf.DUMMYFUNCTION("""COMPUTED_VALUE"""),"-")</f>
        <v>-</v>
      </c>
      <c r="O538" t="str">
        <f>IFERROR(__xludf.DUMMYFUNCTION("""COMPUTED_VALUE"""),"#537")</f>
        <v>#537</v>
      </c>
      <c r="P538" t="str">
        <f>IFERROR(__xludf.DUMMYFUNCTION("""COMPUTED_VALUE"""),"Jean-Baptiste Gernet")</f>
        <v>Jean-Baptiste Gernet</v>
      </c>
      <c r="Q538">
        <f>IFERROR(__xludf.DUMMYFUNCTION("""COMPUTED_VALUE"""),1678.0)</f>
        <v>1678</v>
      </c>
      <c r="R538" t="str">
        <f>IFERROR(__xludf.DUMMYFUNCTION("""COMPUTED_VALUE"""),"-")</f>
        <v>-</v>
      </c>
      <c r="S538" t="str">
        <f>IFERROR(__xludf.DUMMYFUNCTION("""COMPUTED_VALUE"""),"-")</f>
        <v>-</v>
      </c>
      <c r="T538" t="str">
        <f>IFERROR(__xludf.DUMMYFUNCTION("""COMPUTED_VALUE"""),"-")</f>
        <v>-</v>
      </c>
      <c r="U538" t="str">
        <f>IFERROR(__xludf.DUMMYFUNCTION("""COMPUTED_VALUE"""),"-")</f>
        <v>-</v>
      </c>
      <c r="V538" t="str">
        <f>IFERROR(__xludf.DUMMYFUNCTION("""COMPUTED_VALUE"""),"-")</f>
        <v>-</v>
      </c>
      <c r="W538" t="str">
        <f>IFERROR(__xludf.DUMMYFUNCTION("""COMPUTED_VALUE"""),"-")</f>
        <v>-</v>
      </c>
      <c r="X538" t="str">
        <f>IFERROR(__xludf.DUMMYFUNCTION("""COMPUTED_VALUE"""),"-")</f>
        <v>-</v>
      </c>
      <c r="Y538" t="str">
        <f>IFERROR(__xludf.DUMMYFUNCTION("""COMPUTED_VALUE"""),"-")</f>
        <v>-</v>
      </c>
      <c r="Z538" t="str">
        <f>IFERROR(__xludf.DUMMYFUNCTION("""COMPUTED_VALUE"""),"-")</f>
        <v>-</v>
      </c>
      <c r="AA538" t="str">
        <f>IFERROR(__xludf.DUMMYFUNCTION("""COMPUTED_VALUE"""),"-")</f>
        <v>-</v>
      </c>
    </row>
    <row r="539">
      <c r="A539" t="str">
        <f>IFERROR(__xludf.DUMMYFUNCTION("""COMPUTED_VALUE"""),"#538")</f>
        <v>#538</v>
      </c>
      <c r="B539" t="str">
        <f>IFERROR(__xludf.DUMMYFUNCTION("""COMPUTED_VALUE"""),"Michel COLAS")</f>
        <v>Michel COLAS</v>
      </c>
      <c r="C539">
        <f>IFERROR(__xludf.DUMMYFUNCTION("""COMPUTED_VALUE"""),1639.0)</f>
        <v>1639</v>
      </c>
      <c r="D539" t="str">
        <f>IFERROR(__xludf.DUMMYFUNCTION("""COMPUTED_VALUE"""),"-")</f>
        <v>-</v>
      </c>
      <c r="E539" t="str">
        <f>IFERROR(__xludf.DUMMYFUNCTION("""COMPUTED_VALUE"""),"-")</f>
        <v>-</v>
      </c>
      <c r="F539" t="str">
        <f>IFERROR(__xludf.DUMMYFUNCTION("""COMPUTED_VALUE"""),"-")</f>
        <v>-</v>
      </c>
      <c r="G539" t="str">
        <f>IFERROR(__xludf.DUMMYFUNCTION("""COMPUTED_VALUE"""),"-")</f>
        <v>-</v>
      </c>
      <c r="H539" t="str">
        <f>IFERROR(__xludf.DUMMYFUNCTION("""COMPUTED_VALUE"""),"-")</f>
        <v>-</v>
      </c>
      <c r="I539" t="str">
        <f>IFERROR(__xludf.DUMMYFUNCTION("""COMPUTED_VALUE"""),"-")</f>
        <v>-</v>
      </c>
      <c r="J539" t="str">
        <f>IFERROR(__xludf.DUMMYFUNCTION("""COMPUTED_VALUE"""),"-")</f>
        <v>-</v>
      </c>
      <c r="K539" t="str">
        <f>IFERROR(__xludf.DUMMYFUNCTION("""COMPUTED_VALUE"""),"-")</f>
        <v>-</v>
      </c>
      <c r="L539" t="str">
        <f>IFERROR(__xludf.DUMMYFUNCTION("""COMPUTED_VALUE"""),"-")</f>
        <v>-</v>
      </c>
      <c r="M539" t="str">
        <f>IFERROR(__xludf.DUMMYFUNCTION("""COMPUTED_VALUE"""),"-")</f>
        <v>-</v>
      </c>
      <c r="O539" t="str">
        <f>IFERROR(__xludf.DUMMYFUNCTION("""COMPUTED_VALUE"""),"#538")</f>
        <v>#538</v>
      </c>
      <c r="P539" t="str">
        <f>IFERROR(__xludf.DUMMYFUNCTION("""COMPUTED_VALUE"""),"Michel COLAS")</f>
        <v>Michel COLAS</v>
      </c>
      <c r="Q539">
        <f>IFERROR(__xludf.DUMMYFUNCTION("""COMPUTED_VALUE"""),1639.0)</f>
        <v>1639</v>
      </c>
      <c r="R539" t="str">
        <f>IFERROR(__xludf.DUMMYFUNCTION("""COMPUTED_VALUE"""),"-")</f>
        <v>-</v>
      </c>
      <c r="S539" t="str">
        <f>IFERROR(__xludf.DUMMYFUNCTION("""COMPUTED_VALUE"""),"-")</f>
        <v>-</v>
      </c>
      <c r="T539" t="str">
        <f>IFERROR(__xludf.DUMMYFUNCTION("""COMPUTED_VALUE"""),"-")</f>
        <v>-</v>
      </c>
      <c r="U539" t="str">
        <f>IFERROR(__xludf.DUMMYFUNCTION("""COMPUTED_VALUE"""),"-")</f>
        <v>-</v>
      </c>
      <c r="V539" t="str">
        <f>IFERROR(__xludf.DUMMYFUNCTION("""COMPUTED_VALUE"""),"-")</f>
        <v>-</v>
      </c>
      <c r="W539" t="str">
        <f>IFERROR(__xludf.DUMMYFUNCTION("""COMPUTED_VALUE"""),"-")</f>
        <v>-</v>
      </c>
      <c r="X539" t="str">
        <f>IFERROR(__xludf.DUMMYFUNCTION("""COMPUTED_VALUE"""),"-")</f>
        <v>-</v>
      </c>
      <c r="Y539" t="str">
        <f>IFERROR(__xludf.DUMMYFUNCTION("""COMPUTED_VALUE"""),"-")</f>
        <v>-</v>
      </c>
      <c r="Z539" t="str">
        <f>IFERROR(__xludf.DUMMYFUNCTION("""COMPUTED_VALUE"""),"-")</f>
        <v>-</v>
      </c>
      <c r="AA539" t="str">
        <f>IFERROR(__xludf.DUMMYFUNCTION("""COMPUTED_VALUE"""),"-")</f>
        <v>-</v>
      </c>
    </row>
    <row r="540">
      <c r="A540" t="str">
        <f>IFERROR(__xludf.DUMMYFUNCTION("""COMPUTED_VALUE"""),"#539")</f>
        <v>#539</v>
      </c>
      <c r="B540" t="str">
        <f>IFERROR(__xludf.DUMMYFUNCTION("""COMPUTED_VALUE"""),"Catherine Candela")</f>
        <v>Catherine Candela</v>
      </c>
      <c r="C540">
        <f>IFERROR(__xludf.DUMMYFUNCTION("""COMPUTED_VALUE"""),1632.0)</f>
        <v>1632</v>
      </c>
      <c r="D540" t="str">
        <f>IFERROR(__xludf.DUMMYFUNCTION("""COMPUTED_VALUE"""),"-")</f>
        <v>-</v>
      </c>
      <c r="E540" t="str">
        <f>IFERROR(__xludf.DUMMYFUNCTION("""COMPUTED_VALUE"""),"-")</f>
        <v>-</v>
      </c>
      <c r="F540" t="str">
        <f>IFERROR(__xludf.DUMMYFUNCTION("""COMPUTED_VALUE"""),"-")</f>
        <v>-</v>
      </c>
      <c r="G540" t="str">
        <f>IFERROR(__xludf.DUMMYFUNCTION("""COMPUTED_VALUE"""),"-")</f>
        <v>-</v>
      </c>
      <c r="H540" t="str">
        <f>IFERROR(__xludf.DUMMYFUNCTION("""COMPUTED_VALUE"""),"-")</f>
        <v>-</v>
      </c>
      <c r="I540" t="str">
        <f>IFERROR(__xludf.DUMMYFUNCTION("""COMPUTED_VALUE"""),"-")</f>
        <v>-</v>
      </c>
      <c r="J540" t="str">
        <f>IFERROR(__xludf.DUMMYFUNCTION("""COMPUTED_VALUE"""),"-")</f>
        <v>-</v>
      </c>
      <c r="K540" t="str">
        <f>IFERROR(__xludf.DUMMYFUNCTION("""COMPUTED_VALUE"""),"-")</f>
        <v>-</v>
      </c>
      <c r="L540" t="str">
        <f>IFERROR(__xludf.DUMMYFUNCTION("""COMPUTED_VALUE"""),"-")</f>
        <v>-</v>
      </c>
      <c r="M540" t="str">
        <f>IFERROR(__xludf.DUMMYFUNCTION("""COMPUTED_VALUE"""),"-")</f>
        <v>-</v>
      </c>
      <c r="O540" t="str">
        <f>IFERROR(__xludf.DUMMYFUNCTION("""COMPUTED_VALUE"""),"#539")</f>
        <v>#539</v>
      </c>
      <c r="P540" t="str">
        <f>IFERROR(__xludf.DUMMYFUNCTION("""COMPUTED_VALUE"""),"Catherine Candela")</f>
        <v>Catherine Candela</v>
      </c>
      <c r="Q540">
        <f>IFERROR(__xludf.DUMMYFUNCTION("""COMPUTED_VALUE"""),1632.0)</f>
        <v>1632</v>
      </c>
      <c r="R540" t="str">
        <f>IFERROR(__xludf.DUMMYFUNCTION("""COMPUTED_VALUE"""),"-")</f>
        <v>-</v>
      </c>
      <c r="S540" t="str">
        <f>IFERROR(__xludf.DUMMYFUNCTION("""COMPUTED_VALUE"""),"-")</f>
        <v>-</v>
      </c>
      <c r="T540" t="str">
        <f>IFERROR(__xludf.DUMMYFUNCTION("""COMPUTED_VALUE"""),"-")</f>
        <v>-</v>
      </c>
      <c r="U540" t="str">
        <f>IFERROR(__xludf.DUMMYFUNCTION("""COMPUTED_VALUE"""),"-")</f>
        <v>-</v>
      </c>
      <c r="V540" t="str">
        <f>IFERROR(__xludf.DUMMYFUNCTION("""COMPUTED_VALUE"""),"-")</f>
        <v>-</v>
      </c>
      <c r="W540" t="str">
        <f>IFERROR(__xludf.DUMMYFUNCTION("""COMPUTED_VALUE"""),"-")</f>
        <v>-</v>
      </c>
      <c r="X540" t="str">
        <f>IFERROR(__xludf.DUMMYFUNCTION("""COMPUTED_VALUE"""),"-")</f>
        <v>-</v>
      </c>
      <c r="Y540" t="str">
        <f>IFERROR(__xludf.DUMMYFUNCTION("""COMPUTED_VALUE"""),"-")</f>
        <v>-</v>
      </c>
      <c r="Z540" t="str">
        <f>IFERROR(__xludf.DUMMYFUNCTION("""COMPUTED_VALUE"""),"-")</f>
        <v>-</v>
      </c>
      <c r="AA540" t="str">
        <f>IFERROR(__xludf.DUMMYFUNCTION("""COMPUTED_VALUE"""),"-")</f>
        <v>-</v>
      </c>
    </row>
    <row r="541">
      <c r="A541" t="str">
        <f>IFERROR(__xludf.DUMMYFUNCTION("""COMPUTED_VALUE"""),"#540")</f>
        <v>#540</v>
      </c>
      <c r="B541" t="str">
        <f>IFERROR(__xludf.DUMMYFUNCTION("""COMPUTED_VALUE"""),"Moetai Brotherson")</f>
        <v>Moetai Brotherson</v>
      </c>
      <c r="C541">
        <f>IFERROR(__xludf.DUMMYFUNCTION("""COMPUTED_VALUE"""),1581.0)</f>
        <v>1581</v>
      </c>
      <c r="D541" t="str">
        <f>IFERROR(__xludf.DUMMYFUNCTION("""COMPUTED_VALUE"""),"-")</f>
        <v>-</v>
      </c>
      <c r="E541" t="str">
        <f>IFERROR(__xludf.DUMMYFUNCTION("""COMPUTED_VALUE"""),"-")</f>
        <v>-</v>
      </c>
      <c r="F541" t="str">
        <f>IFERROR(__xludf.DUMMYFUNCTION("""COMPUTED_VALUE"""),"-")</f>
        <v>-</v>
      </c>
      <c r="G541" t="str">
        <f>IFERROR(__xludf.DUMMYFUNCTION("""COMPUTED_VALUE"""),"-")</f>
        <v>-</v>
      </c>
      <c r="H541" t="str">
        <f>IFERROR(__xludf.DUMMYFUNCTION("""COMPUTED_VALUE"""),"-")</f>
        <v>-</v>
      </c>
      <c r="I541" t="str">
        <f>IFERROR(__xludf.DUMMYFUNCTION("""COMPUTED_VALUE"""),"-")</f>
        <v>-</v>
      </c>
      <c r="J541" t="str">
        <f>IFERROR(__xludf.DUMMYFUNCTION("""COMPUTED_VALUE"""),"-")</f>
        <v>-</v>
      </c>
      <c r="K541" t="str">
        <f>IFERROR(__xludf.DUMMYFUNCTION("""COMPUTED_VALUE"""),"-")</f>
        <v>-</v>
      </c>
      <c r="L541" t="str">
        <f>IFERROR(__xludf.DUMMYFUNCTION("""COMPUTED_VALUE"""),"-")</f>
        <v>-</v>
      </c>
      <c r="M541" t="str">
        <f>IFERROR(__xludf.DUMMYFUNCTION("""COMPUTED_VALUE"""),"-")</f>
        <v>-</v>
      </c>
      <c r="O541" t="str">
        <f>IFERROR(__xludf.DUMMYFUNCTION("""COMPUTED_VALUE"""),"#540")</f>
        <v>#540</v>
      </c>
      <c r="P541" t="str">
        <f>IFERROR(__xludf.DUMMYFUNCTION("""COMPUTED_VALUE"""),"Moetai Brotherson")</f>
        <v>Moetai Brotherson</v>
      </c>
      <c r="Q541">
        <f>IFERROR(__xludf.DUMMYFUNCTION("""COMPUTED_VALUE"""),1581.0)</f>
        <v>1581</v>
      </c>
      <c r="R541" t="str">
        <f>IFERROR(__xludf.DUMMYFUNCTION("""COMPUTED_VALUE"""),"-")</f>
        <v>-</v>
      </c>
      <c r="S541" t="str">
        <f>IFERROR(__xludf.DUMMYFUNCTION("""COMPUTED_VALUE"""),"-")</f>
        <v>-</v>
      </c>
      <c r="T541" t="str">
        <f>IFERROR(__xludf.DUMMYFUNCTION("""COMPUTED_VALUE"""),"-")</f>
        <v>-</v>
      </c>
      <c r="U541" t="str">
        <f>IFERROR(__xludf.DUMMYFUNCTION("""COMPUTED_VALUE"""),"-")</f>
        <v>-</v>
      </c>
      <c r="V541" t="str">
        <f>IFERROR(__xludf.DUMMYFUNCTION("""COMPUTED_VALUE"""),"-")</f>
        <v>-</v>
      </c>
      <c r="W541" t="str">
        <f>IFERROR(__xludf.DUMMYFUNCTION("""COMPUTED_VALUE"""),"-")</f>
        <v>-</v>
      </c>
      <c r="X541" t="str">
        <f>IFERROR(__xludf.DUMMYFUNCTION("""COMPUTED_VALUE"""),"-")</f>
        <v>-</v>
      </c>
      <c r="Y541" t="str">
        <f>IFERROR(__xludf.DUMMYFUNCTION("""COMPUTED_VALUE"""),"-")</f>
        <v>-</v>
      </c>
      <c r="Z541" t="str">
        <f>IFERROR(__xludf.DUMMYFUNCTION("""COMPUTED_VALUE"""),"-")</f>
        <v>-</v>
      </c>
      <c r="AA541" t="str">
        <f>IFERROR(__xludf.DUMMYFUNCTION("""COMPUTED_VALUE"""),"-")</f>
        <v>-</v>
      </c>
    </row>
    <row r="542">
      <c r="A542" t="str">
        <f>IFERROR(__xludf.DUMMYFUNCTION("""COMPUTED_VALUE"""),"#541")</f>
        <v>#541</v>
      </c>
      <c r="B542" t="str">
        <f>IFERROR(__xludf.DUMMYFUNCTION("""COMPUTED_VALUE"""),"Sarah Soilihi")</f>
        <v>Sarah Soilihi</v>
      </c>
      <c r="C542">
        <f>IFERROR(__xludf.DUMMYFUNCTION("""COMPUTED_VALUE"""),1546.0)</f>
        <v>1546</v>
      </c>
      <c r="D542" t="str">
        <f>IFERROR(__xludf.DUMMYFUNCTION("""COMPUTED_VALUE"""),"-")</f>
        <v>-</v>
      </c>
      <c r="E542" t="str">
        <f>IFERROR(__xludf.DUMMYFUNCTION("""COMPUTED_VALUE"""),"-")</f>
        <v>-</v>
      </c>
      <c r="F542" t="str">
        <f>IFERROR(__xludf.DUMMYFUNCTION("""COMPUTED_VALUE"""),"-")</f>
        <v>-</v>
      </c>
      <c r="G542" t="str">
        <f>IFERROR(__xludf.DUMMYFUNCTION("""COMPUTED_VALUE"""),"-")</f>
        <v>-</v>
      </c>
      <c r="H542" t="str">
        <f>IFERROR(__xludf.DUMMYFUNCTION("""COMPUTED_VALUE"""),"-")</f>
        <v>-</v>
      </c>
      <c r="I542" t="str">
        <f>IFERROR(__xludf.DUMMYFUNCTION("""COMPUTED_VALUE"""),"-")</f>
        <v>-</v>
      </c>
      <c r="J542" t="str">
        <f>IFERROR(__xludf.DUMMYFUNCTION("""COMPUTED_VALUE"""),"-")</f>
        <v>-</v>
      </c>
      <c r="K542" t="str">
        <f>IFERROR(__xludf.DUMMYFUNCTION("""COMPUTED_VALUE"""),"-")</f>
        <v>-</v>
      </c>
      <c r="L542" t="str">
        <f>IFERROR(__xludf.DUMMYFUNCTION("""COMPUTED_VALUE"""),"-")</f>
        <v>-</v>
      </c>
      <c r="M542" t="str">
        <f>IFERROR(__xludf.DUMMYFUNCTION("""COMPUTED_VALUE"""),"-")</f>
        <v>-</v>
      </c>
      <c r="O542" t="str">
        <f>IFERROR(__xludf.DUMMYFUNCTION("""COMPUTED_VALUE"""),"#541")</f>
        <v>#541</v>
      </c>
      <c r="P542" t="str">
        <f>IFERROR(__xludf.DUMMYFUNCTION("""COMPUTED_VALUE"""),"Sarah Soilihi")</f>
        <v>Sarah Soilihi</v>
      </c>
      <c r="Q542">
        <f>IFERROR(__xludf.DUMMYFUNCTION("""COMPUTED_VALUE"""),1546.0)</f>
        <v>1546</v>
      </c>
      <c r="R542" t="str">
        <f>IFERROR(__xludf.DUMMYFUNCTION("""COMPUTED_VALUE"""),"-")</f>
        <v>-</v>
      </c>
      <c r="S542" t="str">
        <f>IFERROR(__xludf.DUMMYFUNCTION("""COMPUTED_VALUE"""),"-")</f>
        <v>-</v>
      </c>
      <c r="T542" t="str">
        <f>IFERROR(__xludf.DUMMYFUNCTION("""COMPUTED_VALUE"""),"-")</f>
        <v>-</v>
      </c>
      <c r="U542" t="str">
        <f>IFERROR(__xludf.DUMMYFUNCTION("""COMPUTED_VALUE"""),"-")</f>
        <v>-</v>
      </c>
      <c r="V542" t="str">
        <f>IFERROR(__xludf.DUMMYFUNCTION("""COMPUTED_VALUE"""),"-")</f>
        <v>-</v>
      </c>
      <c r="W542" t="str">
        <f>IFERROR(__xludf.DUMMYFUNCTION("""COMPUTED_VALUE"""),"-")</f>
        <v>-</v>
      </c>
      <c r="X542" t="str">
        <f>IFERROR(__xludf.DUMMYFUNCTION("""COMPUTED_VALUE"""),"-")</f>
        <v>-</v>
      </c>
      <c r="Y542" t="str">
        <f>IFERROR(__xludf.DUMMYFUNCTION("""COMPUTED_VALUE"""),"-")</f>
        <v>-</v>
      </c>
      <c r="Z542" t="str">
        <f>IFERROR(__xludf.DUMMYFUNCTION("""COMPUTED_VALUE"""),"-")</f>
        <v>-</v>
      </c>
      <c r="AA542" t="str">
        <f>IFERROR(__xludf.DUMMYFUNCTION("""COMPUTED_VALUE"""),"-")</f>
        <v>-</v>
      </c>
    </row>
    <row r="543">
      <c r="A543" t="str">
        <f>IFERROR(__xludf.DUMMYFUNCTION("""COMPUTED_VALUE"""),"#542")</f>
        <v>#542</v>
      </c>
      <c r="B543" t="str">
        <f>IFERROR(__xludf.DUMMYFUNCTION("""COMPUTED_VALUE"""),"Anne Boissel")</f>
        <v>Anne Boissel</v>
      </c>
      <c r="C543">
        <f>IFERROR(__xludf.DUMMYFUNCTION("""COMPUTED_VALUE"""),1519.0)</f>
        <v>1519</v>
      </c>
      <c r="D543" t="str">
        <f>IFERROR(__xludf.DUMMYFUNCTION("""COMPUTED_VALUE"""),"-")</f>
        <v>-</v>
      </c>
      <c r="E543" t="str">
        <f>IFERROR(__xludf.DUMMYFUNCTION("""COMPUTED_VALUE"""),"-")</f>
        <v>-</v>
      </c>
      <c r="F543" t="str">
        <f>IFERROR(__xludf.DUMMYFUNCTION("""COMPUTED_VALUE"""),"-")</f>
        <v>-</v>
      </c>
      <c r="G543" t="str">
        <f>IFERROR(__xludf.DUMMYFUNCTION("""COMPUTED_VALUE"""),"-")</f>
        <v>-</v>
      </c>
      <c r="H543" t="str">
        <f>IFERROR(__xludf.DUMMYFUNCTION("""COMPUTED_VALUE"""),"-")</f>
        <v>-</v>
      </c>
      <c r="I543" t="str">
        <f>IFERROR(__xludf.DUMMYFUNCTION("""COMPUTED_VALUE"""),"-")</f>
        <v>-</v>
      </c>
      <c r="J543" t="str">
        <f>IFERROR(__xludf.DUMMYFUNCTION("""COMPUTED_VALUE"""),"-")</f>
        <v>-</v>
      </c>
      <c r="K543" t="str">
        <f>IFERROR(__xludf.DUMMYFUNCTION("""COMPUTED_VALUE"""),"-")</f>
        <v>-</v>
      </c>
      <c r="L543" t="str">
        <f>IFERROR(__xludf.DUMMYFUNCTION("""COMPUTED_VALUE"""),"-")</f>
        <v>-</v>
      </c>
      <c r="M543" t="str">
        <f>IFERROR(__xludf.DUMMYFUNCTION("""COMPUTED_VALUE"""),"-")</f>
        <v>-</v>
      </c>
      <c r="O543" t="str">
        <f>IFERROR(__xludf.DUMMYFUNCTION("""COMPUTED_VALUE"""),"#542")</f>
        <v>#542</v>
      </c>
      <c r="P543" t="str">
        <f>IFERROR(__xludf.DUMMYFUNCTION("""COMPUTED_VALUE"""),"Anne Boissel")</f>
        <v>Anne Boissel</v>
      </c>
      <c r="Q543">
        <f>IFERROR(__xludf.DUMMYFUNCTION("""COMPUTED_VALUE"""),1519.0)</f>
        <v>1519</v>
      </c>
      <c r="R543" t="str">
        <f>IFERROR(__xludf.DUMMYFUNCTION("""COMPUTED_VALUE"""),"-")</f>
        <v>-</v>
      </c>
      <c r="S543" t="str">
        <f>IFERROR(__xludf.DUMMYFUNCTION("""COMPUTED_VALUE"""),"-")</f>
        <v>-</v>
      </c>
      <c r="T543" t="str">
        <f>IFERROR(__xludf.DUMMYFUNCTION("""COMPUTED_VALUE"""),"-")</f>
        <v>-</v>
      </c>
      <c r="U543" t="str">
        <f>IFERROR(__xludf.DUMMYFUNCTION("""COMPUTED_VALUE"""),"-")</f>
        <v>-</v>
      </c>
      <c r="V543" t="str">
        <f>IFERROR(__xludf.DUMMYFUNCTION("""COMPUTED_VALUE"""),"-")</f>
        <v>-</v>
      </c>
      <c r="W543" t="str">
        <f>IFERROR(__xludf.DUMMYFUNCTION("""COMPUTED_VALUE"""),"-")</f>
        <v>-</v>
      </c>
      <c r="X543" t="str">
        <f>IFERROR(__xludf.DUMMYFUNCTION("""COMPUTED_VALUE"""),"-")</f>
        <v>-</v>
      </c>
      <c r="Y543" t="str">
        <f>IFERROR(__xludf.DUMMYFUNCTION("""COMPUTED_VALUE"""),"-")</f>
        <v>-</v>
      </c>
      <c r="Z543" t="str">
        <f>IFERROR(__xludf.DUMMYFUNCTION("""COMPUTED_VALUE"""),"-")</f>
        <v>-</v>
      </c>
      <c r="AA543" t="str">
        <f>IFERROR(__xludf.DUMMYFUNCTION("""COMPUTED_VALUE"""),"-")</f>
        <v>-</v>
      </c>
    </row>
    <row r="544">
      <c r="A544" t="str">
        <f>IFERROR(__xludf.DUMMYFUNCTION("""COMPUTED_VALUE"""),"#543")</f>
        <v>#543</v>
      </c>
      <c r="B544" t="str">
        <f>IFERROR(__xludf.DUMMYFUNCTION("""COMPUTED_VALUE"""),"Fabien Verdier")</f>
        <v>Fabien Verdier</v>
      </c>
      <c r="C544">
        <f>IFERROR(__xludf.DUMMYFUNCTION("""COMPUTED_VALUE"""),1514.0)</f>
        <v>1514</v>
      </c>
      <c r="D544" t="str">
        <f>IFERROR(__xludf.DUMMYFUNCTION("""COMPUTED_VALUE"""),"-")</f>
        <v>-</v>
      </c>
      <c r="E544" t="str">
        <f>IFERROR(__xludf.DUMMYFUNCTION("""COMPUTED_VALUE"""),"-")</f>
        <v>-</v>
      </c>
      <c r="F544" t="str">
        <f>IFERROR(__xludf.DUMMYFUNCTION("""COMPUTED_VALUE"""),"-")</f>
        <v>-</v>
      </c>
      <c r="G544" t="str">
        <f>IFERROR(__xludf.DUMMYFUNCTION("""COMPUTED_VALUE"""),"-")</f>
        <v>-</v>
      </c>
      <c r="H544" t="str">
        <f>IFERROR(__xludf.DUMMYFUNCTION("""COMPUTED_VALUE"""),"-")</f>
        <v>-</v>
      </c>
      <c r="I544" t="str">
        <f>IFERROR(__xludf.DUMMYFUNCTION("""COMPUTED_VALUE"""),"-")</f>
        <v>-</v>
      </c>
      <c r="J544" t="str">
        <f>IFERROR(__xludf.DUMMYFUNCTION("""COMPUTED_VALUE"""),"-")</f>
        <v>-</v>
      </c>
      <c r="K544" t="str">
        <f>IFERROR(__xludf.DUMMYFUNCTION("""COMPUTED_VALUE"""),"-")</f>
        <v>-</v>
      </c>
      <c r="L544" t="str">
        <f>IFERROR(__xludf.DUMMYFUNCTION("""COMPUTED_VALUE"""),"-")</f>
        <v>-</v>
      </c>
      <c r="M544" t="str">
        <f>IFERROR(__xludf.DUMMYFUNCTION("""COMPUTED_VALUE"""),"-")</f>
        <v>-</v>
      </c>
      <c r="O544" t="str">
        <f>IFERROR(__xludf.DUMMYFUNCTION("""COMPUTED_VALUE"""),"#543")</f>
        <v>#543</v>
      </c>
      <c r="P544" t="str">
        <f>IFERROR(__xludf.DUMMYFUNCTION("""COMPUTED_VALUE"""),"Fabien Verdier")</f>
        <v>Fabien Verdier</v>
      </c>
      <c r="Q544">
        <f>IFERROR(__xludf.DUMMYFUNCTION("""COMPUTED_VALUE"""),1514.0)</f>
        <v>1514</v>
      </c>
      <c r="R544" t="str">
        <f>IFERROR(__xludf.DUMMYFUNCTION("""COMPUTED_VALUE"""),"-")</f>
        <v>-</v>
      </c>
      <c r="S544" t="str">
        <f>IFERROR(__xludf.DUMMYFUNCTION("""COMPUTED_VALUE"""),"-")</f>
        <v>-</v>
      </c>
      <c r="T544" t="str">
        <f>IFERROR(__xludf.DUMMYFUNCTION("""COMPUTED_VALUE"""),"-")</f>
        <v>-</v>
      </c>
      <c r="U544" t="str">
        <f>IFERROR(__xludf.DUMMYFUNCTION("""COMPUTED_VALUE"""),"-")</f>
        <v>-</v>
      </c>
      <c r="V544" t="str">
        <f>IFERROR(__xludf.DUMMYFUNCTION("""COMPUTED_VALUE"""),"-")</f>
        <v>-</v>
      </c>
      <c r="W544" t="str">
        <f>IFERROR(__xludf.DUMMYFUNCTION("""COMPUTED_VALUE"""),"-")</f>
        <v>-</v>
      </c>
      <c r="X544" t="str">
        <f>IFERROR(__xludf.DUMMYFUNCTION("""COMPUTED_VALUE"""),"-")</f>
        <v>-</v>
      </c>
      <c r="Y544" t="str">
        <f>IFERROR(__xludf.DUMMYFUNCTION("""COMPUTED_VALUE"""),"-")</f>
        <v>-</v>
      </c>
      <c r="Z544" t="str">
        <f>IFERROR(__xludf.DUMMYFUNCTION("""COMPUTED_VALUE"""),"-")</f>
        <v>-</v>
      </c>
      <c r="AA544" t="str">
        <f>IFERROR(__xludf.DUMMYFUNCTION("""COMPUTED_VALUE"""),"-")</f>
        <v>-</v>
      </c>
    </row>
    <row r="545">
      <c r="A545" t="str">
        <f>IFERROR(__xludf.DUMMYFUNCTION("""COMPUTED_VALUE"""),"#544")</f>
        <v>#544</v>
      </c>
      <c r="B545" t="str">
        <f>IFERROR(__xludf.DUMMYFUNCTION("""COMPUTED_VALUE"""),"Béatrice Descamps")</f>
        <v>Béatrice Descamps</v>
      </c>
      <c r="C545">
        <f>IFERROR(__xludf.DUMMYFUNCTION("""COMPUTED_VALUE"""),1483.0)</f>
        <v>1483</v>
      </c>
      <c r="D545" t="str">
        <f>IFERROR(__xludf.DUMMYFUNCTION("""COMPUTED_VALUE"""),"-")</f>
        <v>-</v>
      </c>
      <c r="E545" t="str">
        <f>IFERROR(__xludf.DUMMYFUNCTION("""COMPUTED_VALUE"""),"-")</f>
        <v>-</v>
      </c>
      <c r="F545" t="str">
        <f>IFERROR(__xludf.DUMMYFUNCTION("""COMPUTED_VALUE"""),"-")</f>
        <v>-</v>
      </c>
      <c r="G545" t="str">
        <f>IFERROR(__xludf.DUMMYFUNCTION("""COMPUTED_VALUE"""),"-")</f>
        <v>-</v>
      </c>
      <c r="H545" t="str">
        <f>IFERROR(__xludf.DUMMYFUNCTION("""COMPUTED_VALUE"""),"-")</f>
        <v>-</v>
      </c>
      <c r="I545" t="str">
        <f>IFERROR(__xludf.DUMMYFUNCTION("""COMPUTED_VALUE"""),"-")</f>
        <v>-</v>
      </c>
      <c r="J545" t="str">
        <f>IFERROR(__xludf.DUMMYFUNCTION("""COMPUTED_VALUE"""),"-")</f>
        <v>-</v>
      </c>
      <c r="K545" t="str">
        <f>IFERROR(__xludf.DUMMYFUNCTION("""COMPUTED_VALUE"""),"-")</f>
        <v>-</v>
      </c>
      <c r="L545" t="str">
        <f>IFERROR(__xludf.DUMMYFUNCTION("""COMPUTED_VALUE"""),"-")</f>
        <v>-</v>
      </c>
      <c r="M545" t="str">
        <f>IFERROR(__xludf.DUMMYFUNCTION("""COMPUTED_VALUE"""),"-")</f>
        <v>-</v>
      </c>
      <c r="O545" t="str">
        <f>IFERROR(__xludf.DUMMYFUNCTION("""COMPUTED_VALUE"""),"#544")</f>
        <v>#544</v>
      </c>
      <c r="P545" t="str">
        <f>IFERROR(__xludf.DUMMYFUNCTION("""COMPUTED_VALUE"""),"Béatrice Descamps")</f>
        <v>Béatrice Descamps</v>
      </c>
      <c r="Q545">
        <f>IFERROR(__xludf.DUMMYFUNCTION("""COMPUTED_VALUE"""),1483.0)</f>
        <v>1483</v>
      </c>
      <c r="R545" t="str">
        <f>IFERROR(__xludf.DUMMYFUNCTION("""COMPUTED_VALUE"""),"-")</f>
        <v>-</v>
      </c>
      <c r="S545" t="str">
        <f>IFERROR(__xludf.DUMMYFUNCTION("""COMPUTED_VALUE"""),"-")</f>
        <v>-</v>
      </c>
      <c r="T545" t="str">
        <f>IFERROR(__xludf.DUMMYFUNCTION("""COMPUTED_VALUE"""),"-")</f>
        <v>-</v>
      </c>
      <c r="U545" t="str">
        <f>IFERROR(__xludf.DUMMYFUNCTION("""COMPUTED_VALUE"""),"-")</f>
        <v>-</v>
      </c>
      <c r="V545" t="str">
        <f>IFERROR(__xludf.DUMMYFUNCTION("""COMPUTED_VALUE"""),"-")</f>
        <v>-</v>
      </c>
      <c r="W545" t="str">
        <f>IFERROR(__xludf.DUMMYFUNCTION("""COMPUTED_VALUE"""),"-")</f>
        <v>-</v>
      </c>
      <c r="X545" t="str">
        <f>IFERROR(__xludf.DUMMYFUNCTION("""COMPUTED_VALUE"""),"-")</f>
        <v>-</v>
      </c>
      <c r="Y545" t="str">
        <f>IFERROR(__xludf.DUMMYFUNCTION("""COMPUTED_VALUE"""),"-")</f>
        <v>-</v>
      </c>
      <c r="Z545" t="str">
        <f>IFERROR(__xludf.DUMMYFUNCTION("""COMPUTED_VALUE"""),"-")</f>
        <v>-</v>
      </c>
      <c r="AA545" t="str">
        <f>IFERROR(__xludf.DUMMYFUNCTION("""COMPUTED_VALUE"""),"-")</f>
        <v>-</v>
      </c>
    </row>
    <row r="546">
      <c r="A546" t="str">
        <f>IFERROR(__xludf.DUMMYFUNCTION("""COMPUTED_VALUE"""),"#545")</f>
        <v>#545</v>
      </c>
      <c r="B546" t="str">
        <f>IFERROR(__xludf.DUMMYFUNCTION("""COMPUTED_VALUE"""),"David Cabas")</f>
        <v>David Cabas</v>
      </c>
      <c r="C546">
        <f>IFERROR(__xludf.DUMMYFUNCTION("""COMPUTED_VALUE"""),1482.0)</f>
        <v>1482</v>
      </c>
      <c r="D546" t="str">
        <f>IFERROR(__xludf.DUMMYFUNCTION("""COMPUTED_VALUE"""),"-")</f>
        <v>-</v>
      </c>
      <c r="E546" t="str">
        <f>IFERROR(__xludf.DUMMYFUNCTION("""COMPUTED_VALUE"""),"-")</f>
        <v>-</v>
      </c>
      <c r="F546" t="str">
        <f>IFERROR(__xludf.DUMMYFUNCTION("""COMPUTED_VALUE"""),"-")</f>
        <v>-</v>
      </c>
      <c r="G546" t="str">
        <f>IFERROR(__xludf.DUMMYFUNCTION("""COMPUTED_VALUE"""),"-")</f>
        <v>-</v>
      </c>
      <c r="H546" t="str">
        <f>IFERROR(__xludf.DUMMYFUNCTION("""COMPUTED_VALUE"""),"-")</f>
        <v>-</v>
      </c>
      <c r="I546" t="str">
        <f>IFERROR(__xludf.DUMMYFUNCTION("""COMPUTED_VALUE"""),"-")</f>
        <v>-</v>
      </c>
      <c r="J546" t="str">
        <f>IFERROR(__xludf.DUMMYFUNCTION("""COMPUTED_VALUE"""),"-")</f>
        <v>-</v>
      </c>
      <c r="K546" t="str">
        <f>IFERROR(__xludf.DUMMYFUNCTION("""COMPUTED_VALUE"""),"-")</f>
        <v>-</v>
      </c>
      <c r="L546" t="str">
        <f>IFERROR(__xludf.DUMMYFUNCTION("""COMPUTED_VALUE"""),"-")</f>
        <v>-</v>
      </c>
      <c r="M546" t="str">
        <f>IFERROR(__xludf.DUMMYFUNCTION("""COMPUTED_VALUE"""),"-")</f>
        <v>-</v>
      </c>
      <c r="O546" t="str">
        <f>IFERROR(__xludf.DUMMYFUNCTION("""COMPUTED_VALUE"""),"#545")</f>
        <v>#545</v>
      </c>
      <c r="P546" t="str">
        <f>IFERROR(__xludf.DUMMYFUNCTION("""COMPUTED_VALUE"""),"David Cabas")</f>
        <v>David Cabas</v>
      </c>
      <c r="Q546">
        <f>IFERROR(__xludf.DUMMYFUNCTION("""COMPUTED_VALUE"""),1482.0)</f>
        <v>1482</v>
      </c>
      <c r="R546" t="str">
        <f>IFERROR(__xludf.DUMMYFUNCTION("""COMPUTED_VALUE"""),"-")</f>
        <v>-</v>
      </c>
      <c r="S546" t="str">
        <f>IFERROR(__xludf.DUMMYFUNCTION("""COMPUTED_VALUE"""),"-")</f>
        <v>-</v>
      </c>
      <c r="T546" t="str">
        <f>IFERROR(__xludf.DUMMYFUNCTION("""COMPUTED_VALUE"""),"-")</f>
        <v>-</v>
      </c>
      <c r="U546" t="str">
        <f>IFERROR(__xludf.DUMMYFUNCTION("""COMPUTED_VALUE"""),"-")</f>
        <v>-</v>
      </c>
      <c r="V546" t="str">
        <f>IFERROR(__xludf.DUMMYFUNCTION("""COMPUTED_VALUE"""),"-")</f>
        <v>-</v>
      </c>
      <c r="W546" t="str">
        <f>IFERROR(__xludf.DUMMYFUNCTION("""COMPUTED_VALUE"""),"-")</f>
        <v>-</v>
      </c>
      <c r="X546" t="str">
        <f>IFERROR(__xludf.DUMMYFUNCTION("""COMPUTED_VALUE"""),"-")</f>
        <v>-</v>
      </c>
      <c r="Y546" t="str">
        <f>IFERROR(__xludf.DUMMYFUNCTION("""COMPUTED_VALUE"""),"-")</f>
        <v>-</v>
      </c>
      <c r="Z546" t="str">
        <f>IFERROR(__xludf.DUMMYFUNCTION("""COMPUTED_VALUE"""),"-")</f>
        <v>-</v>
      </c>
      <c r="AA546" t="str">
        <f>IFERROR(__xludf.DUMMYFUNCTION("""COMPUTED_VALUE"""),"-")</f>
        <v>-</v>
      </c>
    </row>
    <row r="547">
      <c r="A547" t="str">
        <f>IFERROR(__xludf.DUMMYFUNCTION("""COMPUTED_VALUE"""),"#546")</f>
        <v>#546</v>
      </c>
      <c r="B547" t="str">
        <f>IFERROR(__xludf.DUMMYFUNCTION("""COMPUTED_VALUE"""),"Alain Pagano")</f>
        <v>Alain Pagano</v>
      </c>
      <c r="C547">
        <f>IFERROR(__xludf.DUMMYFUNCTION("""COMPUTED_VALUE"""),1481.0)</f>
        <v>1481</v>
      </c>
      <c r="D547" t="str">
        <f>IFERROR(__xludf.DUMMYFUNCTION("""COMPUTED_VALUE"""),"-")</f>
        <v>-</v>
      </c>
      <c r="E547" t="str">
        <f>IFERROR(__xludf.DUMMYFUNCTION("""COMPUTED_VALUE"""),"-")</f>
        <v>-</v>
      </c>
      <c r="F547" t="str">
        <f>IFERROR(__xludf.DUMMYFUNCTION("""COMPUTED_VALUE"""),"-")</f>
        <v>-</v>
      </c>
      <c r="G547" t="str">
        <f>IFERROR(__xludf.DUMMYFUNCTION("""COMPUTED_VALUE"""),"-")</f>
        <v>-</v>
      </c>
      <c r="H547" t="str">
        <f>IFERROR(__xludf.DUMMYFUNCTION("""COMPUTED_VALUE"""),"-")</f>
        <v>-</v>
      </c>
      <c r="I547" t="str">
        <f>IFERROR(__xludf.DUMMYFUNCTION("""COMPUTED_VALUE"""),"-")</f>
        <v>-</v>
      </c>
      <c r="J547" t="str">
        <f>IFERROR(__xludf.DUMMYFUNCTION("""COMPUTED_VALUE"""),"-")</f>
        <v>-</v>
      </c>
      <c r="K547" t="str">
        <f>IFERROR(__xludf.DUMMYFUNCTION("""COMPUTED_VALUE"""),"-")</f>
        <v>-</v>
      </c>
      <c r="L547" t="str">
        <f>IFERROR(__xludf.DUMMYFUNCTION("""COMPUTED_VALUE"""),"-")</f>
        <v>-</v>
      </c>
      <c r="M547" t="str">
        <f>IFERROR(__xludf.DUMMYFUNCTION("""COMPUTED_VALUE"""),"-")</f>
        <v>-</v>
      </c>
      <c r="O547" t="str">
        <f>IFERROR(__xludf.DUMMYFUNCTION("""COMPUTED_VALUE"""),"#546")</f>
        <v>#546</v>
      </c>
      <c r="P547" t="str">
        <f>IFERROR(__xludf.DUMMYFUNCTION("""COMPUTED_VALUE"""),"Alain Pagano")</f>
        <v>Alain Pagano</v>
      </c>
      <c r="Q547">
        <f>IFERROR(__xludf.DUMMYFUNCTION("""COMPUTED_VALUE"""),1481.0)</f>
        <v>1481</v>
      </c>
      <c r="R547" t="str">
        <f>IFERROR(__xludf.DUMMYFUNCTION("""COMPUTED_VALUE"""),"-")</f>
        <v>-</v>
      </c>
      <c r="S547" t="str">
        <f>IFERROR(__xludf.DUMMYFUNCTION("""COMPUTED_VALUE"""),"-")</f>
        <v>-</v>
      </c>
      <c r="T547" t="str">
        <f>IFERROR(__xludf.DUMMYFUNCTION("""COMPUTED_VALUE"""),"-")</f>
        <v>-</v>
      </c>
      <c r="U547" t="str">
        <f>IFERROR(__xludf.DUMMYFUNCTION("""COMPUTED_VALUE"""),"-")</f>
        <v>-</v>
      </c>
      <c r="V547" t="str">
        <f>IFERROR(__xludf.DUMMYFUNCTION("""COMPUTED_VALUE"""),"-")</f>
        <v>-</v>
      </c>
      <c r="W547" t="str">
        <f>IFERROR(__xludf.DUMMYFUNCTION("""COMPUTED_VALUE"""),"-")</f>
        <v>-</v>
      </c>
      <c r="X547" t="str">
        <f>IFERROR(__xludf.DUMMYFUNCTION("""COMPUTED_VALUE"""),"-")</f>
        <v>-</v>
      </c>
      <c r="Y547" t="str">
        <f>IFERROR(__xludf.DUMMYFUNCTION("""COMPUTED_VALUE"""),"-")</f>
        <v>-</v>
      </c>
      <c r="Z547" t="str">
        <f>IFERROR(__xludf.DUMMYFUNCTION("""COMPUTED_VALUE"""),"-")</f>
        <v>-</v>
      </c>
      <c r="AA547" t="str">
        <f>IFERROR(__xludf.DUMMYFUNCTION("""COMPUTED_VALUE"""),"-")</f>
        <v>-</v>
      </c>
    </row>
    <row r="548">
      <c r="A548" t="str">
        <f>IFERROR(__xludf.DUMMYFUNCTION("""COMPUTED_VALUE"""),"#547")</f>
        <v>#547</v>
      </c>
      <c r="B548" t="str">
        <f>IFERROR(__xludf.DUMMYFUNCTION("""COMPUTED_VALUE"""),"Jean-Louis Leveque")</f>
        <v>Jean-Louis Leveque</v>
      </c>
      <c r="C548">
        <f>IFERROR(__xludf.DUMMYFUNCTION("""COMPUTED_VALUE"""),1434.0)</f>
        <v>1434</v>
      </c>
      <c r="D548" t="str">
        <f>IFERROR(__xludf.DUMMYFUNCTION("""COMPUTED_VALUE"""),"-")</f>
        <v>-</v>
      </c>
      <c r="E548" t="str">
        <f>IFERROR(__xludf.DUMMYFUNCTION("""COMPUTED_VALUE"""),"-")</f>
        <v>-</v>
      </c>
      <c r="F548" t="str">
        <f>IFERROR(__xludf.DUMMYFUNCTION("""COMPUTED_VALUE"""),"-")</f>
        <v>-</v>
      </c>
      <c r="G548" t="str">
        <f>IFERROR(__xludf.DUMMYFUNCTION("""COMPUTED_VALUE"""),"-")</f>
        <v>-</v>
      </c>
      <c r="H548" t="str">
        <f>IFERROR(__xludf.DUMMYFUNCTION("""COMPUTED_VALUE"""),"-")</f>
        <v>-</v>
      </c>
      <c r="I548" t="str">
        <f>IFERROR(__xludf.DUMMYFUNCTION("""COMPUTED_VALUE"""),"-")</f>
        <v>-</v>
      </c>
      <c r="J548" t="str">
        <f>IFERROR(__xludf.DUMMYFUNCTION("""COMPUTED_VALUE"""),"-")</f>
        <v>-</v>
      </c>
      <c r="K548" t="str">
        <f>IFERROR(__xludf.DUMMYFUNCTION("""COMPUTED_VALUE"""),"-")</f>
        <v>-</v>
      </c>
      <c r="L548" t="str">
        <f>IFERROR(__xludf.DUMMYFUNCTION("""COMPUTED_VALUE"""),"-")</f>
        <v>-</v>
      </c>
      <c r="M548" t="str">
        <f>IFERROR(__xludf.DUMMYFUNCTION("""COMPUTED_VALUE"""),"-")</f>
        <v>-</v>
      </c>
      <c r="O548" t="str">
        <f>IFERROR(__xludf.DUMMYFUNCTION("""COMPUTED_VALUE"""),"#547")</f>
        <v>#547</v>
      </c>
      <c r="P548" t="str">
        <f>IFERROR(__xludf.DUMMYFUNCTION("""COMPUTED_VALUE"""),"Jean-Louis Leveque")</f>
        <v>Jean-Louis Leveque</v>
      </c>
      <c r="Q548">
        <f>IFERROR(__xludf.DUMMYFUNCTION("""COMPUTED_VALUE"""),1434.0)</f>
        <v>1434</v>
      </c>
      <c r="R548" t="str">
        <f>IFERROR(__xludf.DUMMYFUNCTION("""COMPUTED_VALUE"""),"-")</f>
        <v>-</v>
      </c>
      <c r="S548" t="str">
        <f>IFERROR(__xludf.DUMMYFUNCTION("""COMPUTED_VALUE"""),"-")</f>
        <v>-</v>
      </c>
      <c r="T548" t="str">
        <f>IFERROR(__xludf.DUMMYFUNCTION("""COMPUTED_VALUE"""),"-")</f>
        <v>-</v>
      </c>
      <c r="U548" t="str">
        <f>IFERROR(__xludf.DUMMYFUNCTION("""COMPUTED_VALUE"""),"-")</f>
        <v>-</v>
      </c>
      <c r="V548" t="str">
        <f>IFERROR(__xludf.DUMMYFUNCTION("""COMPUTED_VALUE"""),"-")</f>
        <v>-</v>
      </c>
      <c r="W548" t="str">
        <f>IFERROR(__xludf.DUMMYFUNCTION("""COMPUTED_VALUE"""),"-")</f>
        <v>-</v>
      </c>
      <c r="X548" t="str">
        <f>IFERROR(__xludf.DUMMYFUNCTION("""COMPUTED_VALUE"""),"-")</f>
        <v>-</v>
      </c>
      <c r="Y548" t="str">
        <f>IFERROR(__xludf.DUMMYFUNCTION("""COMPUTED_VALUE"""),"-")</f>
        <v>-</v>
      </c>
      <c r="Z548" t="str">
        <f>IFERROR(__xludf.DUMMYFUNCTION("""COMPUTED_VALUE"""),"-")</f>
        <v>-</v>
      </c>
      <c r="AA548" t="str">
        <f>IFERROR(__xludf.DUMMYFUNCTION("""COMPUTED_VALUE"""),"-")</f>
        <v>-</v>
      </c>
    </row>
    <row r="549">
      <c r="A549" t="str">
        <f>IFERROR(__xludf.DUMMYFUNCTION("""COMPUTED_VALUE"""),"#548")</f>
        <v>#548</v>
      </c>
      <c r="B549" t="str">
        <f>IFERROR(__xludf.DUMMYFUNCTION("""COMPUTED_VALUE"""),"Jean-Jacques Vlody")</f>
        <v>Jean-Jacques Vlody</v>
      </c>
      <c r="C549">
        <f>IFERROR(__xludf.DUMMYFUNCTION("""COMPUTED_VALUE"""),1326.0)</f>
        <v>1326</v>
      </c>
      <c r="D549" t="str">
        <f>IFERROR(__xludf.DUMMYFUNCTION("""COMPUTED_VALUE"""),"-")</f>
        <v>-</v>
      </c>
      <c r="E549" t="str">
        <f>IFERROR(__xludf.DUMMYFUNCTION("""COMPUTED_VALUE"""),"-")</f>
        <v>-</v>
      </c>
      <c r="F549" t="str">
        <f>IFERROR(__xludf.DUMMYFUNCTION("""COMPUTED_VALUE"""),"-")</f>
        <v>-</v>
      </c>
      <c r="G549" t="str">
        <f>IFERROR(__xludf.DUMMYFUNCTION("""COMPUTED_VALUE"""),"-")</f>
        <v>-</v>
      </c>
      <c r="H549" t="str">
        <f>IFERROR(__xludf.DUMMYFUNCTION("""COMPUTED_VALUE"""),"-")</f>
        <v>-</v>
      </c>
      <c r="I549" t="str">
        <f>IFERROR(__xludf.DUMMYFUNCTION("""COMPUTED_VALUE"""),"-")</f>
        <v>-</v>
      </c>
      <c r="J549" t="str">
        <f>IFERROR(__xludf.DUMMYFUNCTION("""COMPUTED_VALUE"""),"-")</f>
        <v>-</v>
      </c>
      <c r="K549" t="str">
        <f>IFERROR(__xludf.DUMMYFUNCTION("""COMPUTED_VALUE"""),"-")</f>
        <v>-</v>
      </c>
      <c r="L549" t="str">
        <f>IFERROR(__xludf.DUMMYFUNCTION("""COMPUTED_VALUE"""),"-")</f>
        <v>-</v>
      </c>
      <c r="M549" t="str">
        <f>IFERROR(__xludf.DUMMYFUNCTION("""COMPUTED_VALUE"""),"-")</f>
        <v>-</v>
      </c>
      <c r="O549" t="str">
        <f>IFERROR(__xludf.DUMMYFUNCTION("""COMPUTED_VALUE"""),"#548")</f>
        <v>#548</v>
      </c>
      <c r="P549" t="str">
        <f>IFERROR(__xludf.DUMMYFUNCTION("""COMPUTED_VALUE"""),"Jean-Jacques Vlody")</f>
        <v>Jean-Jacques Vlody</v>
      </c>
      <c r="Q549">
        <f>IFERROR(__xludf.DUMMYFUNCTION("""COMPUTED_VALUE"""),1326.0)</f>
        <v>1326</v>
      </c>
      <c r="R549" t="str">
        <f>IFERROR(__xludf.DUMMYFUNCTION("""COMPUTED_VALUE"""),"-")</f>
        <v>-</v>
      </c>
      <c r="S549" t="str">
        <f>IFERROR(__xludf.DUMMYFUNCTION("""COMPUTED_VALUE"""),"-")</f>
        <v>-</v>
      </c>
      <c r="T549" t="str">
        <f>IFERROR(__xludf.DUMMYFUNCTION("""COMPUTED_VALUE"""),"-")</f>
        <v>-</v>
      </c>
      <c r="U549" t="str">
        <f>IFERROR(__xludf.DUMMYFUNCTION("""COMPUTED_VALUE"""),"-")</f>
        <v>-</v>
      </c>
      <c r="V549" t="str">
        <f>IFERROR(__xludf.DUMMYFUNCTION("""COMPUTED_VALUE"""),"-")</f>
        <v>-</v>
      </c>
      <c r="W549" t="str">
        <f>IFERROR(__xludf.DUMMYFUNCTION("""COMPUTED_VALUE"""),"-")</f>
        <v>-</v>
      </c>
      <c r="X549" t="str">
        <f>IFERROR(__xludf.DUMMYFUNCTION("""COMPUTED_VALUE"""),"-")</f>
        <v>-</v>
      </c>
      <c r="Y549" t="str">
        <f>IFERROR(__xludf.DUMMYFUNCTION("""COMPUTED_VALUE"""),"-")</f>
        <v>-</v>
      </c>
      <c r="Z549" t="str">
        <f>IFERROR(__xludf.DUMMYFUNCTION("""COMPUTED_VALUE"""),"-")</f>
        <v>-</v>
      </c>
      <c r="AA549" t="str">
        <f>IFERROR(__xludf.DUMMYFUNCTION("""COMPUTED_VALUE"""),"-")</f>
        <v>-</v>
      </c>
    </row>
    <row r="550">
      <c r="A550" t="str">
        <f>IFERROR(__xludf.DUMMYFUNCTION("""COMPUTED_VALUE"""),"#549")</f>
        <v>#549</v>
      </c>
      <c r="B550" t="str">
        <f>IFERROR(__xludf.DUMMYFUNCTION("""COMPUTED_VALUE"""),"Quentin Bourgeois")</f>
        <v>Quentin Bourgeois</v>
      </c>
      <c r="C550">
        <f>IFERROR(__xludf.DUMMYFUNCTION("""COMPUTED_VALUE"""),1292.0)</f>
        <v>1292</v>
      </c>
      <c r="D550" t="str">
        <f>IFERROR(__xludf.DUMMYFUNCTION("""COMPUTED_VALUE"""),"-")</f>
        <v>-</v>
      </c>
      <c r="E550" t="str">
        <f>IFERROR(__xludf.DUMMYFUNCTION("""COMPUTED_VALUE"""),"-")</f>
        <v>-</v>
      </c>
      <c r="F550" t="str">
        <f>IFERROR(__xludf.DUMMYFUNCTION("""COMPUTED_VALUE"""),"-")</f>
        <v>-</v>
      </c>
      <c r="G550" t="str">
        <f>IFERROR(__xludf.DUMMYFUNCTION("""COMPUTED_VALUE"""),"-")</f>
        <v>-</v>
      </c>
      <c r="H550" t="str">
        <f>IFERROR(__xludf.DUMMYFUNCTION("""COMPUTED_VALUE"""),"-")</f>
        <v>-</v>
      </c>
      <c r="I550" t="str">
        <f>IFERROR(__xludf.DUMMYFUNCTION("""COMPUTED_VALUE"""),"-")</f>
        <v>-</v>
      </c>
      <c r="J550" t="str">
        <f>IFERROR(__xludf.DUMMYFUNCTION("""COMPUTED_VALUE"""),"-")</f>
        <v>-</v>
      </c>
      <c r="K550" t="str">
        <f>IFERROR(__xludf.DUMMYFUNCTION("""COMPUTED_VALUE"""),"-")</f>
        <v>-</v>
      </c>
      <c r="L550" t="str">
        <f>IFERROR(__xludf.DUMMYFUNCTION("""COMPUTED_VALUE"""),"-")</f>
        <v>-</v>
      </c>
      <c r="M550" t="str">
        <f>IFERROR(__xludf.DUMMYFUNCTION("""COMPUTED_VALUE"""),"-")</f>
        <v>-</v>
      </c>
      <c r="O550" t="str">
        <f>IFERROR(__xludf.DUMMYFUNCTION("""COMPUTED_VALUE"""),"#549")</f>
        <v>#549</v>
      </c>
      <c r="P550" t="str">
        <f>IFERROR(__xludf.DUMMYFUNCTION("""COMPUTED_VALUE"""),"Quentin Bourgeois")</f>
        <v>Quentin Bourgeois</v>
      </c>
      <c r="Q550">
        <f>IFERROR(__xludf.DUMMYFUNCTION("""COMPUTED_VALUE"""),1292.0)</f>
        <v>1292</v>
      </c>
      <c r="R550" t="str">
        <f>IFERROR(__xludf.DUMMYFUNCTION("""COMPUTED_VALUE"""),"-")</f>
        <v>-</v>
      </c>
      <c r="S550" t="str">
        <f>IFERROR(__xludf.DUMMYFUNCTION("""COMPUTED_VALUE"""),"-")</f>
        <v>-</v>
      </c>
      <c r="T550" t="str">
        <f>IFERROR(__xludf.DUMMYFUNCTION("""COMPUTED_VALUE"""),"-")</f>
        <v>-</v>
      </c>
      <c r="U550" t="str">
        <f>IFERROR(__xludf.DUMMYFUNCTION("""COMPUTED_VALUE"""),"-")</f>
        <v>-</v>
      </c>
      <c r="V550" t="str">
        <f>IFERROR(__xludf.DUMMYFUNCTION("""COMPUTED_VALUE"""),"-")</f>
        <v>-</v>
      </c>
      <c r="W550" t="str">
        <f>IFERROR(__xludf.DUMMYFUNCTION("""COMPUTED_VALUE"""),"-")</f>
        <v>-</v>
      </c>
      <c r="X550" t="str">
        <f>IFERROR(__xludf.DUMMYFUNCTION("""COMPUTED_VALUE"""),"-")</f>
        <v>-</v>
      </c>
      <c r="Y550" t="str">
        <f>IFERROR(__xludf.DUMMYFUNCTION("""COMPUTED_VALUE"""),"-")</f>
        <v>-</v>
      </c>
      <c r="Z550" t="str">
        <f>IFERROR(__xludf.DUMMYFUNCTION("""COMPUTED_VALUE"""),"-")</f>
        <v>-</v>
      </c>
      <c r="AA550" t="str">
        <f>IFERROR(__xludf.DUMMYFUNCTION("""COMPUTED_VALUE"""),"-")</f>
        <v>-</v>
      </c>
    </row>
    <row r="551">
      <c r="A551" t="str">
        <f>IFERROR(__xludf.DUMMYFUNCTION("""COMPUTED_VALUE"""),"#550")</f>
        <v>#550</v>
      </c>
      <c r="B551" t="str">
        <f>IFERROR(__xludf.DUMMYFUNCTION("""COMPUTED_VALUE"""),"Eric Fordos")</f>
        <v>Eric Fordos</v>
      </c>
      <c r="C551">
        <f>IFERROR(__xludf.DUMMYFUNCTION("""COMPUTED_VALUE"""),1259.0)</f>
        <v>1259</v>
      </c>
      <c r="D551" t="str">
        <f>IFERROR(__xludf.DUMMYFUNCTION("""COMPUTED_VALUE"""),"-")</f>
        <v>-</v>
      </c>
      <c r="E551" t="str">
        <f>IFERROR(__xludf.DUMMYFUNCTION("""COMPUTED_VALUE"""),"-")</f>
        <v>-</v>
      </c>
      <c r="F551" t="str">
        <f>IFERROR(__xludf.DUMMYFUNCTION("""COMPUTED_VALUE"""),"-")</f>
        <v>-</v>
      </c>
      <c r="G551" t="str">
        <f>IFERROR(__xludf.DUMMYFUNCTION("""COMPUTED_VALUE"""),"-")</f>
        <v>-</v>
      </c>
      <c r="H551" t="str">
        <f>IFERROR(__xludf.DUMMYFUNCTION("""COMPUTED_VALUE"""),"-")</f>
        <v>-</v>
      </c>
      <c r="I551" t="str">
        <f>IFERROR(__xludf.DUMMYFUNCTION("""COMPUTED_VALUE"""),"-")</f>
        <v>-</v>
      </c>
      <c r="J551" t="str">
        <f>IFERROR(__xludf.DUMMYFUNCTION("""COMPUTED_VALUE"""),"-")</f>
        <v>-</v>
      </c>
      <c r="K551" t="str">
        <f>IFERROR(__xludf.DUMMYFUNCTION("""COMPUTED_VALUE"""),"-")</f>
        <v>-</v>
      </c>
      <c r="L551" t="str">
        <f>IFERROR(__xludf.DUMMYFUNCTION("""COMPUTED_VALUE"""),"-")</f>
        <v>-</v>
      </c>
      <c r="M551" t="str">
        <f>IFERROR(__xludf.DUMMYFUNCTION("""COMPUTED_VALUE"""),"-")</f>
        <v>-</v>
      </c>
      <c r="O551" t="str">
        <f>IFERROR(__xludf.DUMMYFUNCTION("""COMPUTED_VALUE"""),"#550")</f>
        <v>#550</v>
      </c>
      <c r="P551" t="str">
        <f>IFERROR(__xludf.DUMMYFUNCTION("""COMPUTED_VALUE"""),"Eric Fordos")</f>
        <v>Eric Fordos</v>
      </c>
      <c r="Q551">
        <f>IFERROR(__xludf.DUMMYFUNCTION("""COMPUTED_VALUE"""),1259.0)</f>
        <v>1259</v>
      </c>
      <c r="R551" t="str">
        <f>IFERROR(__xludf.DUMMYFUNCTION("""COMPUTED_VALUE"""),"-")</f>
        <v>-</v>
      </c>
      <c r="S551" t="str">
        <f>IFERROR(__xludf.DUMMYFUNCTION("""COMPUTED_VALUE"""),"-")</f>
        <v>-</v>
      </c>
      <c r="T551" t="str">
        <f>IFERROR(__xludf.DUMMYFUNCTION("""COMPUTED_VALUE"""),"-")</f>
        <v>-</v>
      </c>
      <c r="U551" t="str">
        <f>IFERROR(__xludf.DUMMYFUNCTION("""COMPUTED_VALUE"""),"-")</f>
        <v>-</v>
      </c>
      <c r="V551" t="str">
        <f>IFERROR(__xludf.DUMMYFUNCTION("""COMPUTED_VALUE"""),"-")</f>
        <v>-</v>
      </c>
      <c r="W551" t="str">
        <f>IFERROR(__xludf.DUMMYFUNCTION("""COMPUTED_VALUE"""),"-")</f>
        <v>-</v>
      </c>
      <c r="X551" t="str">
        <f>IFERROR(__xludf.DUMMYFUNCTION("""COMPUTED_VALUE"""),"-")</f>
        <v>-</v>
      </c>
      <c r="Y551" t="str">
        <f>IFERROR(__xludf.DUMMYFUNCTION("""COMPUTED_VALUE"""),"-")</f>
        <v>-</v>
      </c>
      <c r="Z551" t="str">
        <f>IFERROR(__xludf.DUMMYFUNCTION("""COMPUTED_VALUE"""),"-")</f>
        <v>-</v>
      </c>
      <c r="AA551" t="str">
        <f>IFERROR(__xludf.DUMMYFUNCTION("""COMPUTED_VALUE"""),"-")</f>
        <v>-</v>
      </c>
    </row>
    <row r="552">
      <c r="A552" t="str">
        <f>IFERROR(__xludf.DUMMYFUNCTION("""COMPUTED_VALUE"""),"#551")</f>
        <v>#551</v>
      </c>
      <c r="B552" t="str">
        <f>IFERROR(__xludf.DUMMYFUNCTION("""COMPUTED_VALUE"""),"Jean Glavany")</f>
        <v>Jean Glavany</v>
      </c>
      <c r="C552">
        <f>IFERROR(__xludf.DUMMYFUNCTION("""COMPUTED_VALUE"""),1164.0)</f>
        <v>1164</v>
      </c>
      <c r="D552" t="str">
        <f>IFERROR(__xludf.DUMMYFUNCTION("""COMPUTED_VALUE"""),"-")</f>
        <v>-</v>
      </c>
      <c r="E552" t="str">
        <f>IFERROR(__xludf.DUMMYFUNCTION("""COMPUTED_VALUE"""),"-")</f>
        <v>-</v>
      </c>
      <c r="F552" t="str">
        <f>IFERROR(__xludf.DUMMYFUNCTION("""COMPUTED_VALUE"""),"-")</f>
        <v>-</v>
      </c>
      <c r="G552" t="str">
        <f>IFERROR(__xludf.DUMMYFUNCTION("""COMPUTED_VALUE"""),"-")</f>
        <v>-</v>
      </c>
      <c r="H552" t="str">
        <f>IFERROR(__xludf.DUMMYFUNCTION("""COMPUTED_VALUE"""),"-")</f>
        <v>-</v>
      </c>
      <c r="I552" t="str">
        <f>IFERROR(__xludf.DUMMYFUNCTION("""COMPUTED_VALUE"""),"-")</f>
        <v>-</v>
      </c>
      <c r="J552" t="str">
        <f>IFERROR(__xludf.DUMMYFUNCTION("""COMPUTED_VALUE"""),"-")</f>
        <v>-</v>
      </c>
      <c r="K552" t="str">
        <f>IFERROR(__xludf.DUMMYFUNCTION("""COMPUTED_VALUE"""),"-")</f>
        <v>-</v>
      </c>
      <c r="L552" t="str">
        <f>IFERROR(__xludf.DUMMYFUNCTION("""COMPUTED_VALUE"""),"-")</f>
        <v>-</v>
      </c>
      <c r="M552" t="str">
        <f>IFERROR(__xludf.DUMMYFUNCTION("""COMPUTED_VALUE"""),"-")</f>
        <v>-</v>
      </c>
      <c r="O552" t="str">
        <f>IFERROR(__xludf.DUMMYFUNCTION("""COMPUTED_VALUE"""),"#551")</f>
        <v>#551</v>
      </c>
      <c r="P552" t="str">
        <f>IFERROR(__xludf.DUMMYFUNCTION("""COMPUTED_VALUE"""),"Jean Glavany")</f>
        <v>Jean Glavany</v>
      </c>
      <c r="Q552">
        <f>IFERROR(__xludf.DUMMYFUNCTION("""COMPUTED_VALUE"""),1164.0)</f>
        <v>1164</v>
      </c>
      <c r="R552" t="str">
        <f>IFERROR(__xludf.DUMMYFUNCTION("""COMPUTED_VALUE"""),"-")</f>
        <v>-</v>
      </c>
      <c r="S552" t="str">
        <f>IFERROR(__xludf.DUMMYFUNCTION("""COMPUTED_VALUE"""),"-")</f>
        <v>-</v>
      </c>
      <c r="T552" t="str">
        <f>IFERROR(__xludf.DUMMYFUNCTION("""COMPUTED_VALUE"""),"-")</f>
        <v>-</v>
      </c>
      <c r="U552" t="str">
        <f>IFERROR(__xludf.DUMMYFUNCTION("""COMPUTED_VALUE"""),"-")</f>
        <v>-</v>
      </c>
      <c r="V552" t="str">
        <f>IFERROR(__xludf.DUMMYFUNCTION("""COMPUTED_VALUE"""),"-")</f>
        <v>-</v>
      </c>
      <c r="W552" t="str">
        <f>IFERROR(__xludf.DUMMYFUNCTION("""COMPUTED_VALUE"""),"-")</f>
        <v>-</v>
      </c>
      <c r="X552" t="str">
        <f>IFERROR(__xludf.DUMMYFUNCTION("""COMPUTED_VALUE"""),"-")</f>
        <v>-</v>
      </c>
      <c r="Y552" t="str">
        <f>IFERROR(__xludf.DUMMYFUNCTION("""COMPUTED_VALUE"""),"-")</f>
        <v>-</v>
      </c>
      <c r="Z552" t="str">
        <f>IFERROR(__xludf.DUMMYFUNCTION("""COMPUTED_VALUE"""),"-")</f>
        <v>-</v>
      </c>
      <c r="AA552" t="str">
        <f>IFERROR(__xludf.DUMMYFUNCTION("""COMPUTED_VALUE"""),"-")</f>
        <v>-</v>
      </c>
    </row>
    <row r="553">
      <c r="A553" t="str">
        <f>IFERROR(__xludf.DUMMYFUNCTION("""COMPUTED_VALUE"""),"#552")</f>
        <v>#552</v>
      </c>
      <c r="B553" t="str">
        <f>IFERROR(__xludf.DUMMYFUNCTION("""COMPUTED_VALUE"""),"Gilles Deterville")</f>
        <v>Gilles Deterville</v>
      </c>
      <c r="C553">
        <f>IFERROR(__xludf.DUMMYFUNCTION("""COMPUTED_VALUE"""),1155.0)</f>
        <v>1155</v>
      </c>
      <c r="D553" t="str">
        <f>IFERROR(__xludf.DUMMYFUNCTION("""COMPUTED_VALUE"""),"-")</f>
        <v>-</v>
      </c>
      <c r="E553" t="str">
        <f>IFERROR(__xludf.DUMMYFUNCTION("""COMPUTED_VALUE"""),"-")</f>
        <v>-</v>
      </c>
      <c r="F553" t="str">
        <f>IFERROR(__xludf.DUMMYFUNCTION("""COMPUTED_VALUE"""),"-")</f>
        <v>-</v>
      </c>
      <c r="G553" t="str">
        <f>IFERROR(__xludf.DUMMYFUNCTION("""COMPUTED_VALUE"""),"-")</f>
        <v>-</v>
      </c>
      <c r="H553" t="str">
        <f>IFERROR(__xludf.DUMMYFUNCTION("""COMPUTED_VALUE"""),"-")</f>
        <v>-</v>
      </c>
      <c r="I553" t="str">
        <f>IFERROR(__xludf.DUMMYFUNCTION("""COMPUTED_VALUE"""),"-")</f>
        <v>-</v>
      </c>
      <c r="J553" t="str">
        <f>IFERROR(__xludf.DUMMYFUNCTION("""COMPUTED_VALUE"""),"-")</f>
        <v>-</v>
      </c>
      <c r="K553" t="str">
        <f>IFERROR(__xludf.DUMMYFUNCTION("""COMPUTED_VALUE"""),"-")</f>
        <v>-</v>
      </c>
      <c r="L553" t="str">
        <f>IFERROR(__xludf.DUMMYFUNCTION("""COMPUTED_VALUE"""),"-")</f>
        <v>-</v>
      </c>
      <c r="M553" t="str">
        <f>IFERROR(__xludf.DUMMYFUNCTION("""COMPUTED_VALUE"""),"-")</f>
        <v>-</v>
      </c>
      <c r="O553" t="str">
        <f>IFERROR(__xludf.DUMMYFUNCTION("""COMPUTED_VALUE"""),"#552")</f>
        <v>#552</v>
      </c>
      <c r="P553" t="str">
        <f>IFERROR(__xludf.DUMMYFUNCTION("""COMPUTED_VALUE"""),"Gilles Deterville")</f>
        <v>Gilles Deterville</v>
      </c>
      <c r="Q553">
        <f>IFERROR(__xludf.DUMMYFUNCTION("""COMPUTED_VALUE"""),1155.0)</f>
        <v>1155</v>
      </c>
      <c r="R553" t="str">
        <f>IFERROR(__xludf.DUMMYFUNCTION("""COMPUTED_VALUE"""),"-")</f>
        <v>-</v>
      </c>
      <c r="S553" t="str">
        <f>IFERROR(__xludf.DUMMYFUNCTION("""COMPUTED_VALUE"""),"-")</f>
        <v>-</v>
      </c>
      <c r="T553" t="str">
        <f>IFERROR(__xludf.DUMMYFUNCTION("""COMPUTED_VALUE"""),"-")</f>
        <v>-</v>
      </c>
      <c r="U553" t="str">
        <f>IFERROR(__xludf.DUMMYFUNCTION("""COMPUTED_VALUE"""),"-")</f>
        <v>-</v>
      </c>
      <c r="V553" t="str">
        <f>IFERROR(__xludf.DUMMYFUNCTION("""COMPUTED_VALUE"""),"-")</f>
        <v>-</v>
      </c>
      <c r="W553" t="str">
        <f>IFERROR(__xludf.DUMMYFUNCTION("""COMPUTED_VALUE"""),"-")</f>
        <v>-</v>
      </c>
      <c r="X553" t="str">
        <f>IFERROR(__xludf.DUMMYFUNCTION("""COMPUTED_VALUE"""),"-")</f>
        <v>-</v>
      </c>
      <c r="Y553" t="str">
        <f>IFERROR(__xludf.DUMMYFUNCTION("""COMPUTED_VALUE"""),"-")</f>
        <v>-</v>
      </c>
      <c r="Z553" t="str">
        <f>IFERROR(__xludf.DUMMYFUNCTION("""COMPUTED_VALUE"""),"-")</f>
        <v>-</v>
      </c>
      <c r="AA553" t="str">
        <f>IFERROR(__xludf.DUMMYFUNCTION("""COMPUTED_VALUE"""),"-")</f>
        <v>-</v>
      </c>
    </row>
    <row r="554">
      <c r="A554" t="str">
        <f>IFERROR(__xludf.DUMMYFUNCTION("""COMPUTED_VALUE"""),"#553")</f>
        <v>#553</v>
      </c>
      <c r="B554" t="str">
        <f>IFERROR(__xludf.DUMMYFUNCTION("""COMPUTED_VALUE"""),"Philippe Sueur")</f>
        <v>Philippe Sueur</v>
      </c>
      <c r="C554">
        <f>IFERROR(__xludf.DUMMYFUNCTION("""COMPUTED_VALUE"""),1123.0)</f>
        <v>1123</v>
      </c>
      <c r="D554" t="str">
        <f>IFERROR(__xludf.DUMMYFUNCTION("""COMPUTED_VALUE"""),"-")</f>
        <v>-</v>
      </c>
      <c r="E554" t="str">
        <f>IFERROR(__xludf.DUMMYFUNCTION("""COMPUTED_VALUE"""),"-")</f>
        <v>-</v>
      </c>
      <c r="F554" t="str">
        <f>IFERROR(__xludf.DUMMYFUNCTION("""COMPUTED_VALUE"""),"-")</f>
        <v>-</v>
      </c>
      <c r="G554" t="str">
        <f>IFERROR(__xludf.DUMMYFUNCTION("""COMPUTED_VALUE"""),"-")</f>
        <v>-</v>
      </c>
      <c r="H554" t="str">
        <f>IFERROR(__xludf.DUMMYFUNCTION("""COMPUTED_VALUE"""),"-")</f>
        <v>-</v>
      </c>
      <c r="I554" t="str">
        <f>IFERROR(__xludf.DUMMYFUNCTION("""COMPUTED_VALUE"""),"-")</f>
        <v>-</v>
      </c>
      <c r="J554" t="str">
        <f>IFERROR(__xludf.DUMMYFUNCTION("""COMPUTED_VALUE"""),"-")</f>
        <v>-</v>
      </c>
      <c r="K554" t="str">
        <f>IFERROR(__xludf.DUMMYFUNCTION("""COMPUTED_VALUE"""),"-")</f>
        <v>-</v>
      </c>
      <c r="L554" t="str">
        <f>IFERROR(__xludf.DUMMYFUNCTION("""COMPUTED_VALUE"""),"-")</f>
        <v>-</v>
      </c>
      <c r="M554" t="str">
        <f>IFERROR(__xludf.DUMMYFUNCTION("""COMPUTED_VALUE"""),"-")</f>
        <v>-</v>
      </c>
      <c r="O554" t="str">
        <f>IFERROR(__xludf.DUMMYFUNCTION("""COMPUTED_VALUE"""),"#553")</f>
        <v>#553</v>
      </c>
      <c r="P554" t="str">
        <f>IFERROR(__xludf.DUMMYFUNCTION("""COMPUTED_VALUE"""),"Philippe Sueur")</f>
        <v>Philippe Sueur</v>
      </c>
      <c r="Q554">
        <f>IFERROR(__xludf.DUMMYFUNCTION("""COMPUTED_VALUE"""),1123.0)</f>
        <v>1123</v>
      </c>
      <c r="R554" t="str">
        <f>IFERROR(__xludf.DUMMYFUNCTION("""COMPUTED_VALUE"""),"-")</f>
        <v>-</v>
      </c>
      <c r="S554" t="str">
        <f>IFERROR(__xludf.DUMMYFUNCTION("""COMPUTED_VALUE"""),"-")</f>
        <v>-</v>
      </c>
      <c r="T554" t="str">
        <f>IFERROR(__xludf.DUMMYFUNCTION("""COMPUTED_VALUE"""),"-")</f>
        <v>-</v>
      </c>
      <c r="U554" t="str">
        <f>IFERROR(__xludf.DUMMYFUNCTION("""COMPUTED_VALUE"""),"-")</f>
        <v>-</v>
      </c>
      <c r="V554" t="str">
        <f>IFERROR(__xludf.DUMMYFUNCTION("""COMPUTED_VALUE"""),"-")</f>
        <v>-</v>
      </c>
      <c r="W554" t="str">
        <f>IFERROR(__xludf.DUMMYFUNCTION("""COMPUTED_VALUE"""),"-")</f>
        <v>-</v>
      </c>
      <c r="X554" t="str">
        <f>IFERROR(__xludf.DUMMYFUNCTION("""COMPUTED_VALUE"""),"-")</f>
        <v>-</v>
      </c>
      <c r="Y554" t="str">
        <f>IFERROR(__xludf.DUMMYFUNCTION("""COMPUTED_VALUE"""),"-")</f>
        <v>-</v>
      </c>
      <c r="Z554" t="str">
        <f>IFERROR(__xludf.DUMMYFUNCTION("""COMPUTED_VALUE"""),"-")</f>
        <v>-</v>
      </c>
      <c r="AA554" t="str">
        <f>IFERROR(__xludf.DUMMYFUNCTION("""COMPUTED_VALUE"""),"-")</f>
        <v>-</v>
      </c>
    </row>
    <row r="555">
      <c r="A555" t="str">
        <f>IFERROR(__xludf.DUMMYFUNCTION("""COMPUTED_VALUE"""),"#554")</f>
        <v>#554</v>
      </c>
      <c r="B555" t="str">
        <f>IFERROR(__xludf.DUMMYFUNCTION("""COMPUTED_VALUE"""),"Blanche Chaussat")</f>
        <v>Blanche Chaussat</v>
      </c>
      <c r="C555">
        <f>IFERROR(__xludf.DUMMYFUNCTION("""COMPUTED_VALUE"""),1112.0)</f>
        <v>1112</v>
      </c>
      <c r="D555" t="str">
        <f>IFERROR(__xludf.DUMMYFUNCTION("""COMPUTED_VALUE"""),"-")</f>
        <v>-</v>
      </c>
      <c r="E555" t="str">
        <f>IFERROR(__xludf.DUMMYFUNCTION("""COMPUTED_VALUE"""),"-")</f>
        <v>-</v>
      </c>
      <c r="F555" t="str">
        <f>IFERROR(__xludf.DUMMYFUNCTION("""COMPUTED_VALUE"""),"-")</f>
        <v>-</v>
      </c>
      <c r="G555" t="str">
        <f>IFERROR(__xludf.DUMMYFUNCTION("""COMPUTED_VALUE"""),"-")</f>
        <v>-</v>
      </c>
      <c r="H555" t="str">
        <f>IFERROR(__xludf.DUMMYFUNCTION("""COMPUTED_VALUE"""),"-")</f>
        <v>-</v>
      </c>
      <c r="I555" t="str">
        <f>IFERROR(__xludf.DUMMYFUNCTION("""COMPUTED_VALUE"""),"-")</f>
        <v>-</v>
      </c>
      <c r="J555" t="str">
        <f>IFERROR(__xludf.DUMMYFUNCTION("""COMPUTED_VALUE"""),"-")</f>
        <v>-</v>
      </c>
      <c r="K555" t="str">
        <f>IFERROR(__xludf.DUMMYFUNCTION("""COMPUTED_VALUE"""),"-")</f>
        <v>-</v>
      </c>
      <c r="L555" t="str">
        <f>IFERROR(__xludf.DUMMYFUNCTION("""COMPUTED_VALUE"""),"-")</f>
        <v>-</v>
      </c>
      <c r="M555" t="str">
        <f>IFERROR(__xludf.DUMMYFUNCTION("""COMPUTED_VALUE"""),"-")</f>
        <v>-</v>
      </c>
      <c r="O555" t="str">
        <f>IFERROR(__xludf.DUMMYFUNCTION("""COMPUTED_VALUE"""),"#554")</f>
        <v>#554</v>
      </c>
      <c r="P555" t="str">
        <f>IFERROR(__xludf.DUMMYFUNCTION("""COMPUTED_VALUE"""),"Blanche Chaussat")</f>
        <v>Blanche Chaussat</v>
      </c>
      <c r="Q555">
        <f>IFERROR(__xludf.DUMMYFUNCTION("""COMPUTED_VALUE"""),1112.0)</f>
        <v>1112</v>
      </c>
      <c r="R555" t="str">
        <f>IFERROR(__xludf.DUMMYFUNCTION("""COMPUTED_VALUE"""),"-")</f>
        <v>-</v>
      </c>
      <c r="S555" t="str">
        <f>IFERROR(__xludf.DUMMYFUNCTION("""COMPUTED_VALUE"""),"-")</f>
        <v>-</v>
      </c>
      <c r="T555" t="str">
        <f>IFERROR(__xludf.DUMMYFUNCTION("""COMPUTED_VALUE"""),"-")</f>
        <v>-</v>
      </c>
      <c r="U555" t="str">
        <f>IFERROR(__xludf.DUMMYFUNCTION("""COMPUTED_VALUE"""),"-")</f>
        <v>-</v>
      </c>
      <c r="V555" t="str">
        <f>IFERROR(__xludf.DUMMYFUNCTION("""COMPUTED_VALUE"""),"-")</f>
        <v>-</v>
      </c>
      <c r="W555" t="str">
        <f>IFERROR(__xludf.DUMMYFUNCTION("""COMPUTED_VALUE"""),"-")</f>
        <v>-</v>
      </c>
      <c r="X555" t="str">
        <f>IFERROR(__xludf.DUMMYFUNCTION("""COMPUTED_VALUE"""),"-")</f>
        <v>-</v>
      </c>
      <c r="Y555" t="str">
        <f>IFERROR(__xludf.DUMMYFUNCTION("""COMPUTED_VALUE"""),"-")</f>
        <v>-</v>
      </c>
      <c r="Z555" t="str">
        <f>IFERROR(__xludf.DUMMYFUNCTION("""COMPUTED_VALUE"""),"-")</f>
        <v>-</v>
      </c>
      <c r="AA555" t="str">
        <f>IFERROR(__xludf.DUMMYFUNCTION("""COMPUTED_VALUE"""),"-")</f>
        <v>-</v>
      </c>
    </row>
    <row r="556">
      <c r="A556" t="str">
        <f>IFERROR(__xludf.DUMMYFUNCTION("""COMPUTED_VALUE"""),"#555")</f>
        <v>#555</v>
      </c>
      <c r="B556" t="str">
        <f>IFERROR(__xludf.DUMMYFUNCTION("""COMPUTED_VALUE"""),"Antoine Goblet")</f>
        <v>Antoine Goblet</v>
      </c>
      <c r="C556">
        <f>IFERROR(__xludf.DUMMYFUNCTION("""COMPUTED_VALUE"""),1097.0)</f>
        <v>1097</v>
      </c>
      <c r="D556" t="str">
        <f>IFERROR(__xludf.DUMMYFUNCTION("""COMPUTED_VALUE"""),"-")</f>
        <v>-</v>
      </c>
      <c r="E556" t="str">
        <f>IFERROR(__xludf.DUMMYFUNCTION("""COMPUTED_VALUE"""),"-")</f>
        <v>-</v>
      </c>
      <c r="F556" t="str">
        <f>IFERROR(__xludf.DUMMYFUNCTION("""COMPUTED_VALUE"""),"-")</f>
        <v>-</v>
      </c>
      <c r="G556" t="str">
        <f>IFERROR(__xludf.DUMMYFUNCTION("""COMPUTED_VALUE"""),"-")</f>
        <v>-</v>
      </c>
      <c r="H556" t="str">
        <f>IFERROR(__xludf.DUMMYFUNCTION("""COMPUTED_VALUE"""),"-")</f>
        <v>-</v>
      </c>
      <c r="I556" t="str">
        <f>IFERROR(__xludf.DUMMYFUNCTION("""COMPUTED_VALUE"""),"-")</f>
        <v>-</v>
      </c>
      <c r="J556" t="str">
        <f>IFERROR(__xludf.DUMMYFUNCTION("""COMPUTED_VALUE"""),"-")</f>
        <v>-</v>
      </c>
      <c r="K556" t="str">
        <f>IFERROR(__xludf.DUMMYFUNCTION("""COMPUTED_VALUE"""),"-")</f>
        <v>-</v>
      </c>
      <c r="L556" t="str">
        <f>IFERROR(__xludf.DUMMYFUNCTION("""COMPUTED_VALUE"""),"-")</f>
        <v>-</v>
      </c>
      <c r="M556" t="str">
        <f>IFERROR(__xludf.DUMMYFUNCTION("""COMPUTED_VALUE"""),"-")</f>
        <v>-</v>
      </c>
      <c r="O556" t="str">
        <f>IFERROR(__xludf.DUMMYFUNCTION("""COMPUTED_VALUE"""),"#555")</f>
        <v>#555</v>
      </c>
      <c r="P556" t="str">
        <f>IFERROR(__xludf.DUMMYFUNCTION("""COMPUTED_VALUE"""),"Antoine Goblet")</f>
        <v>Antoine Goblet</v>
      </c>
      <c r="Q556">
        <f>IFERROR(__xludf.DUMMYFUNCTION("""COMPUTED_VALUE"""),1097.0)</f>
        <v>1097</v>
      </c>
      <c r="R556" t="str">
        <f>IFERROR(__xludf.DUMMYFUNCTION("""COMPUTED_VALUE"""),"-")</f>
        <v>-</v>
      </c>
      <c r="S556" t="str">
        <f>IFERROR(__xludf.DUMMYFUNCTION("""COMPUTED_VALUE"""),"-")</f>
        <v>-</v>
      </c>
      <c r="T556" t="str">
        <f>IFERROR(__xludf.DUMMYFUNCTION("""COMPUTED_VALUE"""),"-")</f>
        <v>-</v>
      </c>
      <c r="U556" t="str">
        <f>IFERROR(__xludf.DUMMYFUNCTION("""COMPUTED_VALUE"""),"-")</f>
        <v>-</v>
      </c>
      <c r="V556" t="str">
        <f>IFERROR(__xludf.DUMMYFUNCTION("""COMPUTED_VALUE"""),"-")</f>
        <v>-</v>
      </c>
      <c r="W556" t="str">
        <f>IFERROR(__xludf.DUMMYFUNCTION("""COMPUTED_VALUE"""),"-")</f>
        <v>-</v>
      </c>
      <c r="X556" t="str">
        <f>IFERROR(__xludf.DUMMYFUNCTION("""COMPUTED_VALUE"""),"-")</f>
        <v>-</v>
      </c>
      <c r="Y556" t="str">
        <f>IFERROR(__xludf.DUMMYFUNCTION("""COMPUTED_VALUE"""),"-")</f>
        <v>-</v>
      </c>
      <c r="Z556" t="str">
        <f>IFERROR(__xludf.DUMMYFUNCTION("""COMPUTED_VALUE"""),"-")</f>
        <v>-</v>
      </c>
      <c r="AA556" t="str">
        <f>IFERROR(__xludf.DUMMYFUNCTION("""COMPUTED_VALUE"""),"-")</f>
        <v>-</v>
      </c>
    </row>
    <row r="557">
      <c r="A557" t="str">
        <f>IFERROR(__xludf.DUMMYFUNCTION("""COMPUTED_VALUE"""),"#556")</f>
        <v>#556</v>
      </c>
      <c r="B557" t="str">
        <f>IFERROR(__xludf.DUMMYFUNCTION("""COMPUTED_VALUE"""),"Maxime Royer")</f>
        <v>Maxime Royer</v>
      </c>
      <c r="C557">
        <f>IFERROR(__xludf.DUMMYFUNCTION("""COMPUTED_VALUE"""),1083.0)</f>
        <v>1083</v>
      </c>
      <c r="D557" t="str">
        <f>IFERROR(__xludf.DUMMYFUNCTION("""COMPUTED_VALUE"""),"-")</f>
        <v>-</v>
      </c>
      <c r="E557" t="str">
        <f>IFERROR(__xludf.DUMMYFUNCTION("""COMPUTED_VALUE"""),"-")</f>
        <v>-</v>
      </c>
      <c r="F557" t="str">
        <f>IFERROR(__xludf.DUMMYFUNCTION("""COMPUTED_VALUE"""),"-")</f>
        <v>-</v>
      </c>
      <c r="G557" t="str">
        <f>IFERROR(__xludf.DUMMYFUNCTION("""COMPUTED_VALUE"""),"-")</f>
        <v>-</v>
      </c>
      <c r="H557" t="str">
        <f>IFERROR(__xludf.DUMMYFUNCTION("""COMPUTED_VALUE"""),"-")</f>
        <v>-</v>
      </c>
      <c r="I557" t="str">
        <f>IFERROR(__xludf.DUMMYFUNCTION("""COMPUTED_VALUE"""),"-")</f>
        <v>-</v>
      </c>
      <c r="J557" t="str">
        <f>IFERROR(__xludf.DUMMYFUNCTION("""COMPUTED_VALUE"""),"-")</f>
        <v>-</v>
      </c>
      <c r="K557" t="str">
        <f>IFERROR(__xludf.DUMMYFUNCTION("""COMPUTED_VALUE"""),"-")</f>
        <v>-</v>
      </c>
      <c r="L557" t="str">
        <f>IFERROR(__xludf.DUMMYFUNCTION("""COMPUTED_VALUE"""),"-")</f>
        <v>-</v>
      </c>
      <c r="M557" t="str">
        <f>IFERROR(__xludf.DUMMYFUNCTION("""COMPUTED_VALUE"""),"-")</f>
        <v>-</v>
      </c>
      <c r="O557" t="str">
        <f>IFERROR(__xludf.DUMMYFUNCTION("""COMPUTED_VALUE"""),"#556")</f>
        <v>#556</v>
      </c>
      <c r="P557" t="str">
        <f>IFERROR(__xludf.DUMMYFUNCTION("""COMPUTED_VALUE"""),"Maxime Royer")</f>
        <v>Maxime Royer</v>
      </c>
      <c r="Q557">
        <f>IFERROR(__xludf.DUMMYFUNCTION("""COMPUTED_VALUE"""),1083.0)</f>
        <v>1083</v>
      </c>
      <c r="R557" t="str">
        <f>IFERROR(__xludf.DUMMYFUNCTION("""COMPUTED_VALUE"""),"-")</f>
        <v>-</v>
      </c>
      <c r="S557" t="str">
        <f>IFERROR(__xludf.DUMMYFUNCTION("""COMPUTED_VALUE"""),"-")</f>
        <v>-</v>
      </c>
      <c r="T557" t="str">
        <f>IFERROR(__xludf.DUMMYFUNCTION("""COMPUTED_VALUE"""),"-")</f>
        <v>-</v>
      </c>
      <c r="U557" t="str">
        <f>IFERROR(__xludf.DUMMYFUNCTION("""COMPUTED_VALUE"""),"-")</f>
        <v>-</v>
      </c>
      <c r="V557" t="str">
        <f>IFERROR(__xludf.DUMMYFUNCTION("""COMPUTED_VALUE"""),"-")</f>
        <v>-</v>
      </c>
      <c r="W557" t="str">
        <f>IFERROR(__xludf.DUMMYFUNCTION("""COMPUTED_VALUE"""),"-")</f>
        <v>-</v>
      </c>
      <c r="X557" t="str">
        <f>IFERROR(__xludf.DUMMYFUNCTION("""COMPUTED_VALUE"""),"-")</f>
        <v>-</v>
      </c>
      <c r="Y557" t="str">
        <f>IFERROR(__xludf.DUMMYFUNCTION("""COMPUTED_VALUE"""),"-")</f>
        <v>-</v>
      </c>
      <c r="Z557" t="str">
        <f>IFERROR(__xludf.DUMMYFUNCTION("""COMPUTED_VALUE"""),"-")</f>
        <v>-</v>
      </c>
      <c r="AA557" t="str">
        <f>IFERROR(__xludf.DUMMYFUNCTION("""COMPUTED_VALUE"""),"-")</f>
        <v>-</v>
      </c>
    </row>
    <row r="558">
      <c r="A558" t="str">
        <f>IFERROR(__xludf.DUMMYFUNCTION("""COMPUTED_VALUE"""),"#557")</f>
        <v>#557</v>
      </c>
      <c r="B558" t="str">
        <f>IFERROR(__xludf.DUMMYFUNCTION("""COMPUTED_VALUE"""),"François Loos")</f>
        <v>François Loos</v>
      </c>
      <c r="C558">
        <f>IFERROR(__xludf.DUMMYFUNCTION("""COMPUTED_VALUE"""),1054.0)</f>
        <v>1054</v>
      </c>
      <c r="D558" t="str">
        <f>IFERROR(__xludf.DUMMYFUNCTION("""COMPUTED_VALUE"""),"-")</f>
        <v>-</v>
      </c>
      <c r="E558" t="str">
        <f>IFERROR(__xludf.DUMMYFUNCTION("""COMPUTED_VALUE"""),"-")</f>
        <v>-</v>
      </c>
      <c r="F558" t="str">
        <f>IFERROR(__xludf.DUMMYFUNCTION("""COMPUTED_VALUE"""),"-")</f>
        <v>-</v>
      </c>
      <c r="G558" t="str">
        <f>IFERROR(__xludf.DUMMYFUNCTION("""COMPUTED_VALUE"""),"-")</f>
        <v>-</v>
      </c>
      <c r="H558" t="str">
        <f>IFERROR(__xludf.DUMMYFUNCTION("""COMPUTED_VALUE"""),"-")</f>
        <v>-</v>
      </c>
      <c r="I558" t="str">
        <f>IFERROR(__xludf.DUMMYFUNCTION("""COMPUTED_VALUE"""),"-")</f>
        <v>-</v>
      </c>
      <c r="J558" t="str">
        <f>IFERROR(__xludf.DUMMYFUNCTION("""COMPUTED_VALUE"""),"-")</f>
        <v>-</v>
      </c>
      <c r="K558" t="str">
        <f>IFERROR(__xludf.DUMMYFUNCTION("""COMPUTED_VALUE"""),"-")</f>
        <v>-</v>
      </c>
      <c r="L558" t="str">
        <f>IFERROR(__xludf.DUMMYFUNCTION("""COMPUTED_VALUE"""),"-")</f>
        <v>-</v>
      </c>
      <c r="M558" t="str">
        <f>IFERROR(__xludf.DUMMYFUNCTION("""COMPUTED_VALUE"""),"-")</f>
        <v>-</v>
      </c>
      <c r="O558" t="str">
        <f>IFERROR(__xludf.DUMMYFUNCTION("""COMPUTED_VALUE"""),"#557")</f>
        <v>#557</v>
      </c>
      <c r="P558" t="str">
        <f>IFERROR(__xludf.DUMMYFUNCTION("""COMPUTED_VALUE"""),"François Loos")</f>
        <v>François Loos</v>
      </c>
      <c r="Q558">
        <f>IFERROR(__xludf.DUMMYFUNCTION("""COMPUTED_VALUE"""),1054.0)</f>
        <v>1054</v>
      </c>
      <c r="R558" t="str">
        <f>IFERROR(__xludf.DUMMYFUNCTION("""COMPUTED_VALUE"""),"-")</f>
        <v>-</v>
      </c>
      <c r="S558" t="str">
        <f>IFERROR(__xludf.DUMMYFUNCTION("""COMPUTED_VALUE"""),"-")</f>
        <v>-</v>
      </c>
      <c r="T558" t="str">
        <f>IFERROR(__xludf.DUMMYFUNCTION("""COMPUTED_VALUE"""),"-")</f>
        <v>-</v>
      </c>
      <c r="U558" t="str">
        <f>IFERROR(__xludf.DUMMYFUNCTION("""COMPUTED_VALUE"""),"-")</f>
        <v>-</v>
      </c>
      <c r="V558" t="str">
        <f>IFERROR(__xludf.DUMMYFUNCTION("""COMPUTED_VALUE"""),"-")</f>
        <v>-</v>
      </c>
      <c r="W558" t="str">
        <f>IFERROR(__xludf.DUMMYFUNCTION("""COMPUTED_VALUE"""),"-")</f>
        <v>-</v>
      </c>
      <c r="X558" t="str">
        <f>IFERROR(__xludf.DUMMYFUNCTION("""COMPUTED_VALUE"""),"-")</f>
        <v>-</v>
      </c>
      <c r="Y558" t="str">
        <f>IFERROR(__xludf.DUMMYFUNCTION("""COMPUTED_VALUE"""),"-")</f>
        <v>-</v>
      </c>
      <c r="Z558" t="str">
        <f>IFERROR(__xludf.DUMMYFUNCTION("""COMPUTED_VALUE"""),"-")</f>
        <v>-</v>
      </c>
      <c r="AA558" t="str">
        <f>IFERROR(__xludf.DUMMYFUNCTION("""COMPUTED_VALUE"""),"-")</f>
        <v>-</v>
      </c>
    </row>
    <row r="559">
      <c r="A559" t="str">
        <f>IFERROR(__xludf.DUMMYFUNCTION("""COMPUTED_VALUE"""),"#558")</f>
        <v>#558</v>
      </c>
      <c r="B559" t="str">
        <f>IFERROR(__xludf.DUMMYFUNCTION("""COMPUTED_VALUE"""),"Cécile Bayle de Jessé")</f>
        <v>Cécile Bayle de Jessé</v>
      </c>
      <c r="C559">
        <f>IFERROR(__xludf.DUMMYFUNCTION("""COMPUTED_VALUE"""),1038.0)</f>
        <v>1038</v>
      </c>
      <c r="D559" t="str">
        <f>IFERROR(__xludf.DUMMYFUNCTION("""COMPUTED_VALUE"""),"-")</f>
        <v>-</v>
      </c>
      <c r="E559" t="str">
        <f>IFERROR(__xludf.DUMMYFUNCTION("""COMPUTED_VALUE"""),"-")</f>
        <v>-</v>
      </c>
      <c r="F559" t="str">
        <f>IFERROR(__xludf.DUMMYFUNCTION("""COMPUTED_VALUE"""),"-")</f>
        <v>-</v>
      </c>
      <c r="G559" t="str">
        <f>IFERROR(__xludf.DUMMYFUNCTION("""COMPUTED_VALUE"""),"-")</f>
        <v>-</v>
      </c>
      <c r="H559" t="str">
        <f>IFERROR(__xludf.DUMMYFUNCTION("""COMPUTED_VALUE"""),"-")</f>
        <v>-</v>
      </c>
      <c r="I559" t="str">
        <f>IFERROR(__xludf.DUMMYFUNCTION("""COMPUTED_VALUE"""),"-")</f>
        <v>-</v>
      </c>
      <c r="J559" t="str">
        <f>IFERROR(__xludf.DUMMYFUNCTION("""COMPUTED_VALUE"""),"-")</f>
        <v>-</v>
      </c>
      <c r="K559" t="str">
        <f>IFERROR(__xludf.DUMMYFUNCTION("""COMPUTED_VALUE"""),"-")</f>
        <v>-</v>
      </c>
      <c r="L559" t="str">
        <f>IFERROR(__xludf.DUMMYFUNCTION("""COMPUTED_VALUE"""),"-")</f>
        <v>-</v>
      </c>
      <c r="M559" t="str">
        <f>IFERROR(__xludf.DUMMYFUNCTION("""COMPUTED_VALUE"""),"-")</f>
        <v>-</v>
      </c>
      <c r="O559" t="str">
        <f>IFERROR(__xludf.DUMMYFUNCTION("""COMPUTED_VALUE"""),"#558")</f>
        <v>#558</v>
      </c>
      <c r="P559" t="str">
        <f>IFERROR(__xludf.DUMMYFUNCTION("""COMPUTED_VALUE"""),"Cécile Bayle de Jessé")</f>
        <v>Cécile Bayle de Jessé</v>
      </c>
      <c r="Q559">
        <f>IFERROR(__xludf.DUMMYFUNCTION("""COMPUTED_VALUE"""),1038.0)</f>
        <v>1038</v>
      </c>
      <c r="R559" t="str">
        <f>IFERROR(__xludf.DUMMYFUNCTION("""COMPUTED_VALUE"""),"-")</f>
        <v>-</v>
      </c>
      <c r="S559" t="str">
        <f>IFERROR(__xludf.DUMMYFUNCTION("""COMPUTED_VALUE"""),"-")</f>
        <v>-</v>
      </c>
      <c r="T559" t="str">
        <f>IFERROR(__xludf.DUMMYFUNCTION("""COMPUTED_VALUE"""),"-")</f>
        <v>-</v>
      </c>
      <c r="U559" t="str">
        <f>IFERROR(__xludf.DUMMYFUNCTION("""COMPUTED_VALUE"""),"-")</f>
        <v>-</v>
      </c>
      <c r="V559" t="str">
        <f>IFERROR(__xludf.DUMMYFUNCTION("""COMPUTED_VALUE"""),"-")</f>
        <v>-</v>
      </c>
      <c r="W559" t="str">
        <f>IFERROR(__xludf.DUMMYFUNCTION("""COMPUTED_VALUE"""),"-")</f>
        <v>-</v>
      </c>
      <c r="X559" t="str">
        <f>IFERROR(__xludf.DUMMYFUNCTION("""COMPUTED_VALUE"""),"-")</f>
        <v>-</v>
      </c>
      <c r="Y559" t="str">
        <f>IFERROR(__xludf.DUMMYFUNCTION("""COMPUTED_VALUE"""),"-")</f>
        <v>-</v>
      </c>
      <c r="Z559" t="str">
        <f>IFERROR(__xludf.DUMMYFUNCTION("""COMPUTED_VALUE"""),"-")</f>
        <v>-</v>
      </c>
      <c r="AA559" t="str">
        <f>IFERROR(__xludf.DUMMYFUNCTION("""COMPUTED_VALUE"""),"-")</f>
        <v>-</v>
      </c>
    </row>
    <row r="560">
      <c r="A560" t="str">
        <f>IFERROR(__xludf.DUMMYFUNCTION("""COMPUTED_VALUE"""),"#559")</f>
        <v>#559</v>
      </c>
      <c r="B560" t="str">
        <f>IFERROR(__xludf.DUMMYFUNCTION("""COMPUTED_VALUE"""),"Paul Zilmia")</f>
        <v>Paul Zilmia</v>
      </c>
      <c r="C560">
        <f>IFERROR(__xludf.DUMMYFUNCTION("""COMPUTED_VALUE"""),1035.0)</f>
        <v>1035</v>
      </c>
      <c r="D560" t="str">
        <f>IFERROR(__xludf.DUMMYFUNCTION("""COMPUTED_VALUE"""),"-")</f>
        <v>-</v>
      </c>
      <c r="E560" t="str">
        <f>IFERROR(__xludf.DUMMYFUNCTION("""COMPUTED_VALUE"""),"-")</f>
        <v>-</v>
      </c>
      <c r="F560" t="str">
        <f>IFERROR(__xludf.DUMMYFUNCTION("""COMPUTED_VALUE"""),"-")</f>
        <v>-</v>
      </c>
      <c r="G560" t="str">
        <f>IFERROR(__xludf.DUMMYFUNCTION("""COMPUTED_VALUE"""),"-")</f>
        <v>-</v>
      </c>
      <c r="H560" t="str">
        <f>IFERROR(__xludf.DUMMYFUNCTION("""COMPUTED_VALUE"""),"-")</f>
        <v>-</v>
      </c>
      <c r="I560" t="str">
        <f>IFERROR(__xludf.DUMMYFUNCTION("""COMPUTED_VALUE"""),"-")</f>
        <v>-</v>
      </c>
      <c r="J560" t="str">
        <f>IFERROR(__xludf.DUMMYFUNCTION("""COMPUTED_VALUE"""),"-")</f>
        <v>-</v>
      </c>
      <c r="K560" t="str">
        <f>IFERROR(__xludf.DUMMYFUNCTION("""COMPUTED_VALUE"""),"-")</f>
        <v>-</v>
      </c>
      <c r="L560" t="str">
        <f>IFERROR(__xludf.DUMMYFUNCTION("""COMPUTED_VALUE"""),"-")</f>
        <v>-</v>
      </c>
      <c r="M560" t="str">
        <f>IFERROR(__xludf.DUMMYFUNCTION("""COMPUTED_VALUE"""),"-")</f>
        <v>-</v>
      </c>
      <c r="O560" t="str">
        <f>IFERROR(__xludf.DUMMYFUNCTION("""COMPUTED_VALUE"""),"#559")</f>
        <v>#559</v>
      </c>
      <c r="P560" t="str">
        <f>IFERROR(__xludf.DUMMYFUNCTION("""COMPUTED_VALUE"""),"Paul Zilmia")</f>
        <v>Paul Zilmia</v>
      </c>
      <c r="Q560">
        <f>IFERROR(__xludf.DUMMYFUNCTION("""COMPUTED_VALUE"""),1035.0)</f>
        <v>1035</v>
      </c>
      <c r="R560" t="str">
        <f>IFERROR(__xludf.DUMMYFUNCTION("""COMPUTED_VALUE"""),"-")</f>
        <v>-</v>
      </c>
      <c r="S560" t="str">
        <f>IFERROR(__xludf.DUMMYFUNCTION("""COMPUTED_VALUE"""),"-")</f>
        <v>-</v>
      </c>
      <c r="T560" t="str">
        <f>IFERROR(__xludf.DUMMYFUNCTION("""COMPUTED_VALUE"""),"-")</f>
        <v>-</v>
      </c>
      <c r="U560" t="str">
        <f>IFERROR(__xludf.DUMMYFUNCTION("""COMPUTED_VALUE"""),"-")</f>
        <v>-</v>
      </c>
      <c r="V560" t="str">
        <f>IFERROR(__xludf.DUMMYFUNCTION("""COMPUTED_VALUE"""),"-")</f>
        <v>-</v>
      </c>
      <c r="W560" t="str">
        <f>IFERROR(__xludf.DUMMYFUNCTION("""COMPUTED_VALUE"""),"-")</f>
        <v>-</v>
      </c>
      <c r="X560" t="str">
        <f>IFERROR(__xludf.DUMMYFUNCTION("""COMPUTED_VALUE"""),"-")</f>
        <v>-</v>
      </c>
      <c r="Y560" t="str">
        <f>IFERROR(__xludf.DUMMYFUNCTION("""COMPUTED_VALUE"""),"-")</f>
        <v>-</v>
      </c>
      <c r="Z560" t="str">
        <f>IFERROR(__xludf.DUMMYFUNCTION("""COMPUTED_VALUE"""),"-")</f>
        <v>-</v>
      </c>
      <c r="AA560" t="str">
        <f>IFERROR(__xludf.DUMMYFUNCTION("""COMPUTED_VALUE"""),"-")</f>
        <v>-</v>
      </c>
    </row>
    <row r="561">
      <c r="A561" t="str">
        <f>IFERROR(__xludf.DUMMYFUNCTION("""COMPUTED_VALUE"""),"#560")</f>
        <v>#560</v>
      </c>
      <c r="B561" t="str">
        <f>IFERROR(__xludf.DUMMYFUNCTION("""COMPUTED_VALUE"""),"Jean Christophe Loutre")</f>
        <v>Jean Christophe Loutre</v>
      </c>
      <c r="C561">
        <f>IFERROR(__xludf.DUMMYFUNCTION("""COMPUTED_VALUE"""),1021.0)</f>
        <v>1021</v>
      </c>
      <c r="D561" t="str">
        <f>IFERROR(__xludf.DUMMYFUNCTION("""COMPUTED_VALUE"""),"-")</f>
        <v>-</v>
      </c>
      <c r="E561" t="str">
        <f>IFERROR(__xludf.DUMMYFUNCTION("""COMPUTED_VALUE"""),"-")</f>
        <v>-</v>
      </c>
      <c r="F561" t="str">
        <f>IFERROR(__xludf.DUMMYFUNCTION("""COMPUTED_VALUE"""),"-")</f>
        <v>-</v>
      </c>
      <c r="G561" t="str">
        <f>IFERROR(__xludf.DUMMYFUNCTION("""COMPUTED_VALUE"""),"-")</f>
        <v>-</v>
      </c>
      <c r="H561" t="str">
        <f>IFERROR(__xludf.DUMMYFUNCTION("""COMPUTED_VALUE"""),"-")</f>
        <v>-</v>
      </c>
      <c r="I561" t="str">
        <f>IFERROR(__xludf.DUMMYFUNCTION("""COMPUTED_VALUE"""),"-")</f>
        <v>-</v>
      </c>
      <c r="J561" t="str">
        <f>IFERROR(__xludf.DUMMYFUNCTION("""COMPUTED_VALUE"""),"-")</f>
        <v>-</v>
      </c>
      <c r="K561" t="str">
        <f>IFERROR(__xludf.DUMMYFUNCTION("""COMPUTED_VALUE"""),"-")</f>
        <v>-</v>
      </c>
      <c r="L561" t="str">
        <f>IFERROR(__xludf.DUMMYFUNCTION("""COMPUTED_VALUE"""),"-")</f>
        <v>-</v>
      </c>
      <c r="M561" t="str">
        <f>IFERROR(__xludf.DUMMYFUNCTION("""COMPUTED_VALUE"""),"-")</f>
        <v>-</v>
      </c>
      <c r="O561" t="str">
        <f>IFERROR(__xludf.DUMMYFUNCTION("""COMPUTED_VALUE"""),"#560")</f>
        <v>#560</v>
      </c>
      <c r="P561" t="str">
        <f>IFERROR(__xludf.DUMMYFUNCTION("""COMPUTED_VALUE"""),"Jean Christophe Loutre")</f>
        <v>Jean Christophe Loutre</v>
      </c>
      <c r="Q561">
        <f>IFERROR(__xludf.DUMMYFUNCTION("""COMPUTED_VALUE"""),1021.0)</f>
        <v>1021</v>
      </c>
      <c r="R561" t="str">
        <f>IFERROR(__xludf.DUMMYFUNCTION("""COMPUTED_VALUE"""),"-")</f>
        <v>-</v>
      </c>
      <c r="S561" t="str">
        <f>IFERROR(__xludf.DUMMYFUNCTION("""COMPUTED_VALUE"""),"-")</f>
        <v>-</v>
      </c>
      <c r="T561" t="str">
        <f>IFERROR(__xludf.DUMMYFUNCTION("""COMPUTED_VALUE"""),"-")</f>
        <v>-</v>
      </c>
      <c r="U561" t="str">
        <f>IFERROR(__xludf.DUMMYFUNCTION("""COMPUTED_VALUE"""),"-")</f>
        <v>-</v>
      </c>
      <c r="V561" t="str">
        <f>IFERROR(__xludf.DUMMYFUNCTION("""COMPUTED_VALUE"""),"-")</f>
        <v>-</v>
      </c>
      <c r="W561" t="str">
        <f>IFERROR(__xludf.DUMMYFUNCTION("""COMPUTED_VALUE"""),"-")</f>
        <v>-</v>
      </c>
      <c r="X561" t="str">
        <f>IFERROR(__xludf.DUMMYFUNCTION("""COMPUTED_VALUE"""),"-")</f>
        <v>-</v>
      </c>
      <c r="Y561" t="str">
        <f>IFERROR(__xludf.DUMMYFUNCTION("""COMPUTED_VALUE"""),"-")</f>
        <v>-</v>
      </c>
      <c r="Z561" t="str">
        <f>IFERROR(__xludf.DUMMYFUNCTION("""COMPUTED_VALUE"""),"-")</f>
        <v>-</v>
      </c>
      <c r="AA561" t="str">
        <f>IFERROR(__xludf.DUMMYFUNCTION("""COMPUTED_VALUE"""),"-")</f>
        <v>-</v>
      </c>
    </row>
    <row r="562">
      <c r="A562" t="str">
        <f>IFERROR(__xludf.DUMMYFUNCTION("""COMPUTED_VALUE"""),"#561")</f>
        <v>#561</v>
      </c>
      <c r="B562" t="str">
        <f>IFERROR(__xludf.DUMMYFUNCTION("""COMPUTED_VALUE"""),"Hugo Sonnier")</f>
        <v>Hugo Sonnier</v>
      </c>
      <c r="C562">
        <f>IFERROR(__xludf.DUMMYFUNCTION("""COMPUTED_VALUE"""),1013.0)</f>
        <v>1013</v>
      </c>
      <c r="D562" t="str">
        <f>IFERROR(__xludf.DUMMYFUNCTION("""COMPUTED_VALUE"""),"-")</f>
        <v>-</v>
      </c>
      <c r="E562" t="str">
        <f>IFERROR(__xludf.DUMMYFUNCTION("""COMPUTED_VALUE"""),"-")</f>
        <v>-</v>
      </c>
      <c r="F562" t="str">
        <f>IFERROR(__xludf.DUMMYFUNCTION("""COMPUTED_VALUE"""),"-")</f>
        <v>-</v>
      </c>
      <c r="G562" t="str">
        <f>IFERROR(__xludf.DUMMYFUNCTION("""COMPUTED_VALUE"""),"-")</f>
        <v>-</v>
      </c>
      <c r="H562" t="str">
        <f>IFERROR(__xludf.DUMMYFUNCTION("""COMPUTED_VALUE"""),"-")</f>
        <v>-</v>
      </c>
      <c r="I562" t="str">
        <f>IFERROR(__xludf.DUMMYFUNCTION("""COMPUTED_VALUE"""),"-")</f>
        <v>-</v>
      </c>
      <c r="J562" t="str">
        <f>IFERROR(__xludf.DUMMYFUNCTION("""COMPUTED_VALUE"""),"-")</f>
        <v>-</v>
      </c>
      <c r="K562" t="str">
        <f>IFERROR(__xludf.DUMMYFUNCTION("""COMPUTED_VALUE"""),"-")</f>
        <v>-</v>
      </c>
      <c r="L562" t="str">
        <f>IFERROR(__xludf.DUMMYFUNCTION("""COMPUTED_VALUE"""),"-")</f>
        <v>-</v>
      </c>
      <c r="M562" t="str">
        <f>IFERROR(__xludf.DUMMYFUNCTION("""COMPUTED_VALUE"""),"-")</f>
        <v>-</v>
      </c>
      <c r="O562" t="str">
        <f>IFERROR(__xludf.DUMMYFUNCTION("""COMPUTED_VALUE"""),"#561")</f>
        <v>#561</v>
      </c>
      <c r="P562" t="str">
        <f>IFERROR(__xludf.DUMMYFUNCTION("""COMPUTED_VALUE"""),"Hugo Sonnier")</f>
        <v>Hugo Sonnier</v>
      </c>
      <c r="Q562">
        <f>IFERROR(__xludf.DUMMYFUNCTION("""COMPUTED_VALUE"""),1013.0)</f>
        <v>1013</v>
      </c>
      <c r="R562" t="str">
        <f>IFERROR(__xludf.DUMMYFUNCTION("""COMPUTED_VALUE"""),"-")</f>
        <v>-</v>
      </c>
      <c r="S562" t="str">
        <f>IFERROR(__xludf.DUMMYFUNCTION("""COMPUTED_VALUE"""),"-")</f>
        <v>-</v>
      </c>
      <c r="T562" t="str">
        <f>IFERROR(__xludf.DUMMYFUNCTION("""COMPUTED_VALUE"""),"-")</f>
        <v>-</v>
      </c>
      <c r="U562" t="str">
        <f>IFERROR(__xludf.DUMMYFUNCTION("""COMPUTED_VALUE"""),"-")</f>
        <v>-</v>
      </c>
      <c r="V562" t="str">
        <f>IFERROR(__xludf.DUMMYFUNCTION("""COMPUTED_VALUE"""),"-")</f>
        <v>-</v>
      </c>
      <c r="W562" t="str">
        <f>IFERROR(__xludf.DUMMYFUNCTION("""COMPUTED_VALUE"""),"-")</f>
        <v>-</v>
      </c>
      <c r="X562" t="str">
        <f>IFERROR(__xludf.DUMMYFUNCTION("""COMPUTED_VALUE"""),"-")</f>
        <v>-</v>
      </c>
      <c r="Y562" t="str">
        <f>IFERROR(__xludf.DUMMYFUNCTION("""COMPUTED_VALUE"""),"-")</f>
        <v>-</v>
      </c>
      <c r="Z562" t="str">
        <f>IFERROR(__xludf.DUMMYFUNCTION("""COMPUTED_VALUE"""),"-")</f>
        <v>-</v>
      </c>
      <c r="AA562" t="str">
        <f>IFERROR(__xludf.DUMMYFUNCTION("""COMPUTED_VALUE"""),"-")</f>
        <v>-</v>
      </c>
    </row>
    <row r="563">
      <c r="A563" t="str">
        <f>IFERROR(__xludf.DUMMYFUNCTION("""COMPUTED_VALUE"""),"#562")</f>
        <v>#562</v>
      </c>
      <c r="B563" t="str">
        <f>IFERROR(__xludf.DUMMYFUNCTION("""COMPUTED_VALUE"""),"Alain Laffont")</f>
        <v>Alain Laffont</v>
      </c>
      <c r="C563">
        <f>IFERROR(__xludf.DUMMYFUNCTION("""COMPUTED_VALUE"""),1006.0)</f>
        <v>1006</v>
      </c>
      <c r="D563" t="str">
        <f>IFERROR(__xludf.DUMMYFUNCTION("""COMPUTED_VALUE"""),"-")</f>
        <v>-</v>
      </c>
      <c r="E563" t="str">
        <f>IFERROR(__xludf.DUMMYFUNCTION("""COMPUTED_VALUE"""),"-")</f>
        <v>-</v>
      </c>
      <c r="F563" t="str">
        <f>IFERROR(__xludf.DUMMYFUNCTION("""COMPUTED_VALUE"""),"-")</f>
        <v>-</v>
      </c>
      <c r="G563" t="str">
        <f>IFERROR(__xludf.DUMMYFUNCTION("""COMPUTED_VALUE"""),"-")</f>
        <v>-</v>
      </c>
      <c r="H563" t="str">
        <f>IFERROR(__xludf.DUMMYFUNCTION("""COMPUTED_VALUE"""),"-")</f>
        <v>-</v>
      </c>
      <c r="I563" t="str">
        <f>IFERROR(__xludf.DUMMYFUNCTION("""COMPUTED_VALUE"""),"-")</f>
        <v>-</v>
      </c>
      <c r="J563" t="str">
        <f>IFERROR(__xludf.DUMMYFUNCTION("""COMPUTED_VALUE"""),"-")</f>
        <v>-</v>
      </c>
      <c r="K563" t="str">
        <f>IFERROR(__xludf.DUMMYFUNCTION("""COMPUTED_VALUE"""),"-")</f>
        <v>-</v>
      </c>
      <c r="L563" t="str">
        <f>IFERROR(__xludf.DUMMYFUNCTION("""COMPUTED_VALUE"""),"-")</f>
        <v>-</v>
      </c>
      <c r="M563" t="str">
        <f>IFERROR(__xludf.DUMMYFUNCTION("""COMPUTED_VALUE"""),"-")</f>
        <v>-</v>
      </c>
      <c r="O563" t="str">
        <f>IFERROR(__xludf.DUMMYFUNCTION("""COMPUTED_VALUE"""),"#562")</f>
        <v>#562</v>
      </c>
      <c r="P563" t="str">
        <f>IFERROR(__xludf.DUMMYFUNCTION("""COMPUTED_VALUE"""),"Alain Laffont")</f>
        <v>Alain Laffont</v>
      </c>
      <c r="Q563">
        <f>IFERROR(__xludf.DUMMYFUNCTION("""COMPUTED_VALUE"""),1006.0)</f>
        <v>1006</v>
      </c>
      <c r="R563" t="str">
        <f>IFERROR(__xludf.DUMMYFUNCTION("""COMPUTED_VALUE"""),"-")</f>
        <v>-</v>
      </c>
      <c r="S563" t="str">
        <f>IFERROR(__xludf.DUMMYFUNCTION("""COMPUTED_VALUE"""),"-")</f>
        <v>-</v>
      </c>
      <c r="T563" t="str">
        <f>IFERROR(__xludf.DUMMYFUNCTION("""COMPUTED_VALUE"""),"-")</f>
        <v>-</v>
      </c>
      <c r="U563" t="str">
        <f>IFERROR(__xludf.DUMMYFUNCTION("""COMPUTED_VALUE"""),"-")</f>
        <v>-</v>
      </c>
      <c r="V563" t="str">
        <f>IFERROR(__xludf.DUMMYFUNCTION("""COMPUTED_VALUE"""),"-")</f>
        <v>-</v>
      </c>
      <c r="W563" t="str">
        <f>IFERROR(__xludf.DUMMYFUNCTION("""COMPUTED_VALUE"""),"-")</f>
        <v>-</v>
      </c>
      <c r="X563" t="str">
        <f>IFERROR(__xludf.DUMMYFUNCTION("""COMPUTED_VALUE"""),"-")</f>
        <v>-</v>
      </c>
      <c r="Y563" t="str">
        <f>IFERROR(__xludf.DUMMYFUNCTION("""COMPUTED_VALUE"""),"-")</f>
        <v>-</v>
      </c>
      <c r="Z563" t="str">
        <f>IFERROR(__xludf.DUMMYFUNCTION("""COMPUTED_VALUE"""),"-")</f>
        <v>-</v>
      </c>
      <c r="AA563" t="str">
        <f>IFERROR(__xludf.DUMMYFUNCTION("""COMPUTED_VALUE"""),"-")</f>
        <v>-</v>
      </c>
    </row>
    <row r="564">
      <c r="A564" t="str">
        <f>IFERROR(__xludf.DUMMYFUNCTION("""COMPUTED_VALUE"""),"#563")</f>
        <v>#563</v>
      </c>
      <c r="B564" t="str">
        <f>IFERROR(__xludf.DUMMYFUNCTION("""COMPUTED_VALUE"""),"René Louail")</f>
        <v>René Louail</v>
      </c>
      <c r="C564">
        <f>IFERROR(__xludf.DUMMYFUNCTION("""COMPUTED_VALUE"""),997.0)</f>
        <v>997</v>
      </c>
      <c r="D564" t="str">
        <f>IFERROR(__xludf.DUMMYFUNCTION("""COMPUTED_VALUE"""),"-")</f>
        <v>-</v>
      </c>
      <c r="E564" t="str">
        <f>IFERROR(__xludf.DUMMYFUNCTION("""COMPUTED_VALUE"""),"-")</f>
        <v>-</v>
      </c>
      <c r="F564" t="str">
        <f>IFERROR(__xludf.DUMMYFUNCTION("""COMPUTED_VALUE"""),"-")</f>
        <v>-</v>
      </c>
      <c r="G564" t="str">
        <f>IFERROR(__xludf.DUMMYFUNCTION("""COMPUTED_VALUE"""),"-")</f>
        <v>-</v>
      </c>
      <c r="H564" t="str">
        <f>IFERROR(__xludf.DUMMYFUNCTION("""COMPUTED_VALUE"""),"-")</f>
        <v>-</v>
      </c>
      <c r="I564" t="str">
        <f>IFERROR(__xludf.DUMMYFUNCTION("""COMPUTED_VALUE"""),"-")</f>
        <v>-</v>
      </c>
      <c r="J564" t="str">
        <f>IFERROR(__xludf.DUMMYFUNCTION("""COMPUTED_VALUE"""),"-")</f>
        <v>-</v>
      </c>
      <c r="K564" t="str">
        <f>IFERROR(__xludf.DUMMYFUNCTION("""COMPUTED_VALUE"""),"-")</f>
        <v>-</v>
      </c>
      <c r="L564" t="str">
        <f>IFERROR(__xludf.DUMMYFUNCTION("""COMPUTED_VALUE"""),"-")</f>
        <v>-</v>
      </c>
      <c r="M564" t="str">
        <f>IFERROR(__xludf.DUMMYFUNCTION("""COMPUTED_VALUE"""),"-")</f>
        <v>-</v>
      </c>
      <c r="O564" t="str">
        <f>IFERROR(__xludf.DUMMYFUNCTION("""COMPUTED_VALUE"""),"#563")</f>
        <v>#563</v>
      </c>
      <c r="P564" t="str">
        <f>IFERROR(__xludf.DUMMYFUNCTION("""COMPUTED_VALUE"""),"René Louail")</f>
        <v>René Louail</v>
      </c>
      <c r="Q564">
        <f>IFERROR(__xludf.DUMMYFUNCTION("""COMPUTED_VALUE"""),997.0)</f>
        <v>997</v>
      </c>
      <c r="R564" t="str">
        <f>IFERROR(__xludf.DUMMYFUNCTION("""COMPUTED_VALUE"""),"-")</f>
        <v>-</v>
      </c>
      <c r="S564" t="str">
        <f>IFERROR(__xludf.DUMMYFUNCTION("""COMPUTED_VALUE"""),"-")</f>
        <v>-</v>
      </c>
      <c r="T564" t="str">
        <f>IFERROR(__xludf.DUMMYFUNCTION("""COMPUTED_VALUE"""),"-")</f>
        <v>-</v>
      </c>
      <c r="U564" t="str">
        <f>IFERROR(__xludf.DUMMYFUNCTION("""COMPUTED_VALUE"""),"-")</f>
        <v>-</v>
      </c>
      <c r="V564" t="str">
        <f>IFERROR(__xludf.DUMMYFUNCTION("""COMPUTED_VALUE"""),"-")</f>
        <v>-</v>
      </c>
      <c r="W564" t="str">
        <f>IFERROR(__xludf.DUMMYFUNCTION("""COMPUTED_VALUE"""),"-")</f>
        <v>-</v>
      </c>
      <c r="X564" t="str">
        <f>IFERROR(__xludf.DUMMYFUNCTION("""COMPUTED_VALUE"""),"-")</f>
        <v>-</v>
      </c>
      <c r="Y564" t="str">
        <f>IFERROR(__xludf.DUMMYFUNCTION("""COMPUTED_VALUE"""),"-")</f>
        <v>-</v>
      </c>
      <c r="Z564" t="str">
        <f>IFERROR(__xludf.DUMMYFUNCTION("""COMPUTED_VALUE"""),"-")</f>
        <v>-</v>
      </c>
      <c r="AA564" t="str">
        <f>IFERROR(__xludf.DUMMYFUNCTION("""COMPUTED_VALUE"""),"-")</f>
        <v>-</v>
      </c>
    </row>
    <row r="565">
      <c r="A565" t="str">
        <f>IFERROR(__xludf.DUMMYFUNCTION("""COMPUTED_VALUE"""),"#564")</f>
        <v>#564</v>
      </c>
      <c r="B565" t="str">
        <f>IFERROR(__xludf.DUMMYFUNCTION("""COMPUTED_VALUE"""),"Noël Faucher")</f>
        <v>Noël Faucher</v>
      </c>
      <c r="C565">
        <f>IFERROR(__xludf.DUMMYFUNCTION("""COMPUTED_VALUE"""),954.0)</f>
        <v>954</v>
      </c>
      <c r="D565" t="str">
        <f>IFERROR(__xludf.DUMMYFUNCTION("""COMPUTED_VALUE"""),"-")</f>
        <v>-</v>
      </c>
      <c r="E565" t="str">
        <f>IFERROR(__xludf.DUMMYFUNCTION("""COMPUTED_VALUE"""),"-")</f>
        <v>-</v>
      </c>
      <c r="F565" t="str">
        <f>IFERROR(__xludf.DUMMYFUNCTION("""COMPUTED_VALUE"""),"-")</f>
        <v>-</v>
      </c>
      <c r="G565" t="str">
        <f>IFERROR(__xludf.DUMMYFUNCTION("""COMPUTED_VALUE"""),"-")</f>
        <v>-</v>
      </c>
      <c r="H565" t="str">
        <f>IFERROR(__xludf.DUMMYFUNCTION("""COMPUTED_VALUE"""),"-")</f>
        <v>-</v>
      </c>
      <c r="I565" t="str">
        <f>IFERROR(__xludf.DUMMYFUNCTION("""COMPUTED_VALUE"""),"-")</f>
        <v>-</v>
      </c>
      <c r="J565" t="str">
        <f>IFERROR(__xludf.DUMMYFUNCTION("""COMPUTED_VALUE"""),"-")</f>
        <v>-</v>
      </c>
      <c r="K565" t="str">
        <f>IFERROR(__xludf.DUMMYFUNCTION("""COMPUTED_VALUE"""),"-")</f>
        <v>-</v>
      </c>
      <c r="L565" t="str">
        <f>IFERROR(__xludf.DUMMYFUNCTION("""COMPUTED_VALUE"""),"-")</f>
        <v>-</v>
      </c>
      <c r="M565" t="str">
        <f>IFERROR(__xludf.DUMMYFUNCTION("""COMPUTED_VALUE"""),"-")</f>
        <v>-</v>
      </c>
      <c r="O565" t="str">
        <f>IFERROR(__xludf.DUMMYFUNCTION("""COMPUTED_VALUE"""),"#564")</f>
        <v>#564</v>
      </c>
      <c r="P565" t="str">
        <f>IFERROR(__xludf.DUMMYFUNCTION("""COMPUTED_VALUE"""),"Noël Faucher")</f>
        <v>Noël Faucher</v>
      </c>
      <c r="Q565">
        <f>IFERROR(__xludf.DUMMYFUNCTION("""COMPUTED_VALUE"""),954.0)</f>
        <v>954</v>
      </c>
      <c r="R565" t="str">
        <f>IFERROR(__xludf.DUMMYFUNCTION("""COMPUTED_VALUE"""),"-")</f>
        <v>-</v>
      </c>
      <c r="S565" t="str">
        <f>IFERROR(__xludf.DUMMYFUNCTION("""COMPUTED_VALUE"""),"-")</f>
        <v>-</v>
      </c>
      <c r="T565" t="str">
        <f>IFERROR(__xludf.DUMMYFUNCTION("""COMPUTED_VALUE"""),"-")</f>
        <v>-</v>
      </c>
      <c r="U565" t="str">
        <f>IFERROR(__xludf.DUMMYFUNCTION("""COMPUTED_VALUE"""),"-")</f>
        <v>-</v>
      </c>
      <c r="V565" t="str">
        <f>IFERROR(__xludf.DUMMYFUNCTION("""COMPUTED_VALUE"""),"-")</f>
        <v>-</v>
      </c>
      <c r="W565" t="str">
        <f>IFERROR(__xludf.DUMMYFUNCTION("""COMPUTED_VALUE"""),"-")</f>
        <v>-</v>
      </c>
      <c r="X565" t="str">
        <f>IFERROR(__xludf.DUMMYFUNCTION("""COMPUTED_VALUE"""),"-")</f>
        <v>-</v>
      </c>
      <c r="Y565" t="str">
        <f>IFERROR(__xludf.DUMMYFUNCTION("""COMPUTED_VALUE"""),"-")</f>
        <v>-</v>
      </c>
      <c r="Z565" t="str">
        <f>IFERROR(__xludf.DUMMYFUNCTION("""COMPUTED_VALUE"""),"-")</f>
        <v>-</v>
      </c>
      <c r="AA565" t="str">
        <f>IFERROR(__xludf.DUMMYFUNCTION("""COMPUTED_VALUE"""),"-")</f>
        <v>-</v>
      </c>
    </row>
    <row r="566">
      <c r="A566" t="str">
        <f>IFERROR(__xludf.DUMMYFUNCTION("""COMPUTED_VALUE"""),"#565")</f>
        <v>#565</v>
      </c>
      <c r="B566" t="str">
        <f>IFERROR(__xludf.DUMMYFUNCTION("""COMPUTED_VALUE"""),"Jean-philippe Lannoy")</f>
        <v>Jean-philippe Lannoy</v>
      </c>
      <c r="C566">
        <f>IFERROR(__xludf.DUMMYFUNCTION("""COMPUTED_VALUE"""),904.0)</f>
        <v>904</v>
      </c>
      <c r="D566" t="str">
        <f>IFERROR(__xludf.DUMMYFUNCTION("""COMPUTED_VALUE"""),"-")</f>
        <v>-</v>
      </c>
      <c r="E566" t="str">
        <f>IFERROR(__xludf.DUMMYFUNCTION("""COMPUTED_VALUE"""),"-")</f>
        <v>-</v>
      </c>
      <c r="F566" t="str">
        <f>IFERROR(__xludf.DUMMYFUNCTION("""COMPUTED_VALUE"""),"-")</f>
        <v>-</v>
      </c>
      <c r="G566" t="str">
        <f>IFERROR(__xludf.DUMMYFUNCTION("""COMPUTED_VALUE"""),"-")</f>
        <v>-</v>
      </c>
      <c r="H566" t="str">
        <f>IFERROR(__xludf.DUMMYFUNCTION("""COMPUTED_VALUE"""),"-")</f>
        <v>-</v>
      </c>
      <c r="I566" t="str">
        <f>IFERROR(__xludf.DUMMYFUNCTION("""COMPUTED_VALUE"""),"-")</f>
        <v>-</v>
      </c>
      <c r="J566" t="str">
        <f>IFERROR(__xludf.DUMMYFUNCTION("""COMPUTED_VALUE"""),"-")</f>
        <v>-</v>
      </c>
      <c r="K566" t="str">
        <f>IFERROR(__xludf.DUMMYFUNCTION("""COMPUTED_VALUE"""),"-")</f>
        <v>-</v>
      </c>
      <c r="L566" t="str">
        <f>IFERROR(__xludf.DUMMYFUNCTION("""COMPUTED_VALUE"""),"-")</f>
        <v>-</v>
      </c>
      <c r="M566" t="str">
        <f>IFERROR(__xludf.DUMMYFUNCTION("""COMPUTED_VALUE"""),"-")</f>
        <v>-</v>
      </c>
      <c r="O566" t="str">
        <f>IFERROR(__xludf.DUMMYFUNCTION("""COMPUTED_VALUE"""),"#565")</f>
        <v>#565</v>
      </c>
      <c r="P566" t="str">
        <f>IFERROR(__xludf.DUMMYFUNCTION("""COMPUTED_VALUE"""),"Jean-philippe Lannoy")</f>
        <v>Jean-philippe Lannoy</v>
      </c>
      <c r="Q566">
        <f>IFERROR(__xludf.DUMMYFUNCTION("""COMPUTED_VALUE"""),904.0)</f>
        <v>904</v>
      </c>
      <c r="R566" t="str">
        <f>IFERROR(__xludf.DUMMYFUNCTION("""COMPUTED_VALUE"""),"-")</f>
        <v>-</v>
      </c>
      <c r="S566" t="str">
        <f>IFERROR(__xludf.DUMMYFUNCTION("""COMPUTED_VALUE"""),"-")</f>
        <v>-</v>
      </c>
      <c r="T566" t="str">
        <f>IFERROR(__xludf.DUMMYFUNCTION("""COMPUTED_VALUE"""),"-")</f>
        <v>-</v>
      </c>
      <c r="U566" t="str">
        <f>IFERROR(__xludf.DUMMYFUNCTION("""COMPUTED_VALUE"""),"-")</f>
        <v>-</v>
      </c>
      <c r="V566" t="str">
        <f>IFERROR(__xludf.DUMMYFUNCTION("""COMPUTED_VALUE"""),"-")</f>
        <v>-</v>
      </c>
      <c r="W566" t="str">
        <f>IFERROR(__xludf.DUMMYFUNCTION("""COMPUTED_VALUE"""),"-")</f>
        <v>-</v>
      </c>
      <c r="X566" t="str">
        <f>IFERROR(__xludf.DUMMYFUNCTION("""COMPUTED_VALUE"""),"-")</f>
        <v>-</v>
      </c>
      <c r="Y566" t="str">
        <f>IFERROR(__xludf.DUMMYFUNCTION("""COMPUTED_VALUE"""),"-")</f>
        <v>-</v>
      </c>
      <c r="Z566" t="str">
        <f>IFERROR(__xludf.DUMMYFUNCTION("""COMPUTED_VALUE"""),"-")</f>
        <v>-</v>
      </c>
      <c r="AA566" t="str">
        <f>IFERROR(__xludf.DUMMYFUNCTION("""COMPUTED_VALUE"""),"-")</f>
        <v>-</v>
      </c>
    </row>
    <row r="567">
      <c r="A567" t="str">
        <f>IFERROR(__xludf.DUMMYFUNCTION("""COMPUTED_VALUE"""),"#566")</f>
        <v>#566</v>
      </c>
      <c r="B567" t="str">
        <f>IFERROR(__xludf.DUMMYFUNCTION("""COMPUTED_VALUE"""),"Julien Proffit")</f>
        <v>Julien Proffit</v>
      </c>
      <c r="C567">
        <f>IFERROR(__xludf.DUMMYFUNCTION("""COMPUTED_VALUE"""),902.0)</f>
        <v>902</v>
      </c>
      <c r="D567" t="str">
        <f>IFERROR(__xludf.DUMMYFUNCTION("""COMPUTED_VALUE"""),"-")</f>
        <v>-</v>
      </c>
      <c r="E567" t="str">
        <f>IFERROR(__xludf.DUMMYFUNCTION("""COMPUTED_VALUE"""),"-")</f>
        <v>-</v>
      </c>
      <c r="F567" t="str">
        <f>IFERROR(__xludf.DUMMYFUNCTION("""COMPUTED_VALUE"""),"-")</f>
        <v>-</v>
      </c>
      <c r="G567" t="str">
        <f>IFERROR(__xludf.DUMMYFUNCTION("""COMPUTED_VALUE"""),"-")</f>
        <v>-</v>
      </c>
      <c r="H567" t="str">
        <f>IFERROR(__xludf.DUMMYFUNCTION("""COMPUTED_VALUE"""),"-")</f>
        <v>-</v>
      </c>
      <c r="I567" t="str">
        <f>IFERROR(__xludf.DUMMYFUNCTION("""COMPUTED_VALUE"""),"-")</f>
        <v>-</v>
      </c>
      <c r="J567" t="str">
        <f>IFERROR(__xludf.DUMMYFUNCTION("""COMPUTED_VALUE"""),"-")</f>
        <v>-</v>
      </c>
      <c r="K567" t="str">
        <f>IFERROR(__xludf.DUMMYFUNCTION("""COMPUTED_VALUE"""),"-")</f>
        <v>-</v>
      </c>
      <c r="L567" t="str">
        <f>IFERROR(__xludf.DUMMYFUNCTION("""COMPUTED_VALUE"""),"-")</f>
        <v>-</v>
      </c>
      <c r="M567" t="str">
        <f>IFERROR(__xludf.DUMMYFUNCTION("""COMPUTED_VALUE"""),"-")</f>
        <v>-</v>
      </c>
      <c r="O567" t="str">
        <f>IFERROR(__xludf.DUMMYFUNCTION("""COMPUTED_VALUE"""),"#566")</f>
        <v>#566</v>
      </c>
      <c r="P567" t="str">
        <f>IFERROR(__xludf.DUMMYFUNCTION("""COMPUTED_VALUE"""),"Julien Proffit")</f>
        <v>Julien Proffit</v>
      </c>
      <c r="Q567">
        <f>IFERROR(__xludf.DUMMYFUNCTION("""COMPUTED_VALUE"""),902.0)</f>
        <v>902</v>
      </c>
      <c r="R567" t="str">
        <f>IFERROR(__xludf.DUMMYFUNCTION("""COMPUTED_VALUE"""),"-")</f>
        <v>-</v>
      </c>
      <c r="S567" t="str">
        <f>IFERROR(__xludf.DUMMYFUNCTION("""COMPUTED_VALUE"""),"-")</f>
        <v>-</v>
      </c>
      <c r="T567" t="str">
        <f>IFERROR(__xludf.DUMMYFUNCTION("""COMPUTED_VALUE"""),"-")</f>
        <v>-</v>
      </c>
      <c r="U567" t="str">
        <f>IFERROR(__xludf.DUMMYFUNCTION("""COMPUTED_VALUE"""),"-")</f>
        <v>-</v>
      </c>
      <c r="V567" t="str">
        <f>IFERROR(__xludf.DUMMYFUNCTION("""COMPUTED_VALUE"""),"-")</f>
        <v>-</v>
      </c>
      <c r="W567" t="str">
        <f>IFERROR(__xludf.DUMMYFUNCTION("""COMPUTED_VALUE"""),"-")</f>
        <v>-</v>
      </c>
      <c r="X567" t="str">
        <f>IFERROR(__xludf.DUMMYFUNCTION("""COMPUTED_VALUE"""),"-")</f>
        <v>-</v>
      </c>
      <c r="Y567" t="str">
        <f>IFERROR(__xludf.DUMMYFUNCTION("""COMPUTED_VALUE"""),"-")</f>
        <v>-</v>
      </c>
      <c r="Z567" t="str">
        <f>IFERROR(__xludf.DUMMYFUNCTION("""COMPUTED_VALUE"""),"-")</f>
        <v>-</v>
      </c>
      <c r="AA567" t="str">
        <f>IFERROR(__xludf.DUMMYFUNCTION("""COMPUTED_VALUE"""),"-")</f>
        <v>-</v>
      </c>
    </row>
    <row r="568">
      <c r="A568" t="str">
        <f>IFERROR(__xludf.DUMMYFUNCTION("""COMPUTED_VALUE"""),"#567")</f>
        <v>#567</v>
      </c>
      <c r="B568" t="str">
        <f>IFERROR(__xludf.DUMMYFUNCTION("""COMPUTED_VALUE"""),"Anne Laure Jaumouillié")</f>
        <v>Anne Laure Jaumouillié</v>
      </c>
      <c r="C568">
        <f>IFERROR(__xludf.DUMMYFUNCTION("""COMPUTED_VALUE"""),876.0)</f>
        <v>876</v>
      </c>
      <c r="D568" t="str">
        <f>IFERROR(__xludf.DUMMYFUNCTION("""COMPUTED_VALUE"""),"-")</f>
        <v>-</v>
      </c>
      <c r="E568" t="str">
        <f>IFERROR(__xludf.DUMMYFUNCTION("""COMPUTED_VALUE"""),"-")</f>
        <v>-</v>
      </c>
      <c r="F568" t="str">
        <f>IFERROR(__xludf.DUMMYFUNCTION("""COMPUTED_VALUE"""),"-")</f>
        <v>-</v>
      </c>
      <c r="G568" t="str">
        <f>IFERROR(__xludf.DUMMYFUNCTION("""COMPUTED_VALUE"""),"-")</f>
        <v>-</v>
      </c>
      <c r="H568" t="str">
        <f>IFERROR(__xludf.DUMMYFUNCTION("""COMPUTED_VALUE"""),"-")</f>
        <v>-</v>
      </c>
      <c r="I568" t="str">
        <f>IFERROR(__xludf.DUMMYFUNCTION("""COMPUTED_VALUE"""),"-")</f>
        <v>-</v>
      </c>
      <c r="J568" t="str">
        <f>IFERROR(__xludf.DUMMYFUNCTION("""COMPUTED_VALUE"""),"-")</f>
        <v>-</v>
      </c>
      <c r="K568" t="str">
        <f>IFERROR(__xludf.DUMMYFUNCTION("""COMPUTED_VALUE"""),"-")</f>
        <v>-</v>
      </c>
      <c r="L568" t="str">
        <f>IFERROR(__xludf.DUMMYFUNCTION("""COMPUTED_VALUE"""),"-")</f>
        <v>-</v>
      </c>
      <c r="M568" t="str">
        <f>IFERROR(__xludf.DUMMYFUNCTION("""COMPUTED_VALUE"""),"-")</f>
        <v>-</v>
      </c>
      <c r="O568" t="str">
        <f>IFERROR(__xludf.DUMMYFUNCTION("""COMPUTED_VALUE"""),"#567")</f>
        <v>#567</v>
      </c>
      <c r="P568" t="str">
        <f>IFERROR(__xludf.DUMMYFUNCTION("""COMPUTED_VALUE"""),"Anne Laure Jaumouillié")</f>
        <v>Anne Laure Jaumouillié</v>
      </c>
      <c r="Q568">
        <f>IFERROR(__xludf.DUMMYFUNCTION("""COMPUTED_VALUE"""),876.0)</f>
        <v>876</v>
      </c>
      <c r="R568" t="str">
        <f>IFERROR(__xludf.DUMMYFUNCTION("""COMPUTED_VALUE"""),"-")</f>
        <v>-</v>
      </c>
      <c r="S568" t="str">
        <f>IFERROR(__xludf.DUMMYFUNCTION("""COMPUTED_VALUE"""),"-")</f>
        <v>-</v>
      </c>
      <c r="T568" t="str">
        <f>IFERROR(__xludf.DUMMYFUNCTION("""COMPUTED_VALUE"""),"-")</f>
        <v>-</v>
      </c>
      <c r="U568" t="str">
        <f>IFERROR(__xludf.DUMMYFUNCTION("""COMPUTED_VALUE"""),"-")</f>
        <v>-</v>
      </c>
      <c r="V568" t="str">
        <f>IFERROR(__xludf.DUMMYFUNCTION("""COMPUTED_VALUE"""),"-")</f>
        <v>-</v>
      </c>
      <c r="W568" t="str">
        <f>IFERROR(__xludf.DUMMYFUNCTION("""COMPUTED_VALUE"""),"-")</f>
        <v>-</v>
      </c>
      <c r="X568" t="str">
        <f>IFERROR(__xludf.DUMMYFUNCTION("""COMPUTED_VALUE"""),"-")</f>
        <v>-</v>
      </c>
      <c r="Y568" t="str">
        <f>IFERROR(__xludf.DUMMYFUNCTION("""COMPUTED_VALUE"""),"-")</f>
        <v>-</v>
      </c>
      <c r="Z568" t="str">
        <f>IFERROR(__xludf.DUMMYFUNCTION("""COMPUTED_VALUE"""),"-")</f>
        <v>-</v>
      </c>
      <c r="AA568" t="str">
        <f>IFERROR(__xludf.DUMMYFUNCTION("""COMPUTED_VALUE"""),"-")</f>
        <v>-</v>
      </c>
    </row>
    <row r="569">
      <c r="A569" t="str">
        <f>IFERROR(__xludf.DUMMYFUNCTION("""COMPUTED_VALUE"""),"#568")</f>
        <v>#568</v>
      </c>
      <c r="B569" t="str">
        <f>IFERROR(__xludf.DUMMYFUNCTION("""COMPUTED_VALUE"""),"Thierry Barnabé")</f>
        <v>Thierry Barnabé</v>
      </c>
      <c r="C569">
        <f>IFERROR(__xludf.DUMMYFUNCTION("""COMPUTED_VALUE"""),852.0)</f>
        <v>852</v>
      </c>
      <c r="D569" t="str">
        <f>IFERROR(__xludf.DUMMYFUNCTION("""COMPUTED_VALUE"""),"-")</f>
        <v>-</v>
      </c>
      <c r="E569" t="str">
        <f>IFERROR(__xludf.DUMMYFUNCTION("""COMPUTED_VALUE"""),"-")</f>
        <v>-</v>
      </c>
      <c r="F569" t="str">
        <f>IFERROR(__xludf.DUMMYFUNCTION("""COMPUTED_VALUE"""),"-")</f>
        <v>-</v>
      </c>
      <c r="G569" t="str">
        <f>IFERROR(__xludf.DUMMYFUNCTION("""COMPUTED_VALUE"""),"-")</f>
        <v>-</v>
      </c>
      <c r="H569" t="str">
        <f>IFERROR(__xludf.DUMMYFUNCTION("""COMPUTED_VALUE"""),"-")</f>
        <v>-</v>
      </c>
      <c r="I569" t="str">
        <f>IFERROR(__xludf.DUMMYFUNCTION("""COMPUTED_VALUE"""),"-")</f>
        <v>-</v>
      </c>
      <c r="J569" t="str">
        <f>IFERROR(__xludf.DUMMYFUNCTION("""COMPUTED_VALUE"""),"-")</f>
        <v>-</v>
      </c>
      <c r="K569" t="str">
        <f>IFERROR(__xludf.DUMMYFUNCTION("""COMPUTED_VALUE"""),"-")</f>
        <v>-</v>
      </c>
      <c r="L569" t="str">
        <f>IFERROR(__xludf.DUMMYFUNCTION("""COMPUTED_VALUE"""),"-")</f>
        <v>-</v>
      </c>
      <c r="M569" t="str">
        <f>IFERROR(__xludf.DUMMYFUNCTION("""COMPUTED_VALUE"""),"-")</f>
        <v>-</v>
      </c>
      <c r="O569" t="str">
        <f>IFERROR(__xludf.DUMMYFUNCTION("""COMPUTED_VALUE"""),"#568")</f>
        <v>#568</v>
      </c>
      <c r="P569" t="str">
        <f>IFERROR(__xludf.DUMMYFUNCTION("""COMPUTED_VALUE"""),"Thierry Barnabé")</f>
        <v>Thierry Barnabé</v>
      </c>
      <c r="Q569">
        <f>IFERROR(__xludf.DUMMYFUNCTION("""COMPUTED_VALUE"""),852.0)</f>
        <v>852</v>
      </c>
      <c r="R569" t="str">
        <f>IFERROR(__xludf.DUMMYFUNCTION("""COMPUTED_VALUE"""),"-")</f>
        <v>-</v>
      </c>
      <c r="S569" t="str">
        <f>IFERROR(__xludf.DUMMYFUNCTION("""COMPUTED_VALUE"""),"-")</f>
        <v>-</v>
      </c>
      <c r="T569" t="str">
        <f>IFERROR(__xludf.DUMMYFUNCTION("""COMPUTED_VALUE"""),"-")</f>
        <v>-</v>
      </c>
      <c r="U569" t="str">
        <f>IFERROR(__xludf.DUMMYFUNCTION("""COMPUTED_VALUE"""),"-")</f>
        <v>-</v>
      </c>
      <c r="V569" t="str">
        <f>IFERROR(__xludf.DUMMYFUNCTION("""COMPUTED_VALUE"""),"-")</f>
        <v>-</v>
      </c>
      <c r="W569" t="str">
        <f>IFERROR(__xludf.DUMMYFUNCTION("""COMPUTED_VALUE"""),"-")</f>
        <v>-</v>
      </c>
      <c r="X569" t="str">
        <f>IFERROR(__xludf.DUMMYFUNCTION("""COMPUTED_VALUE"""),"-")</f>
        <v>-</v>
      </c>
      <c r="Y569" t="str">
        <f>IFERROR(__xludf.DUMMYFUNCTION("""COMPUTED_VALUE"""),"-")</f>
        <v>-</v>
      </c>
      <c r="Z569" t="str">
        <f>IFERROR(__xludf.DUMMYFUNCTION("""COMPUTED_VALUE"""),"-")</f>
        <v>-</v>
      </c>
      <c r="AA569" t="str">
        <f>IFERROR(__xludf.DUMMYFUNCTION("""COMPUTED_VALUE"""),"-")</f>
        <v>-</v>
      </c>
    </row>
    <row r="570">
      <c r="A570" t="str">
        <f>IFERROR(__xludf.DUMMYFUNCTION("""COMPUTED_VALUE"""),"#569")</f>
        <v>#569</v>
      </c>
      <c r="B570" t="str">
        <f>IFERROR(__xludf.DUMMYFUNCTION("""COMPUTED_VALUE"""),"Denis Broliquier")</f>
        <v>Denis Broliquier</v>
      </c>
      <c r="C570">
        <f>IFERROR(__xludf.DUMMYFUNCTION("""COMPUTED_VALUE"""),841.0)</f>
        <v>841</v>
      </c>
      <c r="D570" t="str">
        <f>IFERROR(__xludf.DUMMYFUNCTION("""COMPUTED_VALUE"""),"-")</f>
        <v>-</v>
      </c>
      <c r="E570" t="str">
        <f>IFERROR(__xludf.DUMMYFUNCTION("""COMPUTED_VALUE"""),"-")</f>
        <v>-</v>
      </c>
      <c r="F570" t="str">
        <f>IFERROR(__xludf.DUMMYFUNCTION("""COMPUTED_VALUE"""),"-")</f>
        <v>-</v>
      </c>
      <c r="G570" t="str">
        <f>IFERROR(__xludf.DUMMYFUNCTION("""COMPUTED_VALUE"""),"-")</f>
        <v>-</v>
      </c>
      <c r="H570" t="str">
        <f>IFERROR(__xludf.DUMMYFUNCTION("""COMPUTED_VALUE"""),"-")</f>
        <v>-</v>
      </c>
      <c r="I570" t="str">
        <f>IFERROR(__xludf.DUMMYFUNCTION("""COMPUTED_VALUE"""),"-")</f>
        <v>-</v>
      </c>
      <c r="J570" t="str">
        <f>IFERROR(__xludf.DUMMYFUNCTION("""COMPUTED_VALUE"""),"-")</f>
        <v>-</v>
      </c>
      <c r="K570" t="str">
        <f>IFERROR(__xludf.DUMMYFUNCTION("""COMPUTED_VALUE"""),"-")</f>
        <v>-</v>
      </c>
      <c r="L570" t="str">
        <f>IFERROR(__xludf.DUMMYFUNCTION("""COMPUTED_VALUE"""),"-")</f>
        <v>-</v>
      </c>
      <c r="M570" t="str">
        <f>IFERROR(__xludf.DUMMYFUNCTION("""COMPUTED_VALUE"""),"-")</f>
        <v>-</v>
      </c>
      <c r="O570" t="str">
        <f>IFERROR(__xludf.DUMMYFUNCTION("""COMPUTED_VALUE"""),"#569")</f>
        <v>#569</v>
      </c>
      <c r="P570" t="str">
        <f>IFERROR(__xludf.DUMMYFUNCTION("""COMPUTED_VALUE"""),"Denis Broliquier")</f>
        <v>Denis Broliquier</v>
      </c>
      <c r="Q570">
        <f>IFERROR(__xludf.DUMMYFUNCTION("""COMPUTED_VALUE"""),841.0)</f>
        <v>841</v>
      </c>
      <c r="R570" t="str">
        <f>IFERROR(__xludf.DUMMYFUNCTION("""COMPUTED_VALUE"""),"-")</f>
        <v>-</v>
      </c>
      <c r="S570" t="str">
        <f>IFERROR(__xludf.DUMMYFUNCTION("""COMPUTED_VALUE"""),"-")</f>
        <v>-</v>
      </c>
      <c r="T570" t="str">
        <f>IFERROR(__xludf.DUMMYFUNCTION("""COMPUTED_VALUE"""),"-")</f>
        <v>-</v>
      </c>
      <c r="U570" t="str">
        <f>IFERROR(__xludf.DUMMYFUNCTION("""COMPUTED_VALUE"""),"-")</f>
        <v>-</v>
      </c>
      <c r="V570" t="str">
        <f>IFERROR(__xludf.DUMMYFUNCTION("""COMPUTED_VALUE"""),"-")</f>
        <v>-</v>
      </c>
      <c r="W570" t="str">
        <f>IFERROR(__xludf.DUMMYFUNCTION("""COMPUTED_VALUE"""),"-")</f>
        <v>-</v>
      </c>
      <c r="X570" t="str">
        <f>IFERROR(__xludf.DUMMYFUNCTION("""COMPUTED_VALUE"""),"-")</f>
        <v>-</v>
      </c>
      <c r="Y570" t="str">
        <f>IFERROR(__xludf.DUMMYFUNCTION("""COMPUTED_VALUE"""),"-")</f>
        <v>-</v>
      </c>
      <c r="Z570" t="str">
        <f>IFERROR(__xludf.DUMMYFUNCTION("""COMPUTED_VALUE"""),"-")</f>
        <v>-</v>
      </c>
      <c r="AA570" t="str">
        <f>IFERROR(__xludf.DUMMYFUNCTION("""COMPUTED_VALUE"""),"-")</f>
        <v>-</v>
      </c>
    </row>
    <row r="571">
      <c r="A571" t="str">
        <f>IFERROR(__xludf.DUMMYFUNCTION("""COMPUTED_VALUE"""),"#570")</f>
        <v>#570</v>
      </c>
      <c r="B571" t="str">
        <f>IFERROR(__xludf.DUMMYFUNCTION("""COMPUTED_VALUE"""),"André Trillard")</f>
        <v>André Trillard</v>
      </c>
      <c r="C571">
        <f>IFERROR(__xludf.DUMMYFUNCTION("""COMPUTED_VALUE"""),832.0)</f>
        <v>832</v>
      </c>
      <c r="D571" t="str">
        <f>IFERROR(__xludf.DUMMYFUNCTION("""COMPUTED_VALUE"""),"-")</f>
        <v>-</v>
      </c>
      <c r="E571" t="str">
        <f>IFERROR(__xludf.DUMMYFUNCTION("""COMPUTED_VALUE"""),"-")</f>
        <v>-</v>
      </c>
      <c r="F571" t="str">
        <f>IFERROR(__xludf.DUMMYFUNCTION("""COMPUTED_VALUE"""),"-")</f>
        <v>-</v>
      </c>
      <c r="G571" t="str">
        <f>IFERROR(__xludf.DUMMYFUNCTION("""COMPUTED_VALUE"""),"-")</f>
        <v>-</v>
      </c>
      <c r="H571" t="str">
        <f>IFERROR(__xludf.DUMMYFUNCTION("""COMPUTED_VALUE"""),"-")</f>
        <v>-</v>
      </c>
      <c r="I571" t="str">
        <f>IFERROR(__xludf.DUMMYFUNCTION("""COMPUTED_VALUE"""),"-")</f>
        <v>-</v>
      </c>
      <c r="J571" t="str">
        <f>IFERROR(__xludf.DUMMYFUNCTION("""COMPUTED_VALUE"""),"-")</f>
        <v>-</v>
      </c>
      <c r="K571" t="str">
        <f>IFERROR(__xludf.DUMMYFUNCTION("""COMPUTED_VALUE"""),"-")</f>
        <v>-</v>
      </c>
      <c r="L571" t="str">
        <f>IFERROR(__xludf.DUMMYFUNCTION("""COMPUTED_VALUE"""),"-")</f>
        <v>-</v>
      </c>
      <c r="M571" t="str">
        <f>IFERROR(__xludf.DUMMYFUNCTION("""COMPUTED_VALUE"""),"-")</f>
        <v>-</v>
      </c>
      <c r="O571" t="str">
        <f>IFERROR(__xludf.DUMMYFUNCTION("""COMPUTED_VALUE"""),"#570")</f>
        <v>#570</v>
      </c>
      <c r="P571" t="str">
        <f>IFERROR(__xludf.DUMMYFUNCTION("""COMPUTED_VALUE"""),"André Trillard")</f>
        <v>André Trillard</v>
      </c>
      <c r="Q571">
        <f>IFERROR(__xludf.DUMMYFUNCTION("""COMPUTED_VALUE"""),832.0)</f>
        <v>832</v>
      </c>
      <c r="R571" t="str">
        <f>IFERROR(__xludf.DUMMYFUNCTION("""COMPUTED_VALUE"""),"-")</f>
        <v>-</v>
      </c>
      <c r="S571" t="str">
        <f>IFERROR(__xludf.DUMMYFUNCTION("""COMPUTED_VALUE"""),"-")</f>
        <v>-</v>
      </c>
      <c r="T571" t="str">
        <f>IFERROR(__xludf.DUMMYFUNCTION("""COMPUTED_VALUE"""),"-")</f>
        <v>-</v>
      </c>
      <c r="U571" t="str">
        <f>IFERROR(__xludf.DUMMYFUNCTION("""COMPUTED_VALUE"""),"-")</f>
        <v>-</v>
      </c>
      <c r="V571" t="str">
        <f>IFERROR(__xludf.DUMMYFUNCTION("""COMPUTED_VALUE"""),"-")</f>
        <v>-</v>
      </c>
      <c r="W571" t="str">
        <f>IFERROR(__xludf.DUMMYFUNCTION("""COMPUTED_VALUE"""),"-")</f>
        <v>-</v>
      </c>
      <c r="X571" t="str">
        <f>IFERROR(__xludf.DUMMYFUNCTION("""COMPUTED_VALUE"""),"-")</f>
        <v>-</v>
      </c>
      <c r="Y571" t="str">
        <f>IFERROR(__xludf.DUMMYFUNCTION("""COMPUTED_VALUE"""),"-")</f>
        <v>-</v>
      </c>
      <c r="Z571" t="str">
        <f>IFERROR(__xludf.DUMMYFUNCTION("""COMPUTED_VALUE"""),"-")</f>
        <v>-</v>
      </c>
      <c r="AA571" t="str">
        <f>IFERROR(__xludf.DUMMYFUNCTION("""COMPUTED_VALUE"""),"-")</f>
        <v>-</v>
      </c>
    </row>
    <row r="572">
      <c r="A572" t="str">
        <f>IFERROR(__xludf.DUMMYFUNCTION("""COMPUTED_VALUE"""),"#571")</f>
        <v>#571</v>
      </c>
      <c r="B572" t="str">
        <f>IFERROR(__xludf.DUMMYFUNCTION("""COMPUTED_VALUE"""),"Loïc Massebiau")</f>
        <v>Loïc Massebiau</v>
      </c>
      <c r="C572">
        <f>IFERROR(__xludf.DUMMYFUNCTION("""COMPUTED_VALUE"""),796.0)</f>
        <v>796</v>
      </c>
      <c r="D572" t="str">
        <f>IFERROR(__xludf.DUMMYFUNCTION("""COMPUTED_VALUE"""),"-")</f>
        <v>-</v>
      </c>
      <c r="E572" t="str">
        <f>IFERROR(__xludf.DUMMYFUNCTION("""COMPUTED_VALUE"""),"-")</f>
        <v>-</v>
      </c>
      <c r="F572" t="str">
        <f>IFERROR(__xludf.DUMMYFUNCTION("""COMPUTED_VALUE"""),"-")</f>
        <v>-</v>
      </c>
      <c r="G572" t="str">
        <f>IFERROR(__xludf.DUMMYFUNCTION("""COMPUTED_VALUE"""),"-")</f>
        <v>-</v>
      </c>
      <c r="H572" t="str">
        <f>IFERROR(__xludf.DUMMYFUNCTION("""COMPUTED_VALUE"""),"-")</f>
        <v>-</v>
      </c>
      <c r="I572" t="str">
        <f>IFERROR(__xludf.DUMMYFUNCTION("""COMPUTED_VALUE"""),"-")</f>
        <v>-</v>
      </c>
      <c r="J572" t="str">
        <f>IFERROR(__xludf.DUMMYFUNCTION("""COMPUTED_VALUE"""),"-")</f>
        <v>-</v>
      </c>
      <c r="K572" t="str">
        <f>IFERROR(__xludf.DUMMYFUNCTION("""COMPUTED_VALUE"""),"-")</f>
        <v>-</v>
      </c>
      <c r="L572" t="str">
        <f>IFERROR(__xludf.DUMMYFUNCTION("""COMPUTED_VALUE"""),"-")</f>
        <v>-</v>
      </c>
      <c r="M572" t="str">
        <f>IFERROR(__xludf.DUMMYFUNCTION("""COMPUTED_VALUE"""),"-")</f>
        <v>-</v>
      </c>
      <c r="O572" t="str">
        <f>IFERROR(__xludf.DUMMYFUNCTION("""COMPUTED_VALUE"""),"#571")</f>
        <v>#571</v>
      </c>
      <c r="P572" t="str">
        <f>IFERROR(__xludf.DUMMYFUNCTION("""COMPUTED_VALUE"""),"Loïc Massebiau")</f>
        <v>Loïc Massebiau</v>
      </c>
      <c r="Q572">
        <f>IFERROR(__xludf.DUMMYFUNCTION("""COMPUTED_VALUE"""),796.0)</f>
        <v>796</v>
      </c>
      <c r="R572" t="str">
        <f>IFERROR(__xludf.DUMMYFUNCTION("""COMPUTED_VALUE"""),"-")</f>
        <v>-</v>
      </c>
      <c r="S572" t="str">
        <f>IFERROR(__xludf.DUMMYFUNCTION("""COMPUTED_VALUE"""),"-")</f>
        <v>-</v>
      </c>
      <c r="T572" t="str">
        <f>IFERROR(__xludf.DUMMYFUNCTION("""COMPUTED_VALUE"""),"-")</f>
        <v>-</v>
      </c>
      <c r="U572" t="str">
        <f>IFERROR(__xludf.DUMMYFUNCTION("""COMPUTED_VALUE"""),"-")</f>
        <v>-</v>
      </c>
      <c r="V572" t="str">
        <f>IFERROR(__xludf.DUMMYFUNCTION("""COMPUTED_VALUE"""),"-")</f>
        <v>-</v>
      </c>
      <c r="W572" t="str">
        <f>IFERROR(__xludf.DUMMYFUNCTION("""COMPUTED_VALUE"""),"-")</f>
        <v>-</v>
      </c>
      <c r="X572" t="str">
        <f>IFERROR(__xludf.DUMMYFUNCTION("""COMPUTED_VALUE"""),"-")</f>
        <v>-</v>
      </c>
      <c r="Y572" t="str">
        <f>IFERROR(__xludf.DUMMYFUNCTION("""COMPUTED_VALUE"""),"-")</f>
        <v>-</v>
      </c>
      <c r="Z572" t="str">
        <f>IFERROR(__xludf.DUMMYFUNCTION("""COMPUTED_VALUE"""),"-")</f>
        <v>-</v>
      </c>
      <c r="AA572" t="str">
        <f>IFERROR(__xludf.DUMMYFUNCTION("""COMPUTED_VALUE"""),"-")</f>
        <v>-</v>
      </c>
    </row>
    <row r="573">
      <c r="A573" t="str">
        <f>IFERROR(__xludf.DUMMYFUNCTION("""COMPUTED_VALUE"""),"#572")</f>
        <v>#572</v>
      </c>
      <c r="B573" t="str">
        <f>IFERROR(__xludf.DUMMYFUNCTION("""COMPUTED_VALUE"""),"Gilles Renoust")</f>
        <v>Gilles Renoust</v>
      </c>
      <c r="C573">
        <f>IFERROR(__xludf.DUMMYFUNCTION("""COMPUTED_VALUE"""),775.0)</f>
        <v>775</v>
      </c>
      <c r="D573" t="str">
        <f>IFERROR(__xludf.DUMMYFUNCTION("""COMPUTED_VALUE"""),"-")</f>
        <v>-</v>
      </c>
      <c r="E573" t="str">
        <f>IFERROR(__xludf.DUMMYFUNCTION("""COMPUTED_VALUE"""),"-")</f>
        <v>-</v>
      </c>
      <c r="F573" t="str">
        <f>IFERROR(__xludf.DUMMYFUNCTION("""COMPUTED_VALUE"""),"-")</f>
        <v>-</v>
      </c>
      <c r="G573" t="str">
        <f>IFERROR(__xludf.DUMMYFUNCTION("""COMPUTED_VALUE"""),"-")</f>
        <v>-</v>
      </c>
      <c r="H573" t="str">
        <f>IFERROR(__xludf.DUMMYFUNCTION("""COMPUTED_VALUE"""),"-")</f>
        <v>-</v>
      </c>
      <c r="I573" t="str">
        <f>IFERROR(__xludf.DUMMYFUNCTION("""COMPUTED_VALUE"""),"-")</f>
        <v>-</v>
      </c>
      <c r="J573" t="str">
        <f>IFERROR(__xludf.DUMMYFUNCTION("""COMPUTED_VALUE"""),"-")</f>
        <v>-</v>
      </c>
      <c r="K573" t="str">
        <f>IFERROR(__xludf.DUMMYFUNCTION("""COMPUTED_VALUE"""),"-")</f>
        <v>-</v>
      </c>
      <c r="L573" t="str">
        <f>IFERROR(__xludf.DUMMYFUNCTION("""COMPUTED_VALUE"""),"-")</f>
        <v>-</v>
      </c>
      <c r="M573" t="str">
        <f>IFERROR(__xludf.DUMMYFUNCTION("""COMPUTED_VALUE"""),"-")</f>
        <v>-</v>
      </c>
      <c r="O573" t="str">
        <f>IFERROR(__xludf.DUMMYFUNCTION("""COMPUTED_VALUE"""),"#572")</f>
        <v>#572</v>
      </c>
      <c r="P573" t="str">
        <f>IFERROR(__xludf.DUMMYFUNCTION("""COMPUTED_VALUE"""),"Gilles Renoust")</f>
        <v>Gilles Renoust</v>
      </c>
      <c r="Q573">
        <f>IFERROR(__xludf.DUMMYFUNCTION("""COMPUTED_VALUE"""),775.0)</f>
        <v>775</v>
      </c>
      <c r="R573" t="str">
        <f>IFERROR(__xludf.DUMMYFUNCTION("""COMPUTED_VALUE"""),"-")</f>
        <v>-</v>
      </c>
      <c r="S573" t="str">
        <f>IFERROR(__xludf.DUMMYFUNCTION("""COMPUTED_VALUE"""),"-")</f>
        <v>-</v>
      </c>
      <c r="T573" t="str">
        <f>IFERROR(__xludf.DUMMYFUNCTION("""COMPUTED_VALUE"""),"-")</f>
        <v>-</v>
      </c>
      <c r="U573" t="str">
        <f>IFERROR(__xludf.DUMMYFUNCTION("""COMPUTED_VALUE"""),"-")</f>
        <v>-</v>
      </c>
      <c r="V573" t="str">
        <f>IFERROR(__xludf.DUMMYFUNCTION("""COMPUTED_VALUE"""),"-")</f>
        <v>-</v>
      </c>
      <c r="W573" t="str">
        <f>IFERROR(__xludf.DUMMYFUNCTION("""COMPUTED_VALUE"""),"-")</f>
        <v>-</v>
      </c>
      <c r="X573" t="str">
        <f>IFERROR(__xludf.DUMMYFUNCTION("""COMPUTED_VALUE"""),"-")</f>
        <v>-</v>
      </c>
      <c r="Y573" t="str">
        <f>IFERROR(__xludf.DUMMYFUNCTION("""COMPUTED_VALUE"""),"-")</f>
        <v>-</v>
      </c>
      <c r="Z573" t="str">
        <f>IFERROR(__xludf.DUMMYFUNCTION("""COMPUTED_VALUE"""),"-")</f>
        <v>-</v>
      </c>
      <c r="AA573" t="str">
        <f>IFERROR(__xludf.DUMMYFUNCTION("""COMPUTED_VALUE"""),"-")</f>
        <v>-</v>
      </c>
    </row>
    <row r="574">
      <c r="A574" t="str">
        <f>IFERROR(__xludf.DUMMYFUNCTION("""COMPUTED_VALUE"""),"#573")</f>
        <v>#573</v>
      </c>
      <c r="B574" t="str">
        <f>IFERROR(__xludf.DUMMYFUNCTION("""COMPUTED_VALUE"""),"Gérard Trémège")</f>
        <v>Gérard Trémège</v>
      </c>
      <c r="C574">
        <f>IFERROR(__xludf.DUMMYFUNCTION("""COMPUTED_VALUE"""),709.0)</f>
        <v>709</v>
      </c>
      <c r="D574" t="str">
        <f>IFERROR(__xludf.DUMMYFUNCTION("""COMPUTED_VALUE"""),"-")</f>
        <v>-</v>
      </c>
      <c r="E574" t="str">
        <f>IFERROR(__xludf.DUMMYFUNCTION("""COMPUTED_VALUE"""),"-")</f>
        <v>-</v>
      </c>
      <c r="F574" t="str">
        <f>IFERROR(__xludf.DUMMYFUNCTION("""COMPUTED_VALUE"""),"-")</f>
        <v>-</v>
      </c>
      <c r="G574" t="str">
        <f>IFERROR(__xludf.DUMMYFUNCTION("""COMPUTED_VALUE"""),"-")</f>
        <v>-</v>
      </c>
      <c r="H574" t="str">
        <f>IFERROR(__xludf.DUMMYFUNCTION("""COMPUTED_VALUE"""),"-")</f>
        <v>-</v>
      </c>
      <c r="I574" t="str">
        <f>IFERROR(__xludf.DUMMYFUNCTION("""COMPUTED_VALUE"""),"-")</f>
        <v>-</v>
      </c>
      <c r="J574" t="str">
        <f>IFERROR(__xludf.DUMMYFUNCTION("""COMPUTED_VALUE"""),"-")</f>
        <v>-</v>
      </c>
      <c r="K574" t="str">
        <f>IFERROR(__xludf.DUMMYFUNCTION("""COMPUTED_VALUE"""),"-")</f>
        <v>-</v>
      </c>
      <c r="L574" t="str">
        <f>IFERROR(__xludf.DUMMYFUNCTION("""COMPUTED_VALUE"""),"-")</f>
        <v>-</v>
      </c>
      <c r="M574" t="str">
        <f>IFERROR(__xludf.DUMMYFUNCTION("""COMPUTED_VALUE"""),"-")</f>
        <v>-</v>
      </c>
      <c r="O574" t="str">
        <f>IFERROR(__xludf.DUMMYFUNCTION("""COMPUTED_VALUE"""),"#573")</f>
        <v>#573</v>
      </c>
      <c r="P574" t="str">
        <f>IFERROR(__xludf.DUMMYFUNCTION("""COMPUTED_VALUE"""),"Gérard Trémège")</f>
        <v>Gérard Trémège</v>
      </c>
      <c r="Q574">
        <f>IFERROR(__xludf.DUMMYFUNCTION("""COMPUTED_VALUE"""),709.0)</f>
        <v>709</v>
      </c>
      <c r="R574" t="str">
        <f>IFERROR(__xludf.DUMMYFUNCTION("""COMPUTED_VALUE"""),"-")</f>
        <v>-</v>
      </c>
      <c r="S574" t="str">
        <f>IFERROR(__xludf.DUMMYFUNCTION("""COMPUTED_VALUE"""),"-")</f>
        <v>-</v>
      </c>
      <c r="T574" t="str">
        <f>IFERROR(__xludf.DUMMYFUNCTION("""COMPUTED_VALUE"""),"-")</f>
        <v>-</v>
      </c>
      <c r="U574" t="str">
        <f>IFERROR(__xludf.DUMMYFUNCTION("""COMPUTED_VALUE"""),"-")</f>
        <v>-</v>
      </c>
      <c r="V574" t="str">
        <f>IFERROR(__xludf.DUMMYFUNCTION("""COMPUTED_VALUE"""),"-")</f>
        <v>-</v>
      </c>
      <c r="W574" t="str">
        <f>IFERROR(__xludf.DUMMYFUNCTION("""COMPUTED_VALUE"""),"-")</f>
        <v>-</v>
      </c>
      <c r="X574" t="str">
        <f>IFERROR(__xludf.DUMMYFUNCTION("""COMPUTED_VALUE"""),"-")</f>
        <v>-</v>
      </c>
      <c r="Y574" t="str">
        <f>IFERROR(__xludf.DUMMYFUNCTION("""COMPUTED_VALUE"""),"-")</f>
        <v>-</v>
      </c>
      <c r="Z574" t="str">
        <f>IFERROR(__xludf.DUMMYFUNCTION("""COMPUTED_VALUE"""),"-")</f>
        <v>-</v>
      </c>
      <c r="AA574" t="str">
        <f>IFERROR(__xludf.DUMMYFUNCTION("""COMPUTED_VALUE"""),"-")</f>
        <v>-</v>
      </c>
    </row>
    <row r="575">
      <c r="A575" t="str">
        <f>IFERROR(__xludf.DUMMYFUNCTION("""COMPUTED_VALUE"""),"#574")</f>
        <v>#574</v>
      </c>
      <c r="B575" t="str">
        <f>IFERROR(__xludf.DUMMYFUNCTION("""COMPUTED_VALUE"""),"Jacques Borie")</f>
        <v>Jacques Borie</v>
      </c>
      <c r="C575">
        <f>IFERROR(__xludf.DUMMYFUNCTION("""COMPUTED_VALUE"""),708.0)</f>
        <v>708</v>
      </c>
      <c r="D575" t="str">
        <f>IFERROR(__xludf.DUMMYFUNCTION("""COMPUTED_VALUE"""),"-")</f>
        <v>-</v>
      </c>
      <c r="E575" t="str">
        <f>IFERROR(__xludf.DUMMYFUNCTION("""COMPUTED_VALUE"""),"-")</f>
        <v>-</v>
      </c>
      <c r="F575" t="str">
        <f>IFERROR(__xludf.DUMMYFUNCTION("""COMPUTED_VALUE"""),"-")</f>
        <v>-</v>
      </c>
      <c r="G575" t="str">
        <f>IFERROR(__xludf.DUMMYFUNCTION("""COMPUTED_VALUE"""),"-")</f>
        <v>-</v>
      </c>
      <c r="H575" t="str">
        <f>IFERROR(__xludf.DUMMYFUNCTION("""COMPUTED_VALUE"""),"-")</f>
        <v>-</v>
      </c>
      <c r="I575" t="str">
        <f>IFERROR(__xludf.DUMMYFUNCTION("""COMPUTED_VALUE"""),"-")</f>
        <v>-</v>
      </c>
      <c r="J575" t="str">
        <f>IFERROR(__xludf.DUMMYFUNCTION("""COMPUTED_VALUE"""),"-")</f>
        <v>-</v>
      </c>
      <c r="K575" t="str">
        <f>IFERROR(__xludf.DUMMYFUNCTION("""COMPUTED_VALUE"""),"-")</f>
        <v>-</v>
      </c>
      <c r="L575" t="str">
        <f>IFERROR(__xludf.DUMMYFUNCTION("""COMPUTED_VALUE"""),"-")</f>
        <v>-</v>
      </c>
      <c r="M575" t="str">
        <f>IFERROR(__xludf.DUMMYFUNCTION("""COMPUTED_VALUE"""),"-")</f>
        <v>-</v>
      </c>
      <c r="O575" t="str">
        <f>IFERROR(__xludf.DUMMYFUNCTION("""COMPUTED_VALUE"""),"#574")</f>
        <v>#574</v>
      </c>
      <c r="P575" t="str">
        <f>IFERROR(__xludf.DUMMYFUNCTION("""COMPUTED_VALUE"""),"Jacques Borie")</f>
        <v>Jacques Borie</v>
      </c>
      <c r="Q575">
        <f>IFERROR(__xludf.DUMMYFUNCTION("""COMPUTED_VALUE"""),708.0)</f>
        <v>708</v>
      </c>
      <c r="R575" t="str">
        <f>IFERROR(__xludf.DUMMYFUNCTION("""COMPUTED_VALUE"""),"-")</f>
        <v>-</v>
      </c>
      <c r="S575" t="str">
        <f>IFERROR(__xludf.DUMMYFUNCTION("""COMPUTED_VALUE"""),"-")</f>
        <v>-</v>
      </c>
      <c r="T575" t="str">
        <f>IFERROR(__xludf.DUMMYFUNCTION("""COMPUTED_VALUE"""),"-")</f>
        <v>-</v>
      </c>
      <c r="U575" t="str">
        <f>IFERROR(__xludf.DUMMYFUNCTION("""COMPUTED_VALUE"""),"-")</f>
        <v>-</v>
      </c>
      <c r="V575" t="str">
        <f>IFERROR(__xludf.DUMMYFUNCTION("""COMPUTED_VALUE"""),"-")</f>
        <v>-</v>
      </c>
      <c r="W575" t="str">
        <f>IFERROR(__xludf.DUMMYFUNCTION("""COMPUTED_VALUE"""),"-")</f>
        <v>-</v>
      </c>
      <c r="X575" t="str">
        <f>IFERROR(__xludf.DUMMYFUNCTION("""COMPUTED_VALUE"""),"-")</f>
        <v>-</v>
      </c>
      <c r="Y575" t="str">
        <f>IFERROR(__xludf.DUMMYFUNCTION("""COMPUTED_VALUE"""),"-")</f>
        <v>-</v>
      </c>
      <c r="Z575" t="str">
        <f>IFERROR(__xludf.DUMMYFUNCTION("""COMPUTED_VALUE"""),"-")</f>
        <v>-</v>
      </c>
      <c r="AA575" t="str">
        <f>IFERROR(__xludf.DUMMYFUNCTION("""COMPUTED_VALUE"""),"-")</f>
        <v>-</v>
      </c>
    </row>
    <row r="576">
      <c r="A576" t="str">
        <f>IFERROR(__xludf.DUMMYFUNCTION("""COMPUTED_VALUE"""),"#575")</f>
        <v>#575</v>
      </c>
      <c r="B576" t="str">
        <f>IFERROR(__xludf.DUMMYFUNCTION("""COMPUTED_VALUE"""),"Alain Dontaine")</f>
        <v>Alain Dontaine</v>
      </c>
      <c r="C576">
        <f>IFERROR(__xludf.DUMMYFUNCTION("""COMPUTED_VALUE"""),699.0)</f>
        <v>699</v>
      </c>
      <c r="D576" t="str">
        <f>IFERROR(__xludf.DUMMYFUNCTION("""COMPUTED_VALUE"""),"-")</f>
        <v>-</v>
      </c>
      <c r="E576" t="str">
        <f>IFERROR(__xludf.DUMMYFUNCTION("""COMPUTED_VALUE"""),"-")</f>
        <v>-</v>
      </c>
      <c r="F576" t="str">
        <f>IFERROR(__xludf.DUMMYFUNCTION("""COMPUTED_VALUE"""),"-")</f>
        <v>-</v>
      </c>
      <c r="G576" t="str">
        <f>IFERROR(__xludf.DUMMYFUNCTION("""COMPUTED_VALUE"""),"-")</f>
        <v>-</v>
      </c>
      <c r="H576" t="str">
        <f>IFERROR(__xludf.DUMMYFUNCTION("""COMPUTED_VALUE"""),"-")</f>
        <v>-</v>
      </c>
      <c r="I576" t="str">
        <f>IFERROR(__xludf.DUMMYFUNCTION("""COMPUTED_VALUE"""),"-")</f>
        <v>-</v>
      </c>
      <c r="J576" t="str">
        <f>IFERROR(__xludf.DUMMYFUNCTION("""COMPUTED_VALUE"""),"-")</f>
        <v>-</v>
      </c>
      <c r="K576" t="str">
        <f>IFERROR(__xludf.DUMMYFUNCTION("""COMPUTED_VALUE"""),"-")</f>
        <v>-</v>
      </c>
      <c r="L576" t="str">
        <f>IFERROR(__xludf.DUMMYFUNCTION("""COMPUTED_VALUE"""),"-")</f>
        <v>-</v>
      </c>
      <c r="M576" t="str">
        <f>IFERROR(__xludf.DUMMYFUNCTION("""COMPUTED_VALUE"""),"-")</f>
        <v>-</v>
      </c>
      <c r="O576" t="str">
        <f>IFERROR(__xludf.DUMMYFUNCTION("""COMPUTED_VALUE"""),"#575")</f>
        <v>#575</v>
      </c>
      <c r="P576" t="str">
        <f>IFERROR(__xludf.DUMMYFUNCTION("""COMPUTED_VALUE"""),"Alain Dontaine")</f>
        <v>Alain Dontaine</v>
      </c>
      <c r="Q576">
        <f>IFERROR(__xludf.DUMMYFUNCTION("""COMPUTED_VALUE"""),699.0)</f>
        <v>699</v>
      </c>
      <c r="R576" t="str">
        <f>IFERROR(__xludf.DUMMYFUNCTION("""COMPUTED_VALUE"""),"-")</f>
        <v>-</v>
      </c>
      <c r="S576" t="str">
        <f>IFERROR(__xludf.DUMMYFUNCTION("""COMPUTED_VALUE"""),"-")</f>
        <v>-</v>
      </c>
      <c r="T576" t="str">
        <f>IFERROR(__xludf.DUMMYFUNCTION("""COMPUTED_VALUE"""),"-")</f>
        <v>-</v>
      </c>
      <c r="U576" t="str">
        <f>IFERROR(__xludf.DUMMYFUNCTION("""COMPUTED_VALUE"""),"-")</f>
        <v>-</v>
      </c>
      <c r="V576" t="str">
        <f>IFERROR(__xludf.DUMMYFUNCTION("""COMPUTED_VALUE"""),"-")</f>
        <v>-</v>
      </c>
      <c r="W576" t="str">
        <f>IFERROR(__xludf.DUMMYFUNCTION("""COMPUTED_VALUE"""),"-")</f>
        <v>-</v>
      </c>
      <c r="X576" t="str">
        <f>IFERROR(__xludf.DUMMYFUNCTION("""COMPUTED_VALUE"""),"-")</f>
        <v>-</v>
      </c>
      <c r="Y576" t="str">
        <f>IFERROR(__xludf.DUMMYFUNCTION("""COMPUTED_VALUE"""),"-")</f>
        <v>-</v>
      </c>
      <c r="Z576" t="str">
        <f>IFERROR(__xludf.DUMMYFUNCTION("""COMPUTED_VALUE"""),"-")</f>
        <v>-</v>
      </c>
      <c r="AA576" t="str">
        <f>IFERROR(__xludf.DUMMYFUNCTION("""COMPUTED_VALUE"""),"-")</f>
        <v>-</v>
      </c>
    </row>
    <row r="577">
      <c r="A577" t="str">
        <f>IFERROR(__xludf.DUMMYFUNCTION("""COMPUTED_VALUE"""),"#576")</f>
        <v>#576</v>
      </c>
      <c r="B577" t="str">
        <f>IFERROR(__xludf.DUMMYFUNCTION("""COMPUTED_VALUE"""),"Jean Hugues Ratenon")</f>
        <v>Jean Hugues Ratenon</v>
      </c>
      <c r="C577">
        <f>IFERROR(__xludf.DUMMYFUNCTION("""COMPUTED_VALUE"""),668.0)</f>
        <v>668</v>
      </c>
      <c r="D577" t="str">
        <f>IFERROR(__xludf.DUMMYFUNCTION("""COMPUTED_VALUE"""),"-")</f>
        <v>-</v>
      </c>
      <c r="E577" t="str">
        <f>IFERROR(__xludf.DUMMYFUNCTION("""COMPUTED_VALUE"""),"-")</f>
        <v>-</v>
      </c>
      <c r="F577" t="str">
        <f>IFERROR(__xludf.DUMMYFUNCTION("""COMPUTED_VALUE"""),"-")</f>
        <v>-</v>
      </c>
      <c r="G577" t="str">
        <f>IFERROR(__xludf.DUMMYFUNCTION("""COMPUTED_VALUE"""),"-")</f>
        <v>-</v>
      </c>
      <c r="H577" t="str">
        <f>IFERROR(__xludf.DUMMYFUNCTION("""COMPUTED_VALUE"""),"-")</f>
        <v>-</v>
      </c>
      <c r="I577" t="str">
        <f>IFERROR(__xludf.DUMMYFUNCTION("""COMPUTED_VALUE"""),"-")</f>
        <v>-</v>
      </c>
      <c r="J577" t="str">
        <f>IFERROR(__xludf.DUMMYFUNCTION("""COMPUTED_VALUE"""),"-")</f>
        <v>-</v>
      </c>
      <c r="K577" t="str">
        <f>IFERROR(__xludf.DUMMYFUNCTION("""COMPUTED_VALUE"""),"-")</f>
        <v>-</v>
      </c>
      <c r="L577" t="str">
        <f>IFERROR(__xludf.DUMMYFUNCTION("""COMPUTED_VALUE"""),"-")</f>
        <v>-</v>
      </c>
      <c r="M577" t="str">
        <f>IFERROR(__xludf.DUMMYFUNCTION("""COMPUTED_VALUE"""),"-")</f>
        <v>-</v>
      </c>
      <c r="O577" t="str">
        <f>IFERROR(__xludf.DUMMYFUNCTION("""COMPUTED_VALUE"""),"#576")</f>
        <v>#576</v>
      </c>
      <c r="P577" t="str">
        <f>IFERROR(__xludf.DUMMYFUNCTION("""COMPUTED_VALUE"""),"Jean Hugues Ratenon")</f>
        <v>Jean Hugues Ratenon</v>
      </c>
      <c r="Q577">
        <f>IFERROR(__xludf.DUMMYFUNCTION("""COMPUTED_VALUE"""),668.0)</f>
        <v>668</v>
      </c>
      <c r="R577" t="str">
        <f>IFERROR(__xludf.DUMMYFUNCTION("""COMPUTED_VALUE"""),"-")</f>
        <v>-</v>
      </c>
      <c r="S577" t="str">
        <f>IFERROR(__xludf.DUMMYFUNCTION("""COMPUTED_VALUE"""),"-")</f>
        <v>-</v>
      </c>
      <c r="T577" t="str">
        <f>IFERROR(__xludf.DUMMYFUNCTION("""COMPUTED_VALUE"""),"-")</f>
        <v>-</v>
      </c>
      <c r="U577" t="str">
        <f>IFERROR(__xludf.DUMMYFUNCTION("""COMPUTED_VALUE"""),"-")</f>
        <v>-</v>
      </c>
      <c r="V577" t="str">
        <f>IFERROR(__xludf.DUMMYFUNCTION("""COMPUTED_VALUE"""),"-")</f>
        <v>-</v>
      </c>
      <c r="W577" t="str">
        <f>IFERROR(__xludf.DUMMYFUNCTION("""COMPUTED_VALUE"""),"-")</f>
        <v>-</v>
      </c>
      <c r="X577" t="str">
        <f>IFERROR(__xludf.DUMMYFUNCTION("""COMPUTED_VALUE"""),"-")</f>
        <v>-</v>
      </c>
      <c r="Y577" t="str">
        <f>IFERROR(__xludf.DUMMYFUNCTION("""COMPUTED_VALUE"""),"-")</f>
        <v>-</v>
      </c>
      <c r="Z577" t="str">
        <f>IFERROR(__xludf.DUMMYFUNCTION("""COMPUTED_VALUE"""),"-")</f>
        <v>-</v>
      </c>
      <c r="AA577" t="str">
        <f>IFERROR(__xludf.DUMMYFUNCTION("""COMPUTED_VALUE"""),"-")</f>
        <v>-</v>
      </c>
    </row>
    <row r="578">
      <c r="A578" t="str">
        <f>IFERROR(__xludf.DUMMYFUNCTION("""COMPUTED_VALUE"""),"#577")</f>
        <v>#577</v>
      </c>
      <c r="B578" t="str">
        <f>IFERROR(__xludf.DUMMYFUNCTION("""COMPUTED_VALUE"""),"Stephane Durbec")</f>
        <v>Stephane Durbec</v>
      </c>
      <c r="C578">
        <f>IFERROR(__xludf.DUMMYFUNCTION("""COMPUTED_VALUE"""),652.0)</f>
        <v>652</v>
      </c>
      <c r="D578" t="str">
        <f>IFERROR(__xludf.DUMMYFUNCTION("""COMPUTED_VALUE"""),"-")</f>
        <v>-</v>
      </c>
      <c r="E578" t="str">
        <f>IFERROR(__xludf.DUMMYFUNCTION("""COMPUTED_VALUE"""),"-")</f>
        <v>-</v>
      </c>
      <c r="F578" t="str">
        <f>IFERROR(__xludf.DUMMYFUNCTION("""COMPUTED_VALUE"""),"-")</f>
        <v>-</v>
      </c>
      <c r="G578" t="str">
        <f>IFERROR(__xludf.DUMMYFUNCTION("""COMPUTED_VALUE"""),"-")</f>
        <v>-</v>
      </c>
      <c r="H578" t="str">
        <f>IFERROR(__xludf.DUMMYFUNCTION("""COMPUTED_VALUE"""),"-")</f>
        <v>-</v>
      </c>
      <c r="I578" t="str">
        <f>IFERROR(__xludf.DUMMYFUNCTION("""COMPUTED_VALUE"""),"-")</f>
        <v>-</v>
      </c>
      <c r="J578" t="str">
        <f>IFERROR(__xludf.DUMMYFUNCTION("""COMPUTED_VALUE"""),"-")</f>
        <v>-</v>
      </c>
      <c r="K578" t="str">
        <f>IFERROR(__xludf.DUMMYFUNCTION("""COMPUTED_VALUE"""),"-")</f>
        <v>-</v>
      </c>
      <c r="L578" t="str">
        <f>IFERROR(__xludf.DUMMYFUNCTION("""COMPUTED_VALUE"""),"-")</f>
        <v>-</v>
      </c>
      <c r="M578" t="str">
        <f>IFERROR(__xludf.DUMMYFUNCTION("""COMPUTED_VALUE"""),"-")</f>
        <v>-</v>
      </c>
      <c r="O578" t="str">
        <f>IFERROR(__xludf.DUMMYFUNCTION("""COMPUTED_VALUE"""),"#577")</f>
        <v>#577</v>
      </c>
      <c r="P578" t="str">
        <f>IFERROR(__xludf.DUMMYFUNCTION("""COMPUTED_VALUE"""),"Stephane Durbec")</f>
        <v>Stephane Durbec</v>
      </c>
      <c r="Q578">
        <f>IFERROR(__xludf.DUMMYFUNCTION("""COMPUTED_VALUE"""),652.0)</f>
        <v>652</v>
      </c>
      <c r="R578" t="str">
        <f>IFERROR(__xludf.DUMMYFUNCTION("""COMPUTED_VALUE"""),"-")</f>
        <v>-</v>
      </c>
      <c r="S578" t="str">
        <f>IFERROR(__xludf.DUMMYFUNCTION("""COMPUTED_VALUE"""),"-")</f>
        <v>-</v>
      </c>
      <c r="T578" t="str">
        <f>IFERROR(__xludf.DUMMYFUNCTION("""COMPUTED_VALUE"""),"-")</f>
        <v>-</v>
      </c>
      <c r="U578" t="str">
        <f>IFERROR(__xludf.DUMMYFUNCTION("""COMPUTED_VALUE"""),"-")</f>
        <v>-</v>
      </c>
      <c r="V578" t="str">
        <f>IFERROR(__xludf.DUMMYFUNCTION("""COMPUTED_VALUE"""),"-")</f>
        <v>-</v>
      </c>
      <c r="W578" t="str">
        <f>IFERROR(__xludf.DUMMYFUNCTION("""COMPUTED_VALUE"""),"-")</f>
        <v>-</v>
      </c>
      <c r="X578" t="str">
        <f>IFERROR(__xludf.DUMMYFUNCTION("""COMPUTED_VALUE"""),"-")</f>
        <v>-</v>
      </c>
      <c r="Y578" t="str">
        <f>IFERROR(__xludf.DUMMYFUNCTION("""COMPUTED_VALUE"""),"-")</f>
        <v>-</v>
      </c>
      <c r="Z578" t="str">
        <f>IFERROR(__xludf.DUMMYFUNCTION("""COMPUTED_VALUE"""),"-")</f>
        <v>-</v>
      </c>
      <c r="AA578" t="str">
        <f>IFERROR(__xludf.DUMMYFUNCTION("""COMPUTED_VALUE"""),"-")</f>
        <v>-</v>
      </c>
    </row>
    <row r="579">
      <c r="A579" t="str">
        <f>IFERROR(__xludf.DUMMYFUNCTION("""COMPUTED_VALUE"""),"#578")</f>
        <v>#578</v>
      </c>
      <c r="B579" t="str">
        <f>IFERROR(__xludf.DUMMYFUNCTION("""COMPUTED_VALUE"""),"Valérie Chénard")</f>
        <v>Valérie Chénard</v>
      </c>
      <c r="C579">
        <f>IFERROR(__xludf.DUMMYFUNCTION("""COMPUTED_VALUE"""),651.0)</f>
        <v>651</v>
      </c>
      <c r="D579" t="str">
        <f>IFERROR(__xludf.DUMMYFUNCTION("""COMPUTED_VALUE"""),"-")</f>
        <v>-</v>
      </c>
      <c r="E579" t="str">
        <f>IFERROR(__xludf.DUMMYFUNCTION("""COMPUTED_VALUE"""),"-")</f>
        <v>-</v>
      </c>
      <c r="F579" t="str">
        <f>IFERROR(__xludf.DUMMYFUNCTION("""COMPUTED_VALUE"""),"-")</f>
        <v>-</v>
      </c>
      <c r="G579" t="str">
        <f>IFERROR(__xludf.DUMMYFUNCTION("""COMPUTED_VALUE"""),"-")</f>
        <v>-</v>
      </c>
      <c r="H579" t="str">
        <f>IFERROR(__xludf.DUMMYFUNCTION("""COMPUTED_VALUE"""),"-")</f>
        <v>-</v>
      </c>
      <c r="I579" t="str">
        <f>IFERROR(__xludf.DUMMYFUNCTION("""COMPUTED_VALUE"""),"-")</f>
        <v>-</v>
      </c>
      <c r="J579" t="str">
        <f>IFERROR(__xludf.DUMMYFUNCTION("""COMPUTED_VALUE"""),"-")</f>
        <v>-</v>
      </c>
      <c r="K579" t="str">
        <f>IFERROR(__xludf.DUMMYFUNCTION("""COMPUTED_VALUE"""),"-")</f>
        <v>-</v>
      </c>
      <c r="L579" t="str">
        <f>IFERROR(__xludf.DUMMYFUNCTION("""COMPUTED_VALUE"""),"-")</f>
        <v>-</v>
      </c>
      <c r="M579" t="str">
        <f>IFERROR(__xludf.DUMMYFUNCTION("""COMPUTED_VALUE"""),"-")</f>
        <v>-</v>
      </c>
      <c r="O579" t="str">
        <f>IFERROR(__xludf.DUMMYFUNCTION("""COMPUTED_VALUE"""),"#578")</f>
        <v>#578</v>
      </c>
      <c r="P579" t="str">
        <f>IFERROR(__xludf.DUMMYFUNCTION("""COMPUTED_VALUE"""),"Valérie Chénard")</f>
        <v>Valérie Chénard</v>
      </c>
      <c r="Q579">
        <f>IFERROR(__xludf.DUMMYFUNCTION("""COMPUTED_VALUE"""),651.0)</f>
        <v>651</v>
      </c>
      <c r="R579" t="str">
        <f>IFERROR(__xludf.DUMMYFUNCTION("""COMPUTED_VALUE"""),"-")</f>
        <v>-</v>
      </c>
      <c r="S579" t="str">
        <f>IFERROR(__xludf.DUMMYFUNCTION("""COMPUTED_VALUE"""),"-")</f>
        <v>-</v>
      </c>
      <c r="T579" t="str">
        <f>IFERROR(__xludf.DUMMYFUNCTION("""COMPUTED_VALUE"""),"-")</f>
        <v>-</v>
      </c>
      <c r="U579" t="str">
        <f>IFERROR(__xludf.DUMMYFUNCTION("""COMPUTED_VALUE"""),"-")</f>
        <v>-</v>
      </c>
      <c r="V579" t="str">
        <f>IFERROR(__xludf.DUMMYFUNCTION("""COMPUTED_VALUE"""),"-")</f>
        <v>-</v>
      </c>
      <c r="W579" t="str">
        <f>IFERROR(__xludf.DUMMYFUNCTION("""COMPUTED_VALUE"""),"-")</f>
        <v>-</v>
      </c>
      <c r="X579" t="str">
        <f>IFERROR(__xludf.DUMMYFUNCTION("""COMPUTED_VALUE"""),"-")</f>
        <v>-</v>
      </c>
      <c r="Y579" t="str">
        <f>IFERROR(__xludf.DUMMYFUNCTION("""COMPUTED_VALUE"""),"-")</f>
        <v>-</v>
      </c>
      <c r="Z579" t="str">
        <f>IFERROR(__xludf.DUMMYFUNCTION("""COMPUTED_VALUE"""),"-")</f>
        <v>-</v>
      </c>
      <c r="AA579" t="str">
        <f>IFERROR(__xludf.DUMMYFUNCTION("""COMPUTED_VALUE"""),"-")</f>
        <v>-</v>
      </c>
    </row>
    <row r="580">
      <c r="A580" t="str">
        <f>IFERROR(__xludf.DUMMYFUNCTION("""COMPUTED_VALUE"""),"#579")</f>
        <v>#579</v>
      </c>
      <c r="B580" t="str">
        <f>IFERROR(__xludf.DUMMYFUNCTION("""COMPUTED_VALUE"""),"Olivier Durnez")</f>
        <v>Olivier Durnez</v>
      </c>
      <c r="C580">
        <f>IFERROR(__xludf.DUMMYFUNCTION("""COMPUTED_VALUE"""),646.0)</f>
        <v>646</v>
      </c>
      <c r="D580" t="str">
        <f>IFERROR(__xludf.DUMMYFUNCTION("""COMPUTED_VALUE"""),"-")</f>
        <v>-</v>
      </c>
      <c r="E580" t="str">
        <f>IFERROR(__xludf.DUMMYFUNCTION("""COMPUTED_VALUE"""),"-")</f>
        <v>-</v>
      </c>
      <c r="F580" t="str">
        <f>IFERROR(__xludf.DUMMYFUNCTION("""COMPUTED_VALUE"""),"-")</f>
        <v>-</v>
      </c>
      <c r="G580" t="str">
        <f>IFERROR(__xludf.DUMMYFUNCTION("""COMPUTED_VALUE"""),"-")</f>
        <v>-</v>
      </c>
      <c r="H580" t="str">
        <f>IFERROR(__xludf.DUMMYFUNCTION("""COMPUTED_VALUE"""),"-")</f>
        <v>-</v>
      </c>
      <c r="I580" t="str">
        <f>IFERROR(__xludf.DUMMYFUNCTION("""COMPUTED_VALUE"""),"-")</f>
        <v>-</v>
      </c>
      <c r="J580" t="str">
        <f>IFERROR(__xludf.DUMMYFUNCTION("""COMPUTED_VALUE"""),"-")</f>
        <v>-</v>
      </c>
      <c r="K580" t="str">
        <f>IFERROR(__xludf.DUMMYFUNCTION("""COMPUTED_VALUE"""),"-")</f>
        <v>-</v>
      </c>
      <c r="L580" t="str">
        <f>IFERROR(__xludf.DUMMYFUNCTION("""COMPUTED_VALUE"""),"-")</f>
        <v>-</v>
      </c>
      <c r="M580" t="str">
        <f>IFERROR(__xludf.DUMMYFUNCTION("""COMPUTED_VALUE"""),"-")</f>
        <v>-</v>
      </c>
      <c r="O580" t="str">
        <f>IFERROR(__xludf.DUMMYFUNCTION("""COMPUTED_VALUE"""),"#579")</f>
        <v>#579</v>
      </c>
      <c r="P580" t="str">
        <f>IFERROR(__xludf.DUMMYFUNCTION("""COMPUTED_VALUE"""),"Olivier Durnez")</f>
        <v>Olivier Durnez</v>
      </c>
      <c r="Q580">
        <f>IFERROR(__xludf.DUMMYFUNCTION("""COMPUTED_VALUE"""),646.0)</f>
        <v>646</v>
      </c>
      <c r="R580" t="str">
        <f>IFERROR(__xludf.DUMMYFUNCTION("""COMPUTED_VALUE"""),"-")</f>
        <v>-</v>
      </c>
      <c r="S580" t="str">
        <f>IFERROR(__xludf.DUMMYFUNCTION("""COMPUTED_VALUE"""),"-")</f>
        <v>-</v>
      </c>
      <c r="T580" t="str">
        <f>IFERROR(__xludf.DUMMYFUNCTION("""COMPUTED_VALUE"""),"-")</f>
        <v>-</v>
      </c>
      <c r="U580" t="str">
        <f>IFERROR(__xludf.DUMMYFUNCTION("""COMPUTED_VALUE"""),"-")</f>
        <v>-</v>
      </c>
      <c r="V580" t="str">
        <f>IFERROR(__xludf.DUMMYFUNCTION("""COMPUTED_VALUE"""),"-")</f>
        <v>-</v>
      </c>
      <c r="W580" t="str">
        <f>IFERROR(__xludf.DUMMYFUNCTION("""COMPUTED_VALUE"""),"-")</f>
        <v>-</v>
      </c>
      <c r="X580" t="str">
        <f>IFERROR(__xludf.DUMMYFUNCTION("""COMPUTED_VALUE"""),"-")</f>
        <v>-</v>
      </c>
      <c r="Y580" t="str">
        <f>IFERROR(__xludf.DUMMYFUNCTION("""COMPUTED_VALUE"""),"-")</f>
        <v>-</v>
      </c>
      <c r="Z580" t="str">
        <f>IFERROR(__xludf.DUMMYFUNCTION("""COMPUTED_VALUE"""),"-")</f>
        <v>-</v>
      </c>
      <c r="AA580" t="str">
        <f>IFERROR(__xludf.DUMMYFUNCTION("""COMPUTED_VALUE"""),"-")</f>
        <v>-</v>
      </c>
    </row>
    <row r="581">
      <c r="A581" t="str">
        <f>IFERROR(__xludf.DUMMYFUNCTION("""COMPUTED_VALUE"""),"#580")</f>
        <v>#580</v>
      </c>
      <c r="B581" t="str">
        <f>IFERROR(__xludf.DUMMYFUNCTION("""COMPUTED_VALUE"""),"Philippe Martin")</f>
        <v>Philippe Martin</v>
      </c>
      <c r="C581">
        <f>IFERROR(__xludf.DUMMYFUNCTION("""COMPUTED_VALUE"""),607.0)</f>
        <v>607</v>
      </c>
      <c r="D581" t="str">
        <f>IFERROR(__xludf.DUMMYFUNCTION("""COMPUTED_VALUE"""),"-")</f>
        <v>-</v>
      </c>
      <c r="E581" t="str">
        <f>IFERROR(__xludf.DUMMYFUNCTION("""COMPUTED_VALUE"""),"-")</f>
        <v>-</v>
      </c>
      <c r="F581" t="str">
        <f>IFERROR(__xludf.DUMMYFUNCTION("""COMPUTED_VALUE"""),"-")</f>
        <v>-</v>
      </c>
      <c r="G581" t="str">
        <f>IFERROR(__xludf.DUMMYFUNCTION("""COMPUTED_VALUE"""),"-")</f>
        <v>-</v>
      </c>
      <c r="H581" t="str">
        <f>IFERROR(__xludf.DUMMYFUNCTION("""COMPUTED_VALUE"""),"-")</f>
        <v>-</v>
      </c>
      <c r="I581" t="str">
        <f>IFERROR(__xludf.DUMMYFUNCTION("""COMPUTED_VALUE"""),"-")</f>
        <v>-</v>
      </c>
      <c r="J581" t="str">
        <f>IFERROR(__xludf.DUMMYFUNCTION("""COMPUTED_VALUE"""),"-")</f>
        <v>-</v>
      </c>
      <c r="K581" t="str">
        <f>IFERROR(__xludf.DUMMYFUNCTION("""COMPUTED_VALUE"""),"-")</f>
        <v>-</v>
      </c>
      <c r="L581" t="str">
        <f>IFERROR(__xludf.DUMMYFUNCTION("""COMPUTED_VALUE"""),"-")</f>
        <v>-</v>
      </c>
      <c r="M581" t="str">
        <f>IFERROR(__xludf.DUMMYFUNCTION("""COMPUTED_VALUE"""),"-")</f>
        <v>-</v>
      </c>
      <c r="O581" t="str">
        <f>IFERROR(__xludf.DUMMYFUNCTION("""COMPUTED_VALUE"""),"#580")</f>
        <v>#580</v>
      </c>
      <c r="P581" t="str">
        <f>IFERROR(__xludf.DUMMYFUNCTION("""COMPUTED_VALUE"""),"Philippe Martin")</f>
        <v>Philippe Martin</v>
      </c>
      <c r="Q581">
        <f>IFERROR(__xludf.DUMMYFUNCTION("""COMPUTED_VALUE"""),607.0)</f>
        <v>607</v>
      </c>
      <c r="R581" t="str">
        <f>IFERROR(__xludf.DUMMYFUNCTION("""COMPUTED_VALUE"""),"-")</f>
        <v>-</v>
      </c>
      <c r="S581" t="str">
        <f>IFERROR(__xludf.DUMMYFUNCTION("""COMPUTED_VALUE"""),"-")</f>
        <v>-</v>
      </c>
      <c r="T581" t="str">
        <f>IFERROR(__xludf.DUMMYFUNCTION("""COMPUTED_VALUE"""),"-")</f>
        <v>-</v>
      </c>
      <c r="U581" t="str">
        <f>IFERROR(__xludf.DUMMYFUNCTION("""COMPUTED_VALUE"""),"-")</f>
        <v>-</v>
      </c>
      <c r="V581" t="str">
        <f>IFERROR(__xludf.DUMMYFUNCTION("""COMPUTED_VALUE"""),"-")</f>
        <v>-</v>
      </c>
      <c r="W581" t="str">
        <f>IFERROR(__xludf.DUMMYFUNCTION("""COMPUTED_VALUE"""),"-")</f>
        <v>-</v>
      </c>
      <c r="X581" t="str">
        <f>IFERROR(__xludf.DUMMYFUNCTION("""COMPUTED_VALUE"""),"-")</f>
        <v>-</v>
      </c>
      <c r="Y581" t="str">
        <f>IFERROR(__xludf.DUMMYFUNCTION("""COMPUTED_VALUE"""),"-")</f>
        <v>-</v>
      </c>
      <c r="Z581" t="str">
        <f>IFERROR(__xludf.DUMMYFUNCTION("""COMPUTED_VALUE"""),"-")</f>
        <v>-</v>
      </c>
      <c r="AA581" t="str">
        <f>IFERROR(__xludf.DUMMYFUNCTION("""COMPUTED_VALUE"""),"-")</f>
        <v>-</v>
      </c>
    </row>
    <row r="582">
      <c r="A582" t="str">
        <f>IFERROR(__xludf.DUMMYFUNCTION("""COMPUTED_VALUE"""),"#581")</f>
        <v>#581</v>
      </c>
      <c r="B582" t="str">
        <f>IFERROR(__xludf.DUMMYFUNCTION("""COMPUTED_VALUE"""),"Stéphane Vidal")</f>
        <v>Stéphane Vidal</v>
      </c>
      <c r="C582">
        <f>IFERROR(__xludf.DUMMYFUNCTION("""COMPUTED_VALUE"""),560.0)</f>
        <v>560</v>
      </c>
      <c r="D582" t="str">
        <f>IFERROR(__xludf.DUMMYFUNCTION("""COMPUTED_VALUE"""),"-")</f>
        <v>-</v>
      </c>
      <c r="E582" t="str">
        <f>IFERROR(__xludf.DUMMYFUNCTION("""COMPUTED_VALUE"""),"-")</f>
        <v>-</v>
      </c>
      <c r="F582" t="str">
        <f>IFERROR(__xludf.DUMMYFUNCTION("""COMPUTED_VALUE"""),"-")</f>
        <v>-</v>
      </c>
      <c r="G582" t="str">
        <f>IFERROR(__xludf.DUMMYFUNCTION("""COMPUTED_VALUE"""),"-")</f>
        <v>-</v>
      </c>
      <c r="H582" t="str">
        <f>IFERROR(__xludf.DUMMYFUNCTION("""COMPUTED_VALUE"""),"-")</f>
        <v>-</v>
      </c>
      <c r="I582" t="str">
        <f>IFERROR(__xludf.DUMMYFUNCTION("""COMPUTED_VALUE"""),"-")</f>
        <v>-</v>
      </c>
      <c r="J582" t="str">
        <f>IFERROR(__xludf.DUMMYFUNCTION("""COMPUTED_VALUE"""),"-")</f>
        <v>-</v>
      </c>
      <c r="K582" t="str">
        <f>IFERROR(__xludf.DUMMYFUNCTION("""COMPUTED_VALUE"""),"-")</f>
        <v>-</v>
      </c>
      <c r="L582" t="str">
        <f>IFERROR(__xludf.DUMMYFUNCTION("""COMPUTED_VALUE"""),"-")</f>
        <v>-</v>
      </c>
      <c r="M582" t="str">
        <f>IFERROR(__xludf.DUMMYFUNCTION("""COMPUTED_VALUE"""),"-")</f>
        <v>-</v>
      </c>
      <c r="O582" t="str">
        <f>IFERROR(__xludf.DUMMYFUNCTION("""COMPUTED_VALUE"""),"#581")</f>
        <v>#581</v>
      </c>
      <c r="P582" t="str">
        <f>IFERROR(__xludf.DUMMYFUNCTION("""COMPUTED_VALUE"""),"Stéphane Vidal")</f>
        <v>Stéphane Vidal</v>
      </c>
      <c r="Q582">
        <f>IFERROR(__xludf.DUMMYFUNCTION("""COMPUTED_VALUE"""),560.0)</f>
        <v>560</v>
      </c>
      <c r="R582" t="str">
        <f>IFERROR(__xludf.DUMMYFUNCTION("""COMPUTED_VALUE"""),"-")</f>
        <v>-</v>
      </c>
      <c r="S582" t="str">
        <f>IFERROR(__xludf.DUMMYFUNCTION("""COMPUTED_VALUE"""),"-")</f>
        <v>-</v>
      </c>
      <c r="T582" t="str">
        <f>IFERROR(__xludf.DUMMYFUNCTION("""COMPUTED_VALUE"""),"-")</f>
        <v>-</v>
      </c>
      <c r="U582" t="str">
        <f>IFERROR(__xludf.DUMMYFUNCTION("""COMPUTED_VALUE"""),"-")</f>
        <v>-</v>
      </c>
      <c r="V582" t="str">
        <f>IFERROR(__xludf.DUMMYFUNCTION("""COMPUTED_VALUE"""),"-")</f>
        <v>-</v>
      </c>
      <c r="W582" t="str">
        <f>IFERROR(__xludf.DUMMYFUNCTION("""COMPUTED_VALUE"""),"-")</f>
        <v>-</v>
      </c>
      <c r="X582" t="str">
        <f>IFERROR(__xludf.DUMMYFUNCTION("""COMPUTED_VALUE"""),"-")</f>
        <v>-</v>
      </c>
      <c r="Y582" t="str">
        <f>IFERROR(__xludf.DUMMYFUNCTION("""COMPUTED_VALUE"""),"-")</f>
        <v>-</v>
      </c>
      <c r="Z582" t="str">
        <f>IFERROR(__xludf.DUMMYFUNCTION("""COMPUTED_VALUE"""),"-")</f>
        <v>-</v>
      </c>
      <c r="AA582" t="str">
        <f>IFERROR(__xludf.DUMMYFUNCTION("""COMPUTED_VALUE"""),"-")</f>
        <v>-</v>
      </c>
    </row>
    <row r="583">
      <c r="A583" t="str">
        <f>IFERROR(__xludf.DUMMYFUNCTION("""COMPUTED_VALUE"""),"#582")</f>
        <v>#582</v>
      </c>
      <c r="B583" t="str">
        <f>IFERROR(__xludf.DUMMYFUNCTION("""COMPUTED_VALUE"""),"Magali Giovannangeli")</f>
        <v>Magali Giovannangeli</v>
      </c>
      <c r="C583">
        <f>IFERROR(__xludf.DUMMYFUNCTION("""COMPUTED_VALUE"""),541.0)</f>
        <v>541</v>
      </c>
      <c r="D583" t="str">
        <f>IFERROR(__xludf.DUMMYFUNCTION("""COMPUTED_VALUE"""),"-")</f>
        <v>-</v>
      </c>
      <c r="E583" t="str">
        <f>IFERROR(__xludf.DUMMYFUNCTION("""COMPUTED_VALUE"""),"-")</f>
        <v>-</v>
      </c>
      <c r="F583" t="str">
        <f>IFERROR(__xludf.DUMMYFUNCTION("""COMPUTED_VALUE"""),"-")</f>
        <v>-</v>
      </c>
      <c r="G583" t="str">
        <f>IFERROR(__xludf.DUMMYFUNCTION("""COMPUTED_VALUE"""),"-")</f>
        <v>-</v>
      </c>
      <c r="H583" t="str">
        <f>IFERROR(__xludf.DUMMYFUNCTION("""COMPUTED_VALUE"""),"-")</f>
        <v>-</v>
      </c>
      <c r="I583" t="str">
        <f>IFERROR(__xludf.DUMMYFUNCTION("""COMPUTED_VALUE"""),"-")</f>
        <v>-</v>
      </c>
      <c r="J583" t="str">
        <f>IFERROR(__xludf.DUMMYFUNCTION("""COMPUTED_VALUE"""),"-")</f>
        <v>-</v>
      </c>
      <c r="K583" t="str">
        <f>IFERROR(__xludf.DUMMYFUNCTION("""COMPUTED_VALUE"""),"-")</f>
        <v>-</v>
      </c>
      <c r="L583" t="str">
        <f>IFERROR(__xludf.DUMMYFUNCTION("""COMPUTED_VALUE"""),"-")</f>
        <v>-</v>
      </c>
      <c r="M583" t="str">
        <f>IFERROR(__xludf.DUMMYFUNCTION("""COMPUTED_VALUE"""),"-")</f>
        <v>-</v>
      </c>
      <c r="O583" t="str">
        <f>IFERROR(__xludf.DUMMYFUNCTION("""COMPUTED_VALUE"""),"#582")</f>
        <v>#582</v>
      </c>
      <c r="P583" t="str">
        <f>IFERROR(__xludf.DUMMYFUNCTION("""COMPUTED_VALUE"""),"Magali Giovannangeli")</f>
        <v>Magali Giovannangeli</v>
      </c>
      <c r="Q583">
        <f>IFERROR(__xludf.DUMMYFUNCTION("""COMPUTED_VALUE"""),541.0)</f>
        <v>541</v>
      </c>
      <c r="R583" t="str">
        <f>IFERROR(__xludf.DUMMYFUNCTION("""COMPUTED_VALUE"""),"-")</f>
        <v>-</v>
      </c>
      <c r="S583" t="str">
        <f>IFERROR(__xludf.DUMMYFUNCTION("""COMPUTED_VALUE"""),"-")</f>
        <v>-</v>
      </c>
      <c r="T583" t="str">
        <f>IFERROR(__xludf.DUMMYFUNCTION("""COMPUTED_VALUE"""),"-")</f>
        <v>-</v>
      </c>
      <c r="U583" t="str">
        <f>IFERROR(__xludf.DUMMYFUNCTION("""COMPUTED_VALUE"""),"-")</f>
        <v>-</v>
      </c>
      <c r="V583" t="str">
        <f>IFERROR(__xludf.DUMMYFUNCTION("""COMPUTED_VALUE"""),"-")</f>
        <v>-</v>
      </c>
      <c r="W583" t="str">
        <f>IFERROR(__xludf.DUMMYFUNCTION("""COMPUTED_VALUE"""),"-")</f>
        <v>-</v>
      </c>
      <c r="X583" t="str">
        <f>IFERROR(__xludf.DUMMYFUNCTION("""COMPUTED_VALUE"""),"-")</f>
        <v>-</v>
      </c>
      <c r="Y583" t="str">
        <f>IFERROR(__xludf.DUMMYFUNCTION("""COMPUTED_VALUE"""),"-")</f>
        <v>-</v>
      </c>
      <c r="Z583" t="str">
        <f>IFERROR(__xludf.DUMMYFUNCTION("""COMPUTED_VALUE"""),"-")</f>
        <v>-</v>
      </c>
      <c r="AA583" t="str">
        <f>IFERROR(__xludf.DUMMYFUNCTION("""COMPUTED_VALUE"""),"-")</f>
        <v>-</v>
      </c>
    </row>
    <row r="584">
      <c r="A584" t="str">
        <f>IFERROR(__xludf.DUMMYFUNCTION("""COMPUTED_VALUE"""),"#583")</f>
        <v>#583</v>
      </c>
      <c r="B584" t="str">
        <f>IFERROR(__xludf.DUMMYFUNCTION("""COMPUTED_VALUE"""),"Guillaume Prin")</f>
        <v>Guillaume Prin</v>
      </c>
      <c r="C584">
        <f>IFERROR(__xludf.DUMMYFUNCTION("""COMPUTED_VALUE"""),529.0)</f>
        <v>529</v>
      </c>
      <c r="D584" t="str">
        <f>IFERROR(__xludf.DUMMYFUNCTION("""COMPUTED_VALUE"""),"-")</f>
        <v>-</v>
      </c>
      <c r="E584" t="str">
        <f>IFERROR(__xludf.DUMMYFUNCTION("""COMPUTED_VALUE"""),"-")</f>
        <v>-</v>
      </c>
      <c r="F584" t="str">
        <f>IFERROR(__xludf.DUMMYFUNCTION("""COMPUTED_VALUE"""),"-")</f>
        <v>-</v>
      </c>
      <c r="G584" t="str">
        <f>IFERROR(__xludf.DUMMYFUNCTION("""COMPUTED_VALUE"""),"-")</f>
        <v>-</v>
      </c>
      <c r="H584" t="str">
        <f>IFERROR(__xludf.DUMMYFUNCTION("""COMPUTED_VALUE"""),"-")</f>
        <v>-</v>
      </c>
      <c r="I584" t="str">
        <f>IFERROR(__xludf.DUMMYFUNCTION("""COMPUTED_VALUE"""),"-")</f>
        <v>-</v>
      </c>
      <c r="J584" t="str">
        <f>IFERROR(__xludf.DUMMYFUNCTION("""COMPUTED_VALUE"""),"-")</f>
        <v>-</v>
      </c>
      <c r="K584" t="str">
        <f>IFERROR(__xludf.DUMMYFUNCTION("""COMPUTED_VALUE"""),"-")</f>
        <v>-</v>
      </c>
      <c r="L584" t="str">
        <f>IFERROR(__xludf.DUMMYFUNCTION("""COMPUTED_VALUE"""),"-")</f>
        <v>-</v>
      </c>
      <c r="M584" t="str">
        <f>IFERROR(__xludf.DUMMYFUNCTION("""COMPUTED_VALUE"""),"-")</f>
        <v>-</v>
      </c>
      <c r="O584" t="str">
        <f>IFERROR(__xludf.DUMMYFUNCTION("""COMPUTED_VALUE"""),"#583")</f>
        <v>#583</v>
      </c>
      <c r="P584" t="str">
        <f>IFERROR(__xludf.DUMMYFUNCTION("""COMPUTED_VALUE"""),"Guillaume Prin")</f>
        <v>Guillaume Prin</v>
      </c>
      <c r="Q584">
        <f>IFERROR(__xludf.DUMMYFUNCTION("""COMPUTED_VALUE"""),529.0)</f>
        <v>529</v>
      </c>
      <c r="R584" t="str">
        <f>IFERROR(__xludf.DUMMYFUNCTION("""COMPUTED_VALUE"""),"-")</f>
        <v>-</v>
      </c>
      <c r="S584" t="str">
        <f>IFERROR(__xludf.DUMMYFUNCTION("""COMPUTED_VALUE"""),"-")</f>
        <v>-</v>
      </c>
      <c r="T584" t="str">
        <f>IFERROR(__xludf.DUMMYFUNCTION("""COMPUTED_VALUE"""),"-")</f>
        <v>-</v>
      </c>
      <c r="U584" t="str">
        <f>IFERROR(__xludf.DUMMYFUNCTION("""COMPUTED_VALUE"""),"-")</f>
        <v>-</v>
      </c>
      <c r="V584" t="str">
        <f>IFERROR(__xludf.DUMMYFUNCTION("""COMPUTED_VALUE"""),"-")</f>
        <v>-</v>
      </c>
      <c r="W584" t="str">
        <f>IFERROR(__xludf.DUMMYFUNCTION("""COMPUTED_VALUE"""),"-")</f>
        <v>-</v>
      </c>
      <c r="X584" t="str">
        <f>IFERROR(__xludf.DUMMYFUNCTION("""COMPUTED_VALUE"""),"-")</f>
        <v>-</v>
      </c>
      <c r="Y584" t="str">
        <f>IFERROR(__xludf.DUMMYFUNCTION("""COMPUTED_VALUE"""),"-")</f>
        <v>-</v>
      </c>
      <c r="Z584" t="str">
        <f>IFERROR(__xludf.DUMMYFUNCTION("""COMPUTED_VALUE"""),"-")</f>
        <v>-</v>
      </c>
      <c r="AA584" t="str">
        <f>IFERROR(__xludf.DUMMYFUNCTION("""COMPUTED_VALUE"""),"-")</f>
        <v>-</v>
      </c>
    </row>
    <row r="585">
      <c r="A585" t="str">
        <f>IFERROR(__xludf.DUMMYFUNCTION("""COMPUTED_VALUE"""),"#584")</f>
        <v>#584</v>
      </c>
      <c r="B585" t="str">
        <f>IFERROR(__xludf.DUMMYFUNCTION("""COMPUTED_VALUE"""),"Simon Giessinger")</f>
        <v>Simon Giessinger</v>
      </c>
      <c r="C585">
        <f>IFERROR(__xludf.DUMMYFUNCTION("""COMPUTED_VALUE"""),514.0)</f>
        <v>514</v>
      </c>
      <c r="D585" t="str">
        <f>IFERROR(__xludf.DUMMYFUNCTION("""COMPUTED_VALUE"""),"-")</f>
        <v>-</v>
      </c>
      <c r="E585" t="str">
        <f>IFERROR(__xludf.DUMMYFUNCTION("""COMPUTED_VALUE"""),"-")</f>
        <v>-</v>
      </c>
      <c r="F585" t="str">
        <f>IFERROR(__xludf.DUMMYFUNCTION("""COMPUTED_VALUE"""),"-")</f>
        <v>-</v>
      </c>
      <c r="G585" t="str">
        <f>IFERROR(__xludf.DUMMYFUNCTION("""COMPUTED_VALUE"""),"-")</f>
        <v>-</v>
      </c>
      <c r="H585" t="str">
        <f>IFERROR(__xludf.DUMMYFUNCTION("""COMPUTED_VALUE"""),"-")</f>
        <v>-</v>
      </c>
      <c r="I585" t="str">
        <f>IFERROR(__xludf.DUMMYFUNCTION("""COMPUTED_VALUE"""),"-")</f>
        <v>-</v>
      </c>
      <c r="J585" t="str">
        <f>IFERROR(__xludf.DUMMYFUNCTION("""COMPUTED_VALUE"""),"-")</f>
        <v>-</v>
      </c>
      <c r="K585" t="str">
        <f>IFERROR(__xludf.DUMMYFUNCTION("""COMPUTED_VALUE"""),"-")</f>
        <v>-</v>
      </c>
      <c r="L585" t="str">
        <f>IFERROR(__xludf.DUMMYFUNCTION("""COMPUTED_VALUE"""),"-")</f>
        <v>-</v>
      </c>
      <c r="M585" t="str">
        <f>IFERROR(__xludf.DUMMYFUNCTION("""COMPUTED_VALUE"""),"-")</f>
        <v>-</v>
      </c>
      <c r="O585" t="str">
        <f>IFERROR(__xludf.DUMMYFUNCTION("""COMPUTED_VALUE"""),"#584")</f>
        <v>#584</v>
      </c>
      <c r="P585" t="str">
        <f>IFERROR(__xludf.DUMMYFUNCTION("""COMPUTED_VALUE"""),"Simon Giessinger")</f>
        <v>Simon Giessinger</v>
      </c>
      <c r="Q585">
        <f>IFERROR(__xludf.DUMMYFUNCTION("""COMPUTED_VALUE"""),514.0)</f>
        <v>514</v>
      </c>
      <c r="R585" t="str">
        <f>IFERROR(__xludf.DUMMYFUNCTION("""COMPUTED_VALUE"""),"-")</f>
        <v>-</v>
      </c>
      <c r="S585" t="str">
        <f>IFERROR(__xludf.DUMMYFUNCTION("""COMPUTED_VALUE"""),"-")</f>
        <v>-</v>
      </c>
      <c r="T585" t="str">
        <f>IFERROR(__xludf.DUMMYFUNCTION("""COMPUTED_VALUE"""),"-")</f>
        <v>-</v>
      </c>
      <c r="U585" t="str">
        <f>IFERROR(__xludf.DUMMYFUNCTION("""COMPUTED_VALUE"""),"-")</f>
        <v>-</v>
      </c>
      <c r="V585" t="str">
        <f>IFERROR(__xludf.DUMMYFUNCTION("""COMPUTED_VALUE"""),"-")</f>
        <v>-</v>
      </c>
      <c r="W585" t="str">
        <f>IFERROR(__xludf.DUMMYFUNCTION("""COMPUTED_VALUE"""),"-")</f>
        <v>-</v>
      </c>
      <c r="X585" t="str">
        <f>IFERROR(__xludf.DUMMYFUNCTION("""COMPUTED_VALUE"""),"-")</f>
        <v>-</v>
      </c>
      <c r="Y585" t="str">
        <f>IFERROR(__xludf.DUMMYFUNCTION("""COMPUTED_VALUE"""),"-")</f>
        <v>-</v>
      </c>
      <c r="Z585" t="str">
        <f>IFERROR(__xludf.DUMMYFUNCTION("""COMPUTED_VALUE"""),"-")</f>
        <v>-</v>
      </c>
      <c r="AA585" t="str">
        <f>IFERROR(__xludf.DUMMYFUNCTION("""COMPUTED_VALUE"""),"-")</f>
        <v>-</v>
      </c>
    </row>
    <row r="586">
      <c r="A586" t="str">
        <f>IFERROR(__xludf.DUMMYFUNCTION("""COMPUTED_VALUE"""),"#585")</f>
        <v>#585</v>
      </c>
      <c r="B586" t="str">
        <f>IFERROR(__xludf.DUMMYFUNCTION("""COMPUTED_VALUE"""),"Marie-Christine Boutonnet")</f>
        <v>Marie-Christine Boutonnet</v>
      </c>
      <c r="C586">
        <f>IFERROR(__xludf.DUMMYFUNCTION("""COMPUTED_VALUE"""),486.0)</f>
        <v>486</v>
      </c>
      <c r="D586" t="str">
        <f>IFERROR(__xludf.DUMMYFUNCTION("""COMPUTED_VALUE"""),"-")</f>
        <v>-</v>
      </c>
      <c r="E586" t="str">
        <f>IFERROR(__xludf.DUMMYFUNCTION("""COMPUTED_VALUE"""),"-")</f>
        <v>-</v>
      </c>
      <c r="F586" t="str">
        <f>IFERROR(__xludf.DUMMYFUNCTION("""COMPUTED_VALUE"""),"-")</f>
        <v>-</v>
      </c>
      <c r="G586" t="str">
        <f>IFERROR(__xludf.DUMMYFUNCTION("""COMPUTED_VALUE"""),"-")</f>
        <v>-</v>
      </c>
      <c r="H586" t="str">
        <f>IFERROR(__xludf.DUMMYFUNCTION("""COMPUTED_VALUE"""),"-")</f>
        <v>-</v>
      </c>
      <c r="I586" t="str">
        <f>IFERROR(__xludf.DUMMYFUNCTION("""COMPUTED_VALUE"""),"-")</f>
        <v>-</v>
      </c>
      <c r="J586" t="str">
        <f>IFERROR(__xludf.DUMMYFUNCTION("""COMPUTED_VALUE"""),"-")</f>
        <v>-</v>
      </c>
      <c r="K586" t="str">
        <f>IFERROR(__xludf.DUMMYFUNCTION("""COMPUTED_VALUE"""),"-")</f>
        <v>-</v>
      </c>
      <c r="L586" t="str">
        <f>IFERROR(__xludf.DUMMYFUNCTION("""COMPUTED_VALUE"""),"-")</f>
        <v>-</v>
      </c>
      <c r="M586" t="str">
        <f>IFERROR(__xludf.DUMMYFUNCTION("""COMPUTED_VALUE"""),"-")</f>
        <v>-</v>
      </c>
      <c r="O586" t="str">
        <f>IFERROR(__xludf.DUMMYFUNCTION("""COMPUTED_VALUE"""),"#585")</f>
        <v>#585</v>
      </c>
      <c r="P586" t="str">
        <f>IFERROR(__xludf.DUMMYFUNCTION("""COMPUTED_VALUE"""),"Marie-Christine Boutonnet")</f>
        <v>Marie-Christine Boutonnet</v>
      </c>
      <c r="Q586">
        <f>IFERROR(__xludf.DUMMYFUNCTION("""COMPUTED_VALUE"""),486.0)</f>
        <v>486</v>
      </c>
      <c r="R586" t="str">
        <f>IFERROR(__xludf.DUMMYFUNCTION("""COMPUTED_VALUE"""),"-")</f>
        <v>-</v>
      </c>
      <c r="S586" t="str">
        <f>IFERROR(__xludf.DUMMYFUNCTION("""COMPUTED_VALUE"""),"-")</f>
        <v>-</v>
      </c>
      <c r="T586" t="str">
        <f>IFERROR(__xludf.DUMMYFUNCTION("""COMPUTED_VALUE"""),"-")</f>
        <v>-</v>
      </c>
      <c r="U586" t="str">
        <f>IFERROR(__xludf.DUMMYFUNCTION("""COMPUTED_VALUE"""),"-")</f>
        <v>-</v>
      </c>
      <c r="V586" t="str">
        <f>IFERROR(__xludf.DUMMYFUNCTION("""COMPUTED_VALUE"""),"-")</f>
        <v>-</v>
      </c>
      <c r="W586" t="str">
        <f>IFERROR(__xludf.DUMMYFUNCTION("""COMPUTED_VALUE"""),"-")</f>
        <v>-</v>
      </c>
      <c r="X586" t="str">
        <f>IFERROR(__xludf.DUMMYFUNCTION("""COMPUTED_VALUE"""),"-")</f>
        <v>-</v>
      </c>
      <c r="Y586" t="str">
        <f>IFERROR(__xludf.DUMMYFUNCTION("""COMPUTED_VALUE"""),"-")</f>
        <v>-</v>
      </c>
      <c r="Z586" t="str">
        <f>IFERROR(__xludf.DUMMYFUNCTION("""COMPUTED_VALUE"""),"-")</f>
        <v>-</v>
      </c>
      <c r="AA586" t="str">
        <f>IFERROR(__xludf.DUMMYFUNCTION("""COMPUTED_VALUE"""),"-")</f>
        <v>-</v>
      </c>
    </row>
    <row r="587">
      <c r="A587" t="str">
        <f>IFERROR(__xludf.DUMMYFUNCTION("""COMPUTED_VALUE"""),"#586")</f>
        <v>#586</v>
      </c>
      <c r="B587" t="str">
        <f>IFERROR(__xludf.DUMMYFUNCTION("""COMPUTED_VALUE"""),"Eddy Frexitons")</f>
        <v>Eddy Frexitons</v>
      </c>
      <c r="C587">
        <f>IFERROR(__xludf.DUMMYFUNCTION("""COMPUTED_VALUE"""),438.0)</f>
        <v>438</v>
      </c>
      <c r="D587" t="str">
        <f>IFERROR(__xludf.DUMMYFUNCTION("""COMPUTED_VALUE"""),"-")</f>
        <v>-</v>
      </c>
      <c r="E587" t="str">
        <f>IFERROR(__xludf.DUMMYFUNCTION("""COMPUTED_VALUE"""),"-")</f>
        <v>-</v>
      </c>
      <c r="F587" t="str">
        <f>IFERROR(__xludf.DUMMYFUNCTION("""COMPUTED_VALUE"""),"-")</f>
        <v>-</v>
      </c>
      <c r="G587" t="str">
        <f>IFERROR(__xludf.DUMMYFUNCTION("""COMPUTED_VALUE"""),"-")</f>
        <v>-</v>
      </c>
      <c r="H587" t="str">
        <f>IFERROR(__xludf.DUMMYFUNCTION("""COMPUTED_VALUE"""),"-")</f>
        <v>-</v>
      </c>
      <c r="I587" t="str">
        <f>IFERROR(__xludf.DUMMYFUNCTION("""COMPUTED_VALUE"""),"-")</f>
        <v>-</v>
      </c>
      <c r="J587" t="str">
        <f>IFERROR(__xludf.DUMMYFUNCTION("""COMPUTED_VALUE"""),"-")</f>
        <v>-</v>
      </c>
      <c r="K587" t="str">
        <f>IFERROR(__xludf.DUMMYFUNCTION("""COMPUTED_VALUE"""),"-")</f>
        <v>-</v>
      </c>
      <c r="L587" t="str">
        <f>IFERROR(__xludf.DUMMYFUNCTION("""COMPUTED_VALUE"""),"-")</f>
        <v>-</v>
      </c>
      <c r="M587" t="str">
        <f>IFERROR(__xludf.DUMMYFUNCTION("""COMPUTED_VALUE"""),"-")</f>
        <v>-</v>
      </c>
      <c r="O587" t="str">
        <f>IFERROR(__xludf.DUMMYFUNCTION("""COMPUTED_VALUE"""),"#586")</f>
        <v>#586</v>
      </c>
      <c r="P587" t="str">
        <f>IFERROR(__xludf.DUMMYFUNCTION("""COMPUTED_VALUE"""),"Eddy Frexitons")</f>
        <v>Eddy Frexitons</v>
      </c>
      <c r="Q587">
        <f>IFERROR(__xludf.DUMMYFUNCTION("""COMPUTED_VALUE"""),438.0)</f>
        <v>438</v>
      </c>
      <c r="R587" t="str">
        <f>IFERROR(__xludf.DUMMYFUNCTION("""COMPUTED_VALUE"""),"-")</f>
        <v>-</v>
      </c>
      <c r="S587" t="str">
        <f>IFERROR(__xludf.DUMMYFUNCTION("""COMPUTED_VALUE"""),"-")</f>
        <v>-</v>
      </c>
      <c r="T587" t="str">
        <f>IFERROR(__xludf.DUMMYFUNCTION("""COMPUTED_VALUE"""),"-")</f>
        <v>-</v>
      </c>
      <c r="U587" t="str">
        <f>IFERROR(__xludf.DUMMYFUNCTION("""COMPUTED_VALUE"""),"-")</f>
        <v>-</v>
      </c>
      <c r="V587" t="str">
        <f>IFERROR(__xludf.DUMMYFUNCTION("""COMPUTED_VALUE"""),"-")</f>
        <v>-</v>
      </c>
      <c r="W587" t="str">
        <f>IFERROR(__xludf.DUMMYFUNCTION("""COMPUTED_VALUE"""),"-")</f>
        <v>-</v>
      </c>
      <c r="X587" t="str">
        <f>IFERROR(__xludf.DUMMYFUNCTION("""COMPUTED_VALUE"""),"-")</f>
        <v>-</v>
      </c>
      <c r="Y587" t="str">
        <f>IFERROR(__xludf.DUMMYFUNCTION("""COMPUTED_VALUE"""),"-")</f>
        <v>-</v>
      </c>
      <c r="Z587" t="str">
        <f>IFERROR(__xludf.DUMMYFUNCTION("""COMPUTED_VALUE"""),"-")</f>
        <v>-</v>
      </c>
      <c r="AA587" t="str">
        <f>IFERROR(__xludf.DUMMYFUNCTION("""COMPUTED_VALUE"""),"-")</f>
        <v>-</v>
      </c>
    </row>
    <row r="588">
      <c r="A588" t="str">
        <f>IFERROR(__xludf.DUMMYFUNCTION("""COMPUTED_VALUE"""),"#587")</f>
        <v>#587</v>
      </c>
      <c r="B588" t="str">
        <f>IFERROR(__xludf.DUMMYFUNCTION("""COMPUTED_VALUE"""),"Sandrine Floureusses")</f>
        <v>Sandrine Floureusses</v>
      </c>
      <c r="C588">
        <f>IFERROR(__xludf.DUMMYFUNCTION("""COMPUTED_VALUE"""),428.0)</f>
        <v>428</v>
      </c>
      <c r="D588" t="str">
        <f>IFERROR(__xludf.DUMMYFUNCTION("""COMPUTED_VALUE"""),"-")</f>
        <v>-</v>
      </c>
      <c r="E588" t="str">
        <f>IFERROR(__xludf.DUMMYFUNCTION("""COMPUTED_VALUE"""),"-")</f>
        <v>-</v>
      </c>
      <c r="F588" t="str">
        <f>IFERROR(__xludf.DUMMYFUNCTION("""COMPUTED_VALUE"""),"-")</f>
        <v>-</v>
      </c>
      <c r="G588" t="str">
        <f>IFERROR(__xludf.DUMMYFUNCTION("""COMPUTED_VALUE"""),"-")</f>
        <v>-</v>
      </c>
      <c r="H588" t="str">
        <f>IFERROR(__xludf.DUMMYFUNCTION("""COMPUTED_VALUE"""),"-")</f>
        <v>-</v>
      </c>
      <c r="I588" t="str">
        <f>IFERROR(__xludf.DUMMYFUNCTION("""COMPUTED_VALUE"""),"-")</f>
        <v>-</v>
      </c>
      <c r="J588" t="str">
        <f>IFERROR(__xludf.DUMMYFUNCTION("""COMPUTED_VALUE"""),"-")</f>
        <v>-</v>
      </c>
      <c r="K588" t="str">
        <f>IFERROR(__xludf.DUMMYFUNCTION("""COMPUTED_VALUE"""),"-")</f>
        <v>-</v>
      </c>
      <c r="L588" t="str">
        <f>IFERROR(__xludf.DUMMYFUNCTION("""COMPUTED_VALUE"""),"-")</f>
        <v>-</v>
      </c>
      <c r="M588" t="str">
        <f>IFERROR(__xludf.DUMMYFUNCTION("""COMPUTED_VALUE"""),"-")</f>
        <v>-</v>
      </c>
      <c r="O588" t="str">
        <f>IFERROR(__xludf.DUMMYFUNCTION("""COMPUTED_VALUE"""),"#587")</f>
        <v>#587</v>
      </c>
      <c r="P588" t="str">
        <f>IFERROR(__xludf.DUMMYFUNCTION("""COMPUTED_VALUE"""),"Sandrine Floureusses")</f>
        <v>Sandrine Floureusses</v>
      </c>
      <c r="Q588">
        <f>IFERROR(__xludf.DUMMYFUNCTION("""COMPUTED_VALUE"""),428.0)</f>
        <v>428</v>
      </c>
      <c r="R588" t="str">
        <f>IFERROR(__xludf.DUMMYFUNCTION("""COMPUTED_VALUE"""),"-")</f>
        <v>-</v>
      </c>
      <c r="S588" t="str">
        <f>IFERROR(__xludf.DUMMYFUNCTION("""COMPUTED_VALUE"""),"-")</f>
        <v>-</v>
      </c>
      <c r="T588" t="str">
        <f>IFERROR(__xludf.DUMMYFUNCTION("""COMPUTED_VALUE"""),"-")</f>
        <v>-</v>
      </c>
      <c r="U588" t="str">
        <f>IFERROR(__xludf.DUMMYFUNCTION("""COMPUTED_VALUE"""),"-")</f>
        <v>-</v>
      </c>
      <c r="V588" t="str">
        <f>IFERROR(__xludf.DUMMYFUNCTION("""COMPUTED_VALUE"""),"-")</f>
        <v>-</v>
      </c>
      <c r="W588" t="str">
        <f>IFERROR(__xludf.DUMMYFUNCTION("""COMPUTED_VALUE"""),"-")</f>
        <v>-</v>
      </c>
      <c r="X588" t="str">
        <f>IFERROR(__xludf.DUMMYFUNCTION("""COMPUTED_VALUE"""),"-")</f>
        <v>-</v>
      </c>
      <c r="Y588" t="str">
        <f>IFERROR(__xludf.DUMMYFUNCTION("""COMPUTED_VALUE"""),"-")</f>
        <v>-</v>
      </c>
      <c r="Z588" t="str">
        <f>IFERROR(__xludf.DUMMYFUNCTION("""COMPUTED_VALUE"""),"-")</f>
        <v>-</v>
      </c>
      <c r="AA588" t="str">
        <f>IFERROR(__xludf.DUMMYFUNCTION("""COMPUTED_VALUE"""),"-")</f>
        <v>-</v>
      </c>
    </row>
    <row r="589">
      <c r="A589" t="str">
        <f>IFERROR(__xludf.DUMMYFUNCTION("""COMPUTED_VALUE"""),"#588")</f>
        <v>#588</v>
      </c>
      <c r="B589" t="str">
        <f>IFERROR(__xludf.DUMMYFUNCTION("""COMPUTED_VALUE"""),"Jean-Thomas Baudouin")</f>
        <v>Jean-Thomas Baudouin</v>
      </c>
      <c r="C589">
        <f>IFERROR(__xludf.DUMMYFUNCTION("""COMPUTED_VALUE"""),416.0)</f>
        <v>416</v>
      </c>
      <c r="D589" t="str">
        <f>IFERROR(__xludf.DUMMYFUNCTION("""COMPUTED_VALUE"""),"-")</f>
        <v>-</v>
      </c>
      <c r="E589" t="str">
        <f>IFERROR(__xludf.DUMMYFUNCTION("""COMPUTED_VALUE"""),"-")</f>
        <v>-</v>
      </c>
      <c r="F589" t="str">
        <f>IFERROR(__xludf.DUMMYFUNCTION("""COMPUTED_VALUE"""),"-")</f>
        <v>-</v>
      </c>
      <c r="G589" t="str">
        <f>IFERROR(__xludf.DUMMYFUNCTION("""COMPUTED_VALUE"""),"-")</f>
        <v>-</v>
      </c>
      <c r="H589" t="str">
        <f>IFERROR(__xludf.DUMMYFUNCTION("""COMPUTED_VALUE"""),"-")</f>
        <v>-</v>
      </c>
      <c r="I589" t="str">
        <f>IFERROR(__xludf.DUMMYFUNCTION("""COMPUTED_VALUE"""),"-")</f>
        <v>-</v>
      </c>
      <c r="J589" t="str">
        <f>IFERROR(__xludf.DUMMYFUNCTION("""COMPUTED_VALUE"""),"-")</f>
        <v>-</v>
      </c>
      <c r="K589" t="str">
        <f>IFERROR(__xludf.DUMMYFUNCTION("""COMPUTED_VALUE"""),"-")</f>
        <v>-</v>
      </c>
      <c r="L589" t="str">
        <f>IFERROR(__xludf.DUMMYFUNCTION("""COMPUTED_VALUE"""),"-")</f>
        <v>-</v>
      </c>
      <c r="M589" t="str">
        <f>IFERROR(__xludf.DUMMYFUNCTION("""COMPUTED_VALUE"""),"-")</f>
        <v>-</v>
      </c>
      <c r="O589" t="str">
        <f>IFERROR(__xludf.DUMMYFUNCTION("""COMPUTED_VALUE"""),"#588")</f>
        <v>#588</v>
      </c>
      <c r="P589" t="str">
        <f>IFERROR(__xludf.DUMMYFUNCTION("""COMPUTED_VALUE"""),"Jean-Thomas Baudouin")</f>
        <v>Jean-Thomas Baudouin</v>
      </c>
      <c r="Q589">
        <f>IFERROR(__xludf.DUMMYFUNCTION("""COMPUTED_VALUE"""),416.0)</f>
        <v>416</v>
      </c>
      <c r="R589" t="str">
        <f>IFERROR(__xludf.DUMMYFUNCTION("""COMPUTED_VALUE"""),"-")</f>
        <v>-</v>
      </c>
      <c r="S589" t="str">
        <f>IFERROR(__xludf.DUMMYFUNCTION("""COMPUTED_VALUE"""),"-")</f>
        <v>-</v>
      </c>
      <c r="T589" t="str">
        <f>IFERROR(__xludf.DUMMYFUNCTION("""COMPUTED_VALUE"""),"-")</f>
        <v>-</v>
      </c>
      <c r="U589" t="str">
        <f>IFERROR(__xludf.DUMMYFUNCTION("""COMPUTED_VALUE"""),"-")</f>
        <v>-</v>
      </c>
      <c r="V589" t="str">
        <f>IFERROR(__xludf.DUMMYFUNCTION("""COMPUTED_VALUE"""),"-")</f>
        <v>-</v>
      </c>
      <c r="W589" t="str">
        <f>IFERROR(__xludf.DUMMYFUNCTION("""COMPUTED_VALUE"""),"-")</f>
        <v>-</v>
      </c>
      <c r="X589" t="str">
        <f>IFERROR(__xludf.DUMMYFUNCTION("""COMPUTED_VALUE"""),"-")</f>
        <v>-</v>
      </c>
      <c r="Y589" t="str">
        <f>IFERROR(__xludf.DUMMYFUNCTION("""COMPUTED_VALUE"""),"-")</f>
        <v>-</v>
      </c>
      <c r="Z589" t="str">
        <f>IFERROR(__xludf.DUMMYFUNCTION("""COMPUTED_VALUE"""),"-")</f>
        <v>-</v>
      </c>
      <c r="AA589" t="str">
        <f>IFERROR(__xludf.DUMMYFUNCTION("""COMPUTED_VALUE"""),"-")</f>
        <v>-</v>
      </c>
    </row>
    <row r="590">
      <c r="A590" t="str">
        <f>IFERROR(__xludf.DUMMYFUNCTION("""COMPUTED_VALUE"""),"#589")</f>
        <v>#589</v>
      </c>
      <c r="B590" t="str">
        <f>IFERROR(__xludf.DUMMYFUNCTION("""COMPUTED_VALUE"""),"Vincent Ollion")</f>
        <v>Vincent Ollion</v>
      </c>
      <c r="C590">
        <f>IFERROR(__xludf.DUMMYFUNCTION("""COMPUTED_VALUE"""),385.0)</f>
        <v>385</v>
      </c>
      <c r="D590" t="str">
        <f>IFERROR(__xludf.DUMMYFUNCTION("""COMPUTED_VALUE"""),"-")</f>
        <v>-</v>
      </c>
      <c r="E590" t="str">
        <f>IFERROR(__xludf.DUMMYFUNCTION("""COMPUTED_VALUE"""),"-")</f>
        <v>-</v>
      </c>
      <c r="F590" t="str">
        <f>IFERROR(__xludf.DUMMYFUNCTION("""COMPUTED_VALUE"""),"-")</f>
        <v>-</v>
      </c>
      <c r="G590" t="str">
        <f>IFERROR(__xludf.DUMMYFUNCTION("""COMPUTED_VALUE"""),"-")</f>
        <v>-</v>
      </c>
      <c r="H590" t="str">
        <f>IFERROR(__xludf.DUMMYFUNCTION("""COMPUTED_VALUE"""),"-")</f>
        <v>-</v>
      </c>
      <c r="I590" t="str">
        <f>IFERROR(__xludf.DUMMYFUNCTION("""COMPUTED_VALUE"""),"-")</f>
        <v>-</v>
      </c>
      <c r="J590" t="str">
        <f>IFERROR(__xludf.DUMMYFUNCTION("""COMPUTED_VALUE"""),"-")</f>
        <v>-</v>
      </c>
      <c r="K590" t="str">
        <f>IFERROR(__xludf.DUMMYFUNCTION("""COMPUTED_VALUE"""),"-")</f>
        <v>-</v>
      </c>
      <c r="L590" t="str">
        <f>IFERROR(__xludf.DUMMYFUNCTION("""COMPUTED_VALUE"""),"-")</f>
        <v>-</v>
      </c>
      <c r="M590" t="str">
        <f>IFERROR(__xludf.DUMMYFUNCTION("""COMPUTED_VALUE"""),"-")</f>
        <v>-</v>
      </c>
      <c r="O590" t="str">
        <f>IFERROR(__xludf.DUMMYFUNCTION("""COMPUTED_VALUE"""),"#589")</f>
        <v>#589</v>
      </c>
      <c r="P590" t="str">
        <f>IFERROR(__xludf.DUMMYFUNCTION("""COMPUTED_VALUE"""),"Vincent Ollion")</f>
        <v>Vincent Ollion</v>
      </c>
      <c r="Q590">
        <f>IFERROR(__xludf.DUMMYFUNCTION("""COMPUTED_VALUE"""),385.0)</f>
        <v>385</v>
      </c>
      <c r="R590" t="str">
        <f>IFERROR(__xludf.DUMMYFUNCTION("""COMPUTED_VALUE"""),"-")</f>
        <v>-</v>
      </c>
      <c r="S590" t="str">
        <f>IFERROR(__xludf.DUMMYFUNCTION("""COMPUTED_VALUE"""),"-")</f>
        <v>-</v>
      </c>
      <c r="T590" t="str">
        <f>IFERROR(__xludf.DUMMYFUNCTION("""COMPUTED_VALUE"""),"-")</f>
        <v>-</v>
      </c>
      <c r="U590" t="str">
        <f>IFERROR(__xludf.DUMMYFUNCTION("""COMPUTED_VALUE"""),"-")</f>
        <v>-</v>
      </c>
      <c r="V590" t="str">
        <f>IFERROR(__xludf.DUMMYFUNCTION("""COMPUTED_VALUE"""),"-")</f>
        <v>-</v>
      </c>
      <c r="W590" t="str">
        <f>IFERROR(__xludf.DUMMYFUNCTION("""COMPUTED_VALUE"""),"-")</f>
        <v>-</v>
      </c>
      <c r="X590" t="str">
        <f>IFERROR(__xludf.DUMMYFUNCTION("""COMPUTED_VALUE"""),"-")</f>
        <v>-</v>
      </c>
      <c r="Y590" t="str">
        <f>IFERROR(__xludf.DUMMYFUNCTION("""COMPUTED_VALUE"""),"-")</f>
        <v>-</v>
      </c>
      <c r="Z590" t="str">
        <f>IFERROR(__xludf.DUMMYFUNCTION("""COMPUTED_VALUE"""),"-")</f>
        <v>-</v>
      </c>
      <c r="AA590" t="str">
        <f>IFERROR(__xludf.DUMMYFUNCTION("""COMPUTED_VALUE"""),"-")</f>
        <v>-</v>
      </c>
    </row>
    <row r="591">
      <c r="A591" t="str">
        <f>IFERROR(__xludf.DUMMYFUNCTION("""COMPUTED_VALUE"""),"#590")</f>
        <v>#590</v>
      </c>
      <c r="B591" t="str">
        <f>IFERROR(__xludf.DUMMYFUNCTION("""COMPUTED_VALUE"""),"Christophe Miqueu")</f>
        <v>Christophe Miqueu</v>
      </c>
      <c r="C591">
        <f>IFERROR(__xludf.DUMMYFUNCTION("""COMPUTED_VALUE"""),349.0)</f>
        <v>349</v>
      </c>
      <c r="D591" t="str">
        <f>IFERROR(__xludf.DUMMYFUNCTION("""COMPUTED_VALUE"""),"-")</f>
        <v>-</v>
      </c>
      <c r="E591" t="str">
        <f>IFERROR(__xludf.DUMMYFUNCTION("""COMPUTED_VALUE"""),"-")</f>
        <v>-</v>
      </c>
      <c r="F591" t="str">
        <f>IFERROR(__xludf.DUMMYFUNCTION("""COMPUTED_VALUE"""),"-")</f>
        <v>-</v>
      </c>
      <c r="G591" t="str">
        <f>IFERROR(__xludf.DUMMYFUNCTION("""COMPUTED_VALUE"""),"-")</f>
        <v>-</v>
      </c>
      <c r="H591" t="str">
        <f>IFERROR(__xludf.DUMMYFUNCTION("""COMPUTED_VALUE"""),"-")</f>
        <v>-</v>
      </c>
      <c r="I591" t="str">
        <f>IFERROR(__xludf.DUMMYFUNCTION("""COMPUTED_VALUE"""),"-")</f>
        <v>-</v>
      </c>
      <c r="J591" t="str">
        <f>IFERROR(__xludf.DUMMYFUNCTION("""COMPUTED_VALUE"""),"-")</f>
        <v>-</v>
      </c>
      <c r="K591" t="str">
        <f>IFERROR(__xludf.DUMMYFUNCTION("""COMPUTED_VALUE"""),"-")</f>
        <v>-</v>
      </c>
      <c r="L591" t="str">
        <f>IFERROR(__xludf.DUMMYFUNCTION("""COMPUTED_VALUE"""),"-")</f>
        <v>-</v>
      </c>
      <c r="M591" t="str">
        <f>IFERROR(__xludf.DUMMYFUNCTION("""COMPUTED_VALUE"""),"-")</f>
        <v>-</v>
      </c>
      <c r="O591" t="str">
        <f>IFERROR(__xludf.DUMMYFUNCTION("""COMPUTED_VALUE"""),"#590")</f>
        <v>#590</v>
      </c>
      <c r="P591" t="str">
        <f>IFERROR(__xludf.DUMMYFUNCTION("""COMPUTED_VALUE"""),"Christophe Miqueu")</f>
        <v>Christophe Miqueu</v>
      </c>
      <c r="Q591">
        <f>IFERROR(__xludf.DUMMYFUNCTION("""COMPUTED_VALUE"""),349.0)</f>
        <v>349</v>
      </c>
      <c r="R591" t="str">
        <f>IFERROR(__xludf.DUMMYFUNCTION("""COMPUTED_VALUE"""),"-")</f>
        <v>-</v>
      </c>
      <c r="S591" t="str">
        <f>IFERROR(__xludf.DUMMYFUNCTION("""COMPUTED_VALUE"""),"-")</f>
        <v>-</v>
      </c>
      <c r="T591" t="str">
        <f>IFERROR(__xludf.DUMMYFUNCTION("""COMPUTED_VALUE"""),"-")</f>
        <v>-</v>
      </c>
      <c r="U591" t="str">
        <f>IFERROR(__xludf.DUMMYFUNCTION("""COMPUTED_VALUE"""),"-")</f>
        <v>-</v>
      </c>
      <c r="V591" t="str">
        <f>IFERROR(__xludf.DUMMYFUNCTION("""COMPUTED_VALUE"""),"-")</f>
        <v>-</v>
      </c>
      <c r="W591" t="str">
        <f>IFERROR(__xludf.DUMMYFUNCTION("""COMPUTED_VALUE"""),"-")</f>
        <v>-</v>
      </c>
      <c r="X591" t="str">
        <f>IFERROR(__xludf.DUMMYFUNCTION("""COMPUTED_VALUE"""),"-")</f>
        <v>-</v>
      </c>
      <c r="Y591" t="str">
        <f>IFERROR(__xludf.DUMMYFUNCTION("""COMPUTED_VALUE"""),"-")</f>
        <v>-</v>
      </c>
      <c r="Z591" t="str">
        <f>IFERROR(__xludf.DUMMYFUNCTION("""COMPUTED_VALUE"""),"-")</f>
        <v>-</v>
      </c>
      <c r="AA591" t="str">
        <f>IFERROR(__xludf.DUMMYFUNCTION("""COMPUTED_VALUE"""),"-")</f>
        <v>-</v>
      </c>
    </row>
    <row r="592">
      <c r="A592" t="str">
        <f>IFERROR(__xludf.DUMMYFUNCTION("""COMPUTED_VALUE"""),"#591")</f>
        <v>#591</v>
      </c>
      <c r="B592" t="str">
        <f>IFERROR(__xludf.DUMMYFUNCTION("""COMPUTED_VALUE"""),"André Chapaveire")</f>
        <v>André Chapaveire</v>
      </c>
      <c r="C592">
        <f>IFERROR(__xludf.DUMMYFUNCTION("""COMPUTED_VALUE"""),299.0)</f>
        <v>299</v>
      </c>
      <c r="D592" t="str">
        <f>IFERROR(__xludf.DUMMYFUNCTION("""COMPUTED_VALUE"""),"-")</f>
        <v>-</v>
      </c>
      <c r="E592" t="str">
        <f>IFERROR(__xludf.DUMMYFUNCTION("""COMPUTED_VALUE"""),"-")</f>
        <v>-</v>
      </c>
      <c r="F592" t="str">
        <f>IFERROR(__xludf.DUMMYFUNCTION("""COMPUTED_VALUE"""),"-")</f>
        <v>-</v>
      </c>
      <c r="G592" t="str">
        <f>IFERROR(__xludf.DUMMYFUNCTION("""COMPUTED_VALUE"""),"-")</f>
        <v>-</v>
      </c>
      <c r="H592" t="str">
        <f>IFERROR(__xludf.DUMMYFUNCTION("""COMPUTED_VALUE"""),"-")</f>
        <v>-</v>
      </c>
      <c r="I592" t="str">
        <f>IFERROR(__xludf.DUMMYFUNCTION("""COMPUTED_VALUE"""),"-")</f>
        <v>-</v>
      </c>
      <c r="J592" t="str">
        <f>IFERROR(__xludf.DUMMYFUNCTION("""COMPUTED_VALUE"""),"-")</f>
        <v>-</v>
      </c>
      <c r="K592" t="str">
        <f>IFERROR(__xludf.DUMMYFUNCTION("""COMPUTED_VALUE"""),"-")</f>
        <v>-</v>
      </c>
      <c r="L592" t="str">
        <f>IFERROR(__xludf.DUMMYFUNCTION("""COMPUTED_VALUE"""),"-")</f>
        <v>-</v>
      </c>
      <c r="M592" t="str">
        <f>IFERROR(__xludf.DUMMYFUNCTION("""COMPUTED_VALUE"""),"-")</f>
        <v>-</v>
      </c>
      <c r="O592" t="str">
        <f>IFERROR(__xludf.DUMMYFUNCTION("""COMPUTED_VALUE"""),"#591")</f>
        <v>#591</v>
      </c>
      <c r="P592" t="str">
        <f>IFERROR(__xludf.DUMMYFUNCTION("""COMPUTED_VALUE"""),"André Chapaveire")</f>
        <v>André Chapaveire</v>
      </c>
      <c r="Q592">
        <f>IFERROR(__xludf.DUMMYFUNCTION("""COMPUTED_VALUE"""),299.0)</f>
        <v>299</v>
      </c>
      <c r="R592" t="str">
        <f>IFERROR(__xludf.DUMMYFUNCTION("""COMPUTED_VALUE"""),"-")</f>
        <v>-</v>
      </c>
      <c r="S592" t="str">
        <f>IFERROR(__xludf.DUMMYFUNCTION("""COMPUTED_VALUE"""),"-")</f>
        <v>-</v>
      </c>
      <c r="T592" t="str">
        <f>IFERROR(__xludf.DUMMYFUNCTION("""COMPUTED_VALUE"""),"-")</f>
        <v>-</v>
      </c>
      <c r="U592" t="str">
        <f>IFERROR(__xludf.DUMMYFUNCTION("""COMPUTED_VALUE"""),"-")</f>
        <v>-</v>
      </c>
      <c r="V592" t="str">
        <f>IFERROR(__xludf.DUMMYFUNCTION("""COMPUTED_VALUE"""),"-")</f>
        <v>-</v>
      </c>
      <c r="W592" t="str">
        <f>IFERROR(__xludf.DUMMYFUNCTION("""COMPUTED_VALUE"""),"-")</f>
        <v>-</v>
      </c>
      <c r="X592" t="str">
        <f>IFERROR(__xludf.DUMMYFUNCTION("""COMPUTED_VALUE"""),"-")</f>
        <v>-</v>
      </c>
      <c r="Y592" t="str">
        <f>IFERROR(__xludf.DUMMYFUNCTION("""COMPUTED_VALUE"""),"-")</f>
        <v>-</v>
      </c>
      <c r="Z592" t="str">
        <f>IFERROR(__xludf.DUMMYFUNCTION("""COMPUTED_VALUE"""),"-")</f>
        <v>-</v>
      </c>
      <c r="AA592" t="str">
        <f>IFERROR(__xludf.DUMMYFUNCTION("""COMPUTED_VALUE"""),"-")</f>
        <v>-</v>
      </c>
    </row>
    <row r="593">
      <c r="A593" t="str">
        <f>IFERROR(__xludf.DUMMYFUNCTION("""COMPUTED_VALUE"""),"#592")</f>
        <v>#592</v>
      </c>
      <c r="B593" t="str">
        <f>IFERROR(__xludf.DUMMYFUNCTION("""COMPUTED_VALUE"""),"Jean-Louis Fousseret")</f>
        <v>Jean-Louis Fousseret</v>
      </c>
      <c r="C593">
        <f>IFERROR(__xludf.DUMMYFUNCTION("""COMPUTED_VALUE"""),289.0)</f>
        <v>289</v>
      </c>
      <c r="D593" t="str">
        <f>IFERROR(__xludf.DUMMYFUNCTION("""COMPUTED_VALUE"""),"-")</f>
        <v>-</v>
      </c>
      <c r="E593" t="str">
        <f>IFERROR(__xludf.DUMMYFUNCTION("""COMPUTED_VALUE"""),"-")</f>
        <v>-</v>
      </c>
      <c r="F593" t="str">
        <f>IFERROR(__xludf.DUMMYFUNCTION("""COMPUTED_VALUE"""),"-")</f>
        <v>-</v>
      </c>
      <c r="G593" t="str">
        <f>IFERROR(__xludf.DUMMYFUNCTION("""COMPUTED_VALUE"""),"-")</f>
        <v>-</v>
      </c>
      <c r="H593" t="str">
        <f>IFERROR(__xludf.DUMMYFUNCTION("""COMPUTED_VALUE"""),"-")</f>
        <v>-</v>
      </c>
      <c r="I593" t="str">
        <f>IFERROR(__xludf.DUMMYFUNCTION("""COMPUTED_VALUE"""),"-")</f>
        <v>-</v>
      </c>
      <c r="J593" t="str">
        <f>IFERROR(__xludf.DUMMYFUNCTION("""COMPUTED_VALUE"""),"-")</f>
        <v>-</v>
      </c>
      <c r="K593" t="str">
        <f>IFERROR(__xludf.DUMMYFUNCTION("""COMPUTED_VALUE"""),"-")</f>
        <v>-</v>
      </c>
      <c r="L593" t="str">
        <f>IFERROR(__xludf.DUMMYFUNCTION("""COMPUTED_VALUE"""),"-")</f>
        <v>-</v>
      </c>
      <c r="M593" t="str">
        <f>IFERROR(__xludf.DUMMYFUNCTION("""COMPUTED_VALUE"""),"-")</f>
        <v>-</v>
      </c>
      <c r="O593" t="str">
        <f>IFERROR(__xludf.DUMMYFUNCTION("""COMPUTED_VALUE"""),"#592")</f>
        <v>#592</v>
      </c>
      <c r="P593" t="str">
        <f>IFERROR(__xludf.DUMMYFUNCTION("""COMPUTED_VALUE"""),"Jean-Louis Fousseret")</f>
        <v>Jean-Louis Fousseret</v>
      </c>
      <c r="Q593">
        <f>IFERROR(__xludf.DUMMYFUNCTION("""COMPUTED_VALUE"""),289.0)</f>
        <v>289</v>
      </c>
      <c r="R593" t="str">
        <f>IFERROR(__xludf.DUMMYFUNCTION("""COMPUTED_VALUE"""),"-")</f>
        <v>-</v>
      </c>
      <c r="S593" t="str">
        <f>IFERROR(__xludf.DUMMYFUNCTION("""COMPUTED_VALUE"""),"-")</f>
        <v>-</v>
      </c>
      <c r="T593" t="str">
        <f>IFERROR(__xludf.DUMMYFUNCTION("""COMPUTED_VALUE"""),"-")</f>
        <v>-</v>
      </c>
      <c r="U593" t="str">
        <f>IFERROR(__xludf.DUMMYFUNCTION("""COMPUTED_VALUE"""),"-")</f>
        <v>-</v>
      </c>
      <c r="V593" t="str">
        <f>IFERROR(__xludf.DUMMYFUNCTION("""COMPUTED_VALUE"""),"-")</f>
        <v>-</v>
      </c>
      <c r="W593" t="str">
        <f>IFERROR(__xludf.DUMMYFUNCTION("""COMPUTED_VALUE"""),"-")</f>
        <v>-</v>
      </c>
      <c r="X593" t="str">
        <f>IFERROR(__xludf.DUMMYFUNCTION("""COMPUTED_VALUE"""),"-")</f>
        <v>-</v>
      </c>
      <c r="Y593" t="str">
        <f>IFERROR(__xludf.DUMMYFUNCTION("""COMPUTED_VALUE"""),"-")</f>
        <v>-</v>
      </c>
      <c r="Z593" t="str">
        <f>IFERROR(__xludf.DUMMYFUNCTION("""COMPUTED_VALUE"""),"-")</f>
        <v>-</v>
      </c>
      <c r="AA593" t="str">
        <f>IFERROR(__xludf.DUMMYFUNCTION("""COMPUTED_VALUE"""),"-")</f>
        <v>-</v>
      </c>
    </row>
    <row r="594">
      <c r="A594" t="str">
        <f>IFERROR(__xludf.DUMMYFUNCTION("""COMPUTED_VALUE"""),"#593")</f>
        <v>#593</v>
      </c>
      <c r="B594" t="str">
        <f>IFERROR(__xludf.DUMMYFUNCTION("""COMPUTED_VALUE"""),"Maryline Silvestre")</f>
        <v>Maryline Silvestre</v>
      </c>
      <c r="C594">
        <f>IFERROR(__xludf.DUMMYFUNCTION("""COMPUTED_VALUE"""),285.0)</f>
        <v>285</v>
      </c>
      <c r="D594" t="str">
        <f>IFERROR(__xludf.DUMMYFUNCTION("""COMPUTED_VALUE"""),"-")</f>
        <v>-</v>
      </c>
      <c r="E594" t="str">
        <f>IFERROR(__xludf.DUMMYFUNCTION("""COMPUTED_VALUE"""),"-")</f>
        <v>-</v>
      </c>
      <c r="F594" t="str">
        <f>IFERROR(__xludf.DUMMYFUNCTION("""COMPUTED_VALUE"""),"-")</f>
        <v>-</v>
      </c>
      <c r="G594" t="str">
        <f>IFERROR(__xludf.DUMMYFUNCTION("""COMPUTED_VALUE"""),"-")</f>
        <v>-</v>
      </c>
      <c r="H594" t="str">
        <f>IFERROR(__xludf.DUMMYFUNCTION("""COMPUTED_VALUE"""),"-")</f>
        <v>-</v>
      </c>
      <c r="I594" t="str">
        <f>IFERROR(__xludf.DUMMYFUNCTION("""COMPUTED_VALUE"""),"-")</f>
        <v>-</v>
      </c>
      <c r="J594" t="str">
        <f>IFERROR(__xludf.DUMMYFUNCTION("""COMPUTED_VALUE"""),"-")</f>
        <v>-</v>
      </c>
      <c r="K594" t="str">
        <f>IFERROR(__xludf.DUMMYFUNCTION("""COMPUTED_VALUE"""),"-")</f>
        <v>-</v>
      </c>
      <c r="L594" t="str">
        <f>IFERROR(__xludf.DUMMYFUNCTION("""COMPUTED_VALUE"""),"-")</f>
        <v>-</v>
      </c>
      <c r="M594" t="str">
        <f>IFERROR(__xludf.DUMMYFUNCTION("""COMPUTED_VALUE"""),"-")</f>
        <v>-</v>
      </c>
      <c r="O594" t="str">
        <f>IFERROR(__xludf.DUMMYFUNCTION("""COMPUTED_VALUE"""),"#593")</f>
        <v>#593</v>
      </c>
      <c r="P594" t="str">
        <f>IFERROR(__xludf.DUMMYFUNCTION("""COMPUTED_VALUE"""),"Maryline Silvestre")</f>
        <v>Maryline Silvestre</v>
      </c>
      <c r="Q594">
        <f>IFERROR(__xludf.DUMMYFUNCTION("""COMPUTED_VALUE"""),285.0)</f>
        <v>285</v>
      </c>
      <c r="R594" t="str">
        <f>IFERROR(__xludf.DUMMYFUNCTION("""COMPUTED_VALUE"""),"-")</f>
        <v>-</v>
      </c>
      <c r="S594" t="str">
        <f>IFERROR(__xludf.DUMMYFUNCTION("""COMPUTED_VALUE"""),"-")</f>
        <v>-</v>
      </c>
      <c r="T594" t="str">
        <f>IFERROR(__xludf.DUMMYFUNCTION("""COMPUTED_VALUE"""),"-")</f>
        <v>-</v>
      </c>
      <c r="U594" t="str">
        <f>IFERROR(__xludf.DUMMYFUNCTION("""COMPUTED_VALUE"""),"-")</f>
        <v>-</v>
      </c>
      <c r="V594" t="str">
        <f>IFERROR(__xludf.DUMMYFUNCTION("""COMPUTED_VALUE"""),"-")</f>
        <v>-</v>
      </c>
      <c r="W594" t="str">
        <f>IFERROR(__xludf.DUMMYFUNCTION("""COMPUTED_VALUE"""),"-")</f>
        <v>-</v>
      </c>
      <c r="X594" t="str">
        <f>IFERROR(__xludf.DUMMYFUNCTION("""COMPUTED_VALUE"""),"-")</f>
        <v>-</v>
      </c>
      <c r="Y594" t="str">
        <f>IFERROR(__xludf.DUMMYFUNCTION("""COMPUTED_VALUE"""),"-")</f>
        <v>-</v>
      </c>
      <c r="Z594" t="str">
        <f>IFERROR(__xludf.DUMMYFUNCTION("""COMPUTED_VALUE"""),"-")</f>
        <v>-</v>
      </c>
      <c r="AA594" t="str">
        <f>IFERROR(__xludf.DUMMYFUNCTION("""COMPUTED_VALUE"""),"-")</f>
        <v>-</v>
      </c>
    </row>
    <row r="595">
      <c r="A595" t="str">
        <f>IFERROR(__xludf.DUMMYFUNCTION("""COMPUTED_VALUE"""),"#594")</f>
        <v>#594</v>
      </c>
      <c r="B595" t="str">
        <f>IFERROR(__xludf.DUMMYFUNCTION("""COMPUTED_VALUE"""),"Patrick Maurin")</f>
        <v>Patrick Maurin</v>
      </c>
      <c r="C595">
        <f>IFERROR(__xludf.DUMMYFUNCTION("""COMPUTED_VALUE"""),262.0)</f>
        <v>262</v>
      </c>
      <c r="D595" t="str">
        <f>IFERROR(__xludf.DUMMYFUNCTION("""COMPUTED_VALUE"""),"-")</f>
        <v>-</v>
      </c>
      <c r="E595" t="str">
        <f>IFERROR(__xludf.DUMMYFUNCTION("""COMPUTED_VALUE"""),"-")</f>
        <v>-</v>
      </c>
      <c r="F595" t="str">
        <f>IFERROR(__xludf.DUMMYFUNCTION("""COMPUTED_VALUE"""),"-")</f>
        <v>-</v>
      </c>
      <c r="G595" t="str">
        <f>IFERROR(__xludf.DUMMYFUNCTION("""COMPUTED_VALUE"""),"-")</f>
        <v>-</v>
      </c>
      <c r="H595" t="str">
        <f>IFERROR(__xludf.DUMMYFUNCTION("""COMPUTED_VALUE"""),"-")</f>
        <v>-</v>
      </c>
      <c r="I595" t="str">
        <f>IFERROR(__xludf.DUMMYFUNCTION("""COMPUTED_VALUE"""),"-")</f>
        <v>-</v>
      </c>
      <c r="J595" t="str">
        <f>IFERROR(__xludf.DUMMYFUNCTION("""COMPUTED_VALUE"""),"-")</f>
        <v>-</v>
      </c>
      <c r="K595" t="str">
        <f>IFERROR(__xludf.DUMMYFUNCTION("""COMPUTED_VALUE"""),"-")</f>
        <v>-</v>
      </c>
      <c r="L595" t="str">
        <f>IFERROR(__xludf.DUMMYFUNCTION("""COMPUTED_VALUE"""),"-")</f>
        <v>-</v>
      </c>
      <c r="M595" t="str">
        <f>IFERROR(__xludf.DUMMYFUNCTION("""COMPUTED_VALUE"""),"-")</f>
        <v>-</v>
      </c>
      <c r="O595" t="str">
        <f>IFERROR(__xludf.DUMMYFUNCTION("""COMPUTED_VALUE"""),"#594")</f>
        <v>#594</v>
      </c>
      <c r="P595" t="str">
        <f>IFERROR(__xludf.DUMMYFUNCTION("""COMPUTED_VALUE"""),"Patrick Maurin")</f>
        <v>Patrick Maurin</v>
      </c>
      <c r="Q595">
        <f>IFERROR(__xludf.DUMMYFUNCTION("""COMPUTED_VALUE"""),262.0)</f>
        <v>262</v>
      </c>
      <c r="R595" t="str">
        <f>IFERROR(__xludf.DUMMYFUNCTION("""COMPUTED_VALUE"""),"-")</f>
        <v>-</v>
      </c>
      <c r="S595" t="str">
        <f>IFERROR(__xludf.DUMMYFUNCTION("""COMPUTED_VALUE"""),"-")</f>
        <v>-</v>
      </c>
      <c r="T595" t="str">
        <f>IFERROR(__xludf.DUMMYFUNCTION("""COMPUTED_VALUE"""),"-")</f>
        <v>-</v>
      </c>
      <c r="U595" t="str">
        <f>IFERROR(__xludf.DUMMYFUNCTION("""COMPUTED_VALUE"""),"-")</f>
        <v>-</v>
      </c>
      <c r="V595" t="str">
        <f>IFERROR(__xludf.DUMMYFUNCTION("""COMPUTED_VALUE"""),"-")</f>
        <v>-</v>
      </c>
      <c r="W595" t="str">
        <f>IFERROR(__xludf.DUMMYFUNCTION("""COMPUTED_VALUE"""),"-")</f>
        <v>-</v>
      </c>
      <c r="X595" t="str">
        <f>IFERROR(__xludf.DUMMYFUNCTION("""COMPUTED_VALUE"""),"-")</f>
        <v>-</v>
      </c>
      <c r="Y595" t="str">
        <f>IFERROR(__xludf.DUMMYFUNCTION("""COMPUTED_VALUE"""),"-")</f>
        <v>-</v>
      </c>
      <c r="Z595" t="str">
        <f>IFERROR(__xludf.DUMMYFUNCTION("""COMPUTED_VALUE"""),"-")</f>
        <v>-</v>
      </c>
      <c r="AA595" t="str">
        <f>IFERROR(__xludf.DUMMYFUNCTION("""COMPUTED_VALUE"""),"-")</f>
        <v>-</v>
      </c>
    </row>
    <row r="596">
      <c r="A596" t="str">
        <f>IFERROR(__xludf.DUMMYFUNCTION("""COMPUTED_VALUE"""),"#595")</f>
        <v>#595</v>
      </c>
      <c r="B596" t="str">
        <f>IFERROR(__xludf.DUMMYFUNCTION("""COMPUTED_VALUE"""),"Stéphane Sieczkowski-Samier")</f>
        <v>Stéphane Sieczkowski-Samier</v>
      </c>
      <c r="C596">
        <f>IFERROR(__xludf.DUMMYFUNCTION("""COMPUTED_VALUE"""),252.0)</f>
        <v>252</v>
      </c>
      <c r="D596" t="str">
        <f>IFERROR(__xludf.DUMMYFUNCTION("""COMPUTED_VALUE"""),"-")</f>
        <v>-</v>
      </c>
      <c r="E596" t="str">
        <f>IFERROR(__xludf.DUMMYFUNCTION("""COMPUTED_VALUE"""),"-")</f>
        <v>-</v>
      </c>
      <c r="F596" t="str">
        <f>IFERROR(__xludf.DUMMYFUNCTION("""COMPUTED_VALUE"""),"-")</f>
        <v>-</v>
      </c>
      <c r="G596" t="str">
        <f>IFERROR(__xludf.DUMMYFUNCTION("""COMPUTED_VALUE"""),"-")</f>
        <v>-</v>
      </c>
      <c r="H596" t="str">
        <f>IFERROR(__xludf.DUMMYFUNCTION("""COMPUTED_VALUE"""),"-")</f>
        <v>-</v>
      </c>
      <c r="I596" t="str">
        <f>IFERROR(__xludf.DUMMYFUNCTION("""COMPUTED_VALUE"""),"-")</f>
        <v>-</v>
      </c>
      <c r="J596" t="str">
        <f>IFERROR(__xludf.DUMMYFUNCTION("""COMPUTED_VALUE"""),"-")</f>
        <v>-</v>
      </c>
      <c r="K596" t="str">
        <f>IFERROR(__xludf.DUMMYFUNCTION("""COMPUTED_VALUE"""),"-")</f>
        <v>-</v>
      </c>
      <c r="L596" t="str">
        <f>IFERROR(__xludf.DUMMYFUNCTION("""COMPUTED_VALUE"""),"-")</f>
        <v>-</v>
      </c>
      <c r="M596" t="str">
        <f>IFERROR(__xludf.DUMMYFUNCTION("""COMPUTED_VALUE"""),"-")</f>
        <v>-</v>
      </c>
      <c r="O596" t="str">
        <f>IFERROR(__xludf.DUMMYFUNCTION("""COMPUTED_VALUE"""),"#595")</f>
        <v>#595</v>
      </c>
      <c r="P596" t="str">
        <f>IFERROR(__xludf.DUMMYFUNCTION("""COMPUTED_VALUE"""),"Stéphane Sieczkowski-Samier")</f>
        <v>Stéphane Sieczkowski-Samier</v>
      </c>
      <c r="Q596">
        <f>IFERROR(__xludf.DUMMYFUNCTION("""COMPUTED_VALUE"""),252.0)</f>
        <v>252</v>
      </c>
      <c r="R596" t="str">
        <f>IFERROR(__xludf.DUMMYFUNCTION("""COMPUTED_VALUE"""),"-")</f>
        <v>-</v>
      </c>
      <c r="S596" t="str">
        <f>IFERROR(__xludf.DUMMYFUNCTION("""COMPUTED_VALUE"""),"-")</f>
        <v>-</v>
      </c>
      <c r="T596" t="str">
        <f>IFERROR(__xludf.DUMMYFUNCTION("""COMPUTED_VALUE"""),"-")</f>
        <v>-</v>
      </c>
      <c r="U596" t="str">
        <f>IFERROR(__xludf.DUMMYFUNCTION("""COMPUTED_VALUE"""),"-")</f>
        <v>-</v>
      </c>
      <c r="V596" t="str">
        <f>IFERROR(__xludf.DUMMYFUNCTION("""COMPUTED_VALUE"""),"-")</f>
        <v>-</v>
      </c>
      <c r="W596" t="str">
        <f>IFERROR(__xludf.DUMMYFUNCTION("""COMPUTED_VALUE"""),"-")</f>
        <v>-</v>
      </c>
      <c r="X596" t="str">
        <f>IFERROR(__xludf.DUMMYFUNCTION("""COMPUTED_VALUE"""),"-")</f>
        <v>-</v>
      </c>
      <c r="Y596" t="str">
        <f>IFERROR(__xludf.DUMMYFUNCTION("""COMPUTED_VALUE"""),"-")</f>
        <v>-</v>
      </c>
      <c r="Z596" t="str">
        <f>IFERROR(__xludf.DUMMYFUNCTION("""COMPUTED_VALUE"""),"-")</f>
        <v>-</v>
      </c>
      <c r="AA596" t="str">
        <f>IFERROR(__xludf.DUMMYFUNCTION("""COMPUTED_VALUE"""),"-")</f>
        <v>-</v>
      </c>
    </row>
    <row r="597">
      <c r="A597" t="str">
        <f>IFERROR(__xludf.DUMMYFUNCTION("""COMPUTED_VALUE"""),"#596")</f>
        <v>#596</v>
      </c>
      <c r="B597" t="str">
        <f>IFERROR(__xludf.DUMMYFUNCTION("""COMPUTED_VALUE"""),"David Richer")</f>
        <v>David Richer</v>
      </c>
      <c r="C597">
        <f>IFERROR(__xludf.DUMMYFUNCTION("""COMPUTED_VALUE"""),230.0)</f>
        <v>230</v>
      </c>
      <c r="D597" t="str">
        <f>IFERROR(__xludf.DUMMYFUNCTION("""COMPUTED_VALUE"""),"-")</f>
        <v>-</v>
      </c>
      <c r="E597" t="str">
        <f>IFERROR(__xludf.DUMMYFUNCTION("""COMPUTED_VALUE"""),"-")</f>
        <v>-</v>
      </c>
      <c r="F597" t="str">
        <f>IFERROR(__xludf.DUMMYFUNCTION("""COMPUTED_VALUE"""),"-")</f>
        <v>-</v>
      </c>
      <c r="G597" t="str">
        <f>IFERROR(__xludf.DUMMYFUNCTION("""COMPUTED_VALUE"""),"-")</f>
        <v>-</v>
      </c>
      <c r="H597" t="str">
        <f>IFERROR(__xludf.DUMMYFUNCTION("""COMPUTED_VALUE"""),"-")</f>
        <v>-</v>
      </c>
      <c r="I597" t="str">
        <f>IFERROR(__xludf.DUMMYFUNCTION("""COMPUTED_VALUE"""),"-")</f>
        <v>-</v>
      </c>
      <c r="J597" t="str">
        <f>IFERROR(__xludf.DUMMYFUNCTION("""COMPUTED_VALUE"""),"-")</f>
        <v>-</v>
      </c>
      <c r="K597" t="str">
        <f>IFERROR(__xludf.DUMMYFUNCTION("""COMPUTED_VALUE"""),"-")</f>
        <v>-</v>
      </c>
      <c r="L597" t="str">
        <f>IFERROR(__xludf.DUMMYFUNCTION("""COMPUTED_VALUE"""),"-")</f>
        <v>-</v>
      </c>
      <c r="M597" t="str">
        <f>IFERROR(__xludf.DUMMYFUNCTION("""COMPUTED_VALUE"""),"-")</f>
        <v>-</v>
      </c>
      <c r="O597" t="str">
        <f>IFERROR(__xludf.DUMMYFUNCTION("""COMPUTED_VALUE"""),"#596")</f>
        <v>#596</v>
      </c>
      <c r="P597" t="str">
        <f>IFERROR(__xludf.DUMMYFUNCTION("""COMPUTED_VALUE"""),"David Richer")</f>
        <v>David Richer</v>
      </c>
      <c r="Q597">
        <f>IFERROR(__xludf.DUMMYFUNCTION("""COMPUTED_VALUE"""),230.0)</f>
        <v>230</v>
      </c>
      <c r="R597" t="str">
        <f>IFERROR(__xludf.DUMMYFUNCTION("""COMPUTED_VALUE"""),"-")</f>
        <v>-</v>
      </c>
      <c r="S597" t="str">
        <f>IFERROR(__xludf.DUMMYFUNCTION("""COMPUTED_VALUE"""),"-")</f>
        <v>-</v>
      </c>
      <c r="T597" t="str">
        <f>IFERROR(__xludf.DUMMYFUNCTION("""COMPUTED_VALUE"""),"-")</f>
        <v>-</v>
      </c>
      <c r="U597" t="str">
        <f>IFERROR(__xludf.DUMMYFUNCTION("""COMPUTED_VALUE"""),"-")</f>
        <v>-</v>
      </c>
      <c r="V597" t="str">
        <f>IFERROR(__xludf.DUMMYFUNCTION("""COMPUTED_VALUE"""),"-")</f>
        <v>-</v>
      </c>
      <c r="W597" t="str">
        <f>IFERROR(__xludf.DUMMYFUNCTION("""COMPUTED_VALUE"""),"-")</f>
        <v>-</v>
      </c>
      <c r="X597" t="str">
        <f>IFERROR(__xludf.DUMMYFUNCTION("""COMPUTED_VALUE"""),"-")</f>
        <v>-</v>
      </c>
      <c r="Y597" t="str">
        <f>IFERROR(__xludf.DUMMYFUNCTION("""COMPUTED_VALUE"""),"-")</f>
        <v>-</v>
      </c>
      <c r="Z597" t="str">
        <f>IFERROR(__xludf.DUMMYFUNCTION("""COMPUTED_VALUE"""),"-")</f>
        <v>-</v>
      </c>
      <c r="AA597" t="str">
        <f>IFERROR(__xludf.DUMMYFUNCTION("""COMPUTED_VALUE"""),"-")</f>
        <v>-</v>
      </c>
    </row>
    <row r="598">
      <c r="A598" t="str">
        <f>IFERROR(__xludf.DUMMYFUNCTION("""COMPUTED_VALUE"""),"#597")</f>
        <v>#597</v>
      </c>
      <c r="B598" t="str">
        <f>IFERROR(__xludf.DUMMYFUNCTION("""COMPUTED_VALUE"""),"Yvon Setze")</f>
        <v>Yvon Setze</v>
      </c>
      <c r="C598">
        <f>IFERROR(__xludf.DUMMYFUNCTION("""COMPUTED_VALUE"""),217.0)</f>
        <v>217</v>
      </c>
      <c r="D598" t="str">
        <f>IFERROR(__xludf.DUMMYFUNCTION("""COMPUTED_VALUE"""),"-")</f>
        <v>-</v>
      </c>
      <c r="E598" t="str">
        <f>IFERROR(__xludf.DUMMYFUNCTION("""COMPUTED_VALUE"""),"-")</f>
        <v>-</v>
      </c>
      <c r="F598" t="str">
        <f>IFERROR(__xludf.DUMMYFUNCTION("""COMPUTED_VALUE"""),"-")</f>
        <v>-</v>
      </c>
      <c r="G598" t="str">
        <f>IFERROR(__xludf.DUMMYFUNCTION("""COMPUTED_VALUE"""),"-")</f>
        <v>-</v>
      </c>
      <c r="H598" t="str">
        <f>IFERROR(__xludf.DUMMYFUNCTION("""COMPUTED_VALUE"""),"-")</f>
        <v>-</v>
      </c>
      <c r="I598" t="str">
        <f>IFERROR(__xludf.DUMMYFUNCTION("""COMPUTED_VALUE"""),"-")</f>
        <v>-</v>
      </c>
      <c r="J598" t="str">
        <f>IFERROR(__xludf.DUMMYFUNCTION("""COMPUTED_VALUE"""),"-")</f>
        <v>-</v>
      </c>
      <c r="K598" t="str">
        <f>IFERROR(__xludf.DUMMYFUNCTION("""COMPUTED_VALUE"""),"-")</f>
        <v>-</v>
      </c>
      <c r="L598" t="str">
        <f>IFERROR(__xludf.DUMMYFUNCTION("""COMPUTED_VALUE"""),"-")</f>
        <v>-</v>
      </c>
      <c r="M598" t="str">
        <f>IFERROR(__xludf.DUMMYFUNCTION("""COMPUTED_VALUE"""),"-")</f>
        <v>-</v>
      </c>
      <c r="O598" t="str">
        <f>IFERROR(__xludf.DUMMYFUNCTION("""COMPUTED_VALUE"""),"#597")</f>
        <v>#597</v>
      </c>
      <c r="P598" t="str">
        <f>IFERROR(__xludf.DUMMYFUNCTION("""COMPUTED_VALUE"""),"Yvon Setze")</f>
        <v>Yvon Setze</v>
      </c>
      <c r="Q598">
        <f>IFERROR(__xludf.DUMMYFUNCTION("""COMPUTED_VALUE"""),217.0)</f>
        <v>217</v>
      </c>
      <c r="R598" t="str">
        <f>IFERROR(__xludf.DUMMYFUNCTION("""COMPUTED_VALUE"""),"-")</f>
        <v>-</v>
      </c>
      <c r="S598" t="str">
        <f>IFERROR(__xludf.DUMMYFUNCTION("""COMPUTED_VALUE"""),"-")</f>
        <v>-</v>
      </c>
      <c r="T598" t="str">
        <f>IFERROR(__xludf.DUMMYFUNCTION("""COMPUTED_VALUE"""),"-")</f>
        <v>-</v>
      </c>
      <c r="U598" t="str">
        <f>IFERROR(__xludf.DUMMYFUNCTION("""COMPUTED_VALUE"""),"-")</f>
        <v>-</v>
      </c>
      <c r="V598" t="str">
        <f>IFERROR(__xludf.DUMMYFUNCTION("""COMPUTED_VALUE"""),"-")</f>
        <v>-</v>
      </c>
      <c r="W598" t="str">
        <f>IFERROR(__xludf.DUMMYFUNCTION("""COMPUTED_VALUE"""),"-")</f>
        <v>-</v>
      </c>
      <c r="X598" t="str">
        <f>IFERROR(__xludf.DUMMYFUNCTION("""COMPUTED_VALUE"""),"-")</f>
        <v>-</v>
      </c>
      <c r="Y598" t="str">
        <f>IFERROR(__xludf.DUMMYFUNCTION("""COMPUTED_VALUE"""),"-")</f>
        <v>-</v>
      </c>
      <c r="Z598" t="str">
        <f>IFERROR(__xludf.DUMMYFUNCTION("""COMPUTED_VALUE"""),"-")</f>
        <v>-</v>
      </c>
      <c r="AA598" t="str">
        <f>IFERROR(__xludf.DUMMYFUNCTION("""COMPUTED_VALUE"""),"-")</f>
        <v>-</v>
      </c>
    </row>
    <row r="599">
      <c r="A599" t="str">
        <f>IFERROR(__xludf.DUMMYFUNCTION("""COMPUTED_VALUE"""),"#598")</f>
        <v>#598</v>
      </c>
      <c r="B599" t="str">
        <f>IFERROR(__xludf.DUMMYFUNCTION("""COMPUTED_VALUE"""),"François Bouvard")</f>
        <v>François Bouvard</v>
      </c>
      <c r="C599">
        <f>IFERROR(__xludf.DUMMYFUNCTION("""COMPUTED_VALUE"""),214.0)</f>
        <v>214</v>
      </c>
      <c r="D599" t="str">
        <f>IFERROR(__xludf.DUMMYFUNCTION("""COMPUTED_VALUE"""),"-")</f>
        <v>-</v>
      </c>
      <c r="E599" t="str">
        <f>IFERROR(__xludf.DUMMYFUNCTION("""COMPUTED_VALUE"""),"-")</f>
        <v>-</v>
      </c>
      <c r="F599" t="str">
        <f>IFERROR(__xludf.DUMMYFUNCTION("""COMPUTED_VALUE"""),"-")</f>
        <v>-</v>
      </c>
      <c r="G599" t="str">
        <f>IFERROR(__xludf.DUMMYFUNCTION("""COMPUTED_VALUE"""),"-")</f>
        <v>-</v>
      </c>
      <c r="H599" t="str">
        <f>IFERROR(__xludf.DUMMYFUNCTION("""COMPUTED_VALUE"""),"-")</f>
        <v>-</v>
      </c>
      <c r="I599" t="str">
        <f>IFERROR(__xludf.DUMMYFUNCTION("""COMPUTED_VALUE"""),"-")</f>
        <v>-</v>
      </c>
      <c r="J599" t="str">
        <f>IFERROR(__xludf.DUMMYFUNCTION("""COMPUTED_VALUE"""),"-")</f>
        <v>-</v>
      </c>
      <c r="K599" t="str">
        <f>IFERROR(__xludf.DUMMYFUNCTION("""COMPUTED_VALUE"""),"-")</f>
        <v>-</v>
      </c>
      <c r="L599" t="str">
        <f>IFERROR(__xludf.DUMMYFUNCTION("""COMPUTED_VALUE"""),"-")</f>
        <v>-</v>
      </c>
      <c r="M599" t="str">
        <f>IFERROR(__xludf.DUMMYFUNCTION("""COMPUTED_VALUE"""),"-")</f>
        <v>-</v>
      </c>
      <c r="O599" t="str">
        <f>IFERROR(__xludf.DUMMYFUNCTION("""COMPUTED_VALUE"""),"#598")</f>
        <v>#598</v>
      </c>
      <c r="P599" t="str">
        <f>IFERROR(__xludf.DUMMYFUNCTION("""COMPUTED_VALUE"""),"François Bouvard")</f>
        <v>François Bouvard</v>
      </c>
      <c r="Q599">
        <f>IFERROR(__xludf.DUMMYFUNCTION("""COMPUTED_VALUE"""),214.0)</f>
        <v>214</v>
      </c>
      <c r="R599" t="str">
        <f>IFERROR(__xludf.DUMMYFUNCTION("""COMPUTED_VALUE"""),"-")</f>
        <v>-</v>
      </c>
      <c r="S599" t="str">
        <f>IFERROR(__xludf.DUMMYFUNCTION("""COMPUTED_VALUE"""),"-")</f>
        <v>-</v>
      </c>
      <c r="T599" t="str">
        <f>IFERROR(__xludf.DUMMYFUNCTION("""COMPUTED_VALUE"""),"-")</f>
        <v>-</v>
      </c>
      <c r="U599" t="str">
        <f>IFERROR(__xludf.DUMMYFUNCTION("""COMPUTED_VALUE"""),"-")</f>
        <v>-</v>
      </c>
      <c r="V599" t="str">
        <f>IFERROR(__xludf.DUMMYFUNCTION("""COMPUTED_VALUE"""),"-")</f>
        <v>-</v>
      </c>
      <c r="W599" t="str">
        <f>IFERROR(__xludf.DUMMYFUNCTION("""COMPUTED_VALUE"""),"-")</f>
        <v>-</v>
      </c>
      <c r="X599" t="str">
        <f>IFERROR(__xludf.DUMMYFUNCTION("""COMPUTED_VALUE"""),"-")</f>
        <v>-</v>
      </c>
      <c r="Y599" t="str">
        <f>IFERROR(__xludf.DUMMYFUNCTION("""COMPUTED_VALUE"""),"-")</f>
        <v>-</v>
      </c>
      <c r="Z599" t="str">
        <f>IFERROR(__xludf.DUMMYFUNCTION("""COMPUTED_VALUE"""),"-")</f>
        <v>-</v>
      </c>
      <c r="AA599" t="str">
        <f>IFERROR(__xludf.DUMMYFUNCTION("""COMPUTED_VALUE"""),"-")</f>
        <v>-</v>
      </c>
    </row>
    <row r="600">
      <c r="A600" t="str">
        <f>IFERROR(__xludf.DUMMYFUNCTION("""COMPUTED_VALUE"""),"#599")</f>
        <v>#599</v>
      </c>
      <c r="B600" t="str">
        <f>IFERROR(__xludf.DUMMYFUNCTION("""COMPUTED_VALUE"""),"Joyce Oliveira")</f>
        <v>Joyce Oliveira</v>
      </c>
      <c r="C600">
        <f>IFERROR(__xludf.DUMMYFUNCTION("""COMPUTED_VALUE"""),186.0)</f>
        <v>186</v>
      </c>
      <c r="D600" t="str">
        <f>IFERROR(__xludf.DUMMYFUNCTION("""COMPUTED_VALUE"""),"-")</f>
        <v>-</v>
      </c>
      <c r="E600" t="str">
        <f>IFERROR(__xludf.DUMMYFUNCTION("""COMPUTED_VALUE"""),"-")</f>
        <v>-</v>
      </c>
      <c r="F600" t="str">
        <f>IFERROR(__xludf.DUMMYFUNCTION("""COMPUTED_VALUE"""),"-")</f>
        <v>-</v>
      </c>
      <c r="G600" t="str">
        <f>IFERROR(__xludf.DUMMYFUNCTION("""COMPUTED_VALUE"""),"-")</f>
        <v>-</v>
      </c>
      <c r="H600" t="str">
        <f>IFERROR(__xludf.DUMMYFUNCTION("""COMPUTED_VALUE"""),"-")</f>
        <v>-</v>
      </c>
      <c r="I600" t="str">
        <f>IFERROR(__xludf.DUMMYFUNCTION("""COMPUTED_VALUE"""),"-")</f>
        <v>-</v>
      </c>
      <c r="J600" t="str">
        <f>IFERROR(__xludf.DUMMYFUNCTION("""COMPUTED_VALUE"""),"-")</f>
        <v>-</v>
      </c>
      <c r="K600" t="str">
        <f>IFERROR(__xludf.DUMMYFUNCTION("""COMPUTED_VALUE"""),"-")</f>
        <v>-</v>
      </c>
      <c r="L600" t="str">
        <f>IFERROR(__xludf.DUMMYFUNCTION("""COMPUTED_VALUE"""),"-")</f>
        <v>-</v>
      </c>
      <c r="M600" t="str">
        <f>IFERROR(__xludf.DUMMYFUNCTION("""COMPUTED_VALUE"""),"-")</f>
        <v>-</v>
      </c>
      <c r="O600" t="str">
        <f>IFERROR(__xludf.DUMMYFUNCTION("""COMPUTED_VALUE"""),"#599")</f>
        <v>#599</v>
      </c>
      <c r="P600" t="str">
        <f>IFERROR(__xludf.DUMMYFUNCTION("""COMPUTED_VALUE"""),"Joyce Oliveira")</f>
        <v>Joyce Oliveira</v>
      </c>
      <c r="Q600">
        <f>IFERROR(__xludf.DUMMYFUNCTION("""COMPUTED_VALUE"""),186.0)</f>
        <v>186</v>
      </c>
      <c r="R600" t="str">
        <f>IFERROR(__xludf.DUMMYFUNCTION("""COMPUTED_VALUE"""),"-")</f>
        <v>-</v>
      </c>
      <c r="S600" t="str">
        <f>IFERROR(__xludf.DUMMYFUNCTION("""COMPUTED_VALUE"""),"-")</f>
        <v>-</v>
      </c>
      <c r="T600" t="str">
        <f>IFERROR(__xludf.DUMMYFUNCTION("""COMPUTED_VALUE"""),"-")</f>
        <v>-</v>
      </c>
      <c r="U600" t="str">
        <f>IFERROR(__xludf.DUMMYFUNCTION("""COMPUTED_VALUE"""),"-")</f>
        <v>-</v>
      </c>
      <c r="V600" t="str">
        <f>IFERROR(__xludf.DUMMYFUNCTION("""COMPUTED_VALUE"""),"-")</f>
        <v>-</v>
      </c>
      <c r="W600" t="str">
        <f>IFERROR(__xludf.DUMMYFUNCTION("""COMPUTED_VALUE"""),"-")</f>
        <v>-</v>
      </c>
      <c r="X600" t="str">
        <f>IFERROR(__xludf.DUMMYFUNCTION("""COMPUTED_VALUE"""),"-")</f>
        <v>-</v>
      </c>
      <c r="Y600" t="str">
        <f>IFERROR(__xludf.DUMMYFUNCTION("""COMPUTED_VALUE"""),"-")</f>
        <v>-</v>
      </c>
      <c r="Z600" t="str">
        <f>IFERROR(__xludf.DUMMYFUNCTION("""COMPUTED_VALUE"""),"-")</f>
        <v>-</v>
      </c>
      <c r="AA600" t="str">
        <f>IFERROR(__xludf.DUMMYFUNCTION("""COMPUTED_VALUE"""),"-")</f>
        <v>-</v>
      </c>
    </row>
    <row r="601">
      <c r="A601" t="str">
        <f>IFERROR(__xludf.DUMMYFUNCTION("""COMPUTED_VALUE"""),"#600")</f>
        <v>#600</v>
      </c>
      <c r="B601" t="str">
        <f>IFERROR(__xludf.DUMMYFUNCTION("""COMPUTED_VALUE"""),"Eric Mascaro")</f>
        <v>Eric Mascaro</v>
      </c>
      <c r="C601">
        <f>IFERROR(__xludf.DUMMYFUNCTION("""COMPUTED_VALUE"""),181.0)</f>
        <v>181</v>
      </c>
      <c r="D601" t="str">
        <f>IFERROR(__xludf.DUMMYFUNCTION("""COMPUTED_VALUE"""),"-")</f>
        <v>-</v>
      </c>
      <c r="E601" t="str">
        <f>IFERROR(__xludf.DUMMYFUNCTION("""COMPUTED_VALUE"""),"-")</f>
        <v>-</v>
      </c>
      <c r="F601" t="str">
        <f>IFERROR(__xludf.DUMMYFUNCTION("""COMPUTED_VALUE"""),"-")</f>
        <v>-</v>
      </c>
      <c r="G601" t="str">
        <f>IFERROR(__xludf.DUMMYFUNCTION("""COMPUTED_VALUE"""),"-")</f>
        <v>-</v>
      </c>
      <c r="H601" t="str">
        <f>IFERROR(__xludf.DUMMYFUNCTION("""COMPUTED_VALUE"""),"-")</f>
        <v>-</v>
      </c>
      <c r="I601" t="str">
        <f>IFERROR(__xludf.DUMMYFUNCTION("""COMPUTED_VALUE"""),"-")</f>
        <v>-</v>
      </c>
      <c r="J601" t="str">
        <f>IFERROR(__xludf.DUMMYFUNCTION("""COMPUTED_VALUE"""),"-")</f>
        <v>-</v>
      </c>
      <c r="K601" t="str">
        <f>IFERROR(__xludf.DUMMYFUNCTION("""COMPUTED_VALUE"""),"-")</f>
        <v>-</v>
      </c>
      <c r="L601" t="str">
        <f>IFERROR(__xludf.DUMMYFUNCTION("""COMPUTED_VALUE"""),"-")</f>
        <v>-</v>
      </c>
      <c r="M601" t="str">
        <f>IFERROR(__xludf.DUMMYFUNCTION("""COMPUTED_VALUE"""),"-")</f>
        <v>-</v>
      </c>
      <c r="O601" t="str">
        <f>IFERROR(__xludf.DUMMYFUNCTION("""COMPUTED_VALUE"""),"#600")</f>
        <v>#600</v>
      </c>
      <c r="P601" t="str">
        <f>IFERROR(__xludf.DUMMYFUNCTION("""COMPUTED_VALUE"""),"Eric Mascaro")</f>
        <v>Eric Mascaro</v>
      </c>
      <c r="Q601">
        <f>IFERROR(__xludf.DUMMYFUNCTION("""COMPUTED_VALUE"""),181.0)</f>
        <v>181</v>
      </c>
      <c r="R601" t="str">
        <f>IFERROR(__xludf.DUMMYFUNCTION("""COMPUTED_VALUE"""),"-")</f>
        <v>-</v>
      </c>
      <c r="S601" t="str">
        <f>IFERROR(__xludf.DUMMYFUNCTION("""COMPUTED_VALUE"""),"-")</f>
        <v>-</v>
      </c>
      <c r="T601" t="str">
        <f>IFERROR(__xludf.DUMMYFUNCTION("""COMPUTED_VALUE"""),"-")</f>
        <v>-</v>
      </c>
      <c r="U601" t="str">
        <f>IFERROR(__xludf.DUMMYFUNCTION("""COMPUTED_VALUE"""),"-")</f>
        <v>-</v>
      </c>
      <c r="V601" t="str">
        <f>IFERROR(__xludf.DUMMYFUNCTION("""COMPUTED_VALUE"""),"-")</f>
        <v>-</v>
      </c>
      <c r="W601" t="str">
        <f>IFERROR(__xludf.DUMMYFUNCTION("""COMPUTED_VALUE"""),"-")</f>
        <v>-</v>
      </c>
      <c r="X601" t="str">
        <f>IFERROR(__xludf.DUMMYFUNCTION("""COMPUTED_VALUE"""),"-")</f>
        <v>-</v>
      </c>
      <c r="Y601" t="str">
        <f>IFERROR(__xludf.DUMMYFUNCTION("""COMPUTED_VALUE"""),"-")</f>
        <v>-</v>
      </c>
      <c r="Z601" t="str">
        <f>IFERROR(__xludf.DUMMYFUNCTION("""COMPUTED_VALUE"""),"-")</f>
        <v>-</v>
      </c>
      <c r="AA601" t="str">
        <f>IFERROR(__xludf.DUMMYFUNCTION("""COMPUTED_VALUE"""),"-")</f>
        <v>-</v>
      </c>
    </row>
    <row r="602">
      <c r="A602" t="str">
        <f>IFERROR(__xludf.DUMMYFUNCTION("""COMPUTED_VALUE"""),"#601")</f>
        <v>#601</v>
      </c>
      <c r="B602" t="str">
        <f>IFERROR(__xludf.DUMMYFUNCTION("""COMPUTED_VALUE"""),"Solenn Cochet")</f>
        <v>Solenn Cochet</v>
      </c>
      <c r="C602">
        <f>IFERROR(__xludf.DUMMYFUNCTION("""COMPUTED_VALUE"""),177.0)</f>
        <v>177</v>
      </c>
      <c r="D602" t="str">
        <f>IFERROR(__xludf.DUMMYFUNCTION("""COMPUTED_VALUE"""),"-")</f>
        <v>-</v>
      </c>
      <c r="E602" t="str">
        <f>IFERROR(__xludf.DUMMYFUNCTION("""COMPUTED_VALUE"""),"-")</f>
        <v>-</v>
      </c>
      <c r="F602" t="str">
        <f>IFERROR(__xludf.DUMMYFUNCTION("""COMPUTED_VALUE"""),"-")</f>
        <v>-</v>
      </c>
      <c r="G602" t="str">
        <f>IFERROR(__xludf.DUMMYFUNCTION("""COMPUTED_VALUE"""),"-")</f>
        <v>-</v>
      </c>
      <c r="H602" t="str">
        <f>IFERROR(__xludf.DUMMYFUNCTION("""COMPUTED_VALUE"""),"-")</f>
        <v>-</v>
      </c>
      <c r="I602" t="str">
        <f>IFERROR(__xludf.DUMMYFUNCTION("""COMPUTED_VALUE"""),"-")</f>
        <v>-</v>
      </c>
      <c r="J602" t="str">
        <f>IFERROR(__xludf.DUMMYFUNCTION("""COMPUTED_VALUE"""),"-")</f>
        <v>-</v>
      </c>
      <c r="K602" t="str">
        <f>IFERROR(__xludf.DUMMYFUNCTION("""COMPUTED_VALUE"""),"-")</f>
        <v>-</v>
      </c>
      <c r="L602" t="str">
        <f>IFERROR(__xludf.DUMMYFUNCTION("""COMPUTED_VALUE"""),"-")</f>
        <v>-</v>
      </c>
      <c r="M602" t="str">
        <f>IFERROR(__xludf.DUMMYFUNCTION("""COMPUTED_VALUE"""),"-")</f>
        <v>-</v>
      </c>
      <c r="O602" t="str">
        <f>IFERROR(__xludf.DUMMYFUNCTION("""COMPUTED_VALUE"""),"#601")</f>
        <v>#601</v>
      </c>
      <c r="P602" t="str">
        <f>IFERROR(__xludf.DUMMYFUNCTION("""COMPUTED_VALUE"""),"Solenn Cochet")</f>
        <v>Solenn Cochet</v>
      </c>
      <c r="Q602">
        <f>IFERROR(__xludf.DUMMYFUNCTION("""COMPUTED_VALUE"""),177.0)</f>
        <v>177</v>
      </c>
      <c r="R602" t="str">
        <f>IFERROR(__xludf.DUMMYFUNCTION("""COMPUTED_VALUE"""),"-")</f>
        <v>-</v>
      </c>
      <c r="S602" t="str">
        <f>IFERROR(__xludf.DUMMYFUNCTION("""COMPUTED_VALUE"""),"-")</f>
        <v>-</v>
      </c>
      <c r="T602" t="str">
        <f>IFERROR(__xludf.DUMMYFUNCTION("""COMPUTED_VALUE"""),"-")</f>
        <v>-</v>
      </c>
      <c r="U602" t="str">
        <f>IFERROR(__xludf.DUMMYFUNCTION("""COMPUTED_VALUE"""),"-")</f>
        <v>-</v>
      </c>
      <c r="V602" t="str">
        <f>IFERROR(__xludf.DUMMYFUNCTION("""COMPUTED_VALUE"""),"-")</f>
        <v>-</v>
      </c>
      <c r="W602" t="str">
        <f>IFERROR(__xludf.DUMMYFUNCTION("""COMPUTED_VALUE"""),"-")</f>
        <v>-</v>
      </c>
      <c r="X602" t="str">
        <f>IFERROR(__xludf.DUMMYFUNCTION("""COMPUTED_VALUE"""),"-")</f>
        <v>-</v>
      </c>
      <c r="Y602" t="str">
        <f>IFERROR(__xludf.DUMMYFUNCTION("""COMPUTED_VALUE"""),"-")</f>
        <v>-</v>
      </c>
      <c r="Z602" t="str">
        <f>IFERROR(__xludf.DUMMYFUNCTION("""COMPUTED_VALUE"""),"-")</f>
        <v>-</v>
      </c>
      <c r="AA602" t="str">
        <f>IFERROR(__xludf.DUMMYFUNCTION("""COMPUTED_VALUE"""),"-")</f>
        <v>-</v>
      </c>
    </row>
    <row r="603">
      <c r="A603" t="str">
        <f>IFERROR(__xludf.DUMMYFUNCTION("""COMPUTED_VALUE"""),"#602")</f>
        <v>#602</v>
      </c>
      <c r="B603" t="str">
        <f>IFERROR(__xludf.DUMMYFUNCTION("""COMPUTED_VALUE"""),"Emmanuel Toniutti")</f>
        <v>Emmanuel Toniutti</v>
      </c>
      <c r="C603">
        <f>IFERROR(__xludf.DUMMYFUNCTION("""COMPUTED_VALUE"""),171.0)</f>
        <v>171</v>
      </c>
      <c r="D603" t="str">
        <f>IFERROR(__xludf.DUMMYFUNCTION("""COMPUTED_VALUE"""),"-")</f>
        <v>-</v>
      </c>
      <c r="E603" t="str">
        <f>IFERROR(__xludf.DUMMYFUNCTION("""COMPUTED_VALUE"""),"-")</f>
        <v>-</v>
      </c>
      <c r="F603" t="str">
        <f>IFERROR(__xludf.DUMMYFUNCTION("""COMPUTED_VALUE"""),"-")</f>
        <v>-</v>
      </c>
      <c r="G603" t="str">
        <f>IFERROR(__xludf.DUMMYFUNCTION("""COMPUTED_VALUE"""),"-")</f>
        <v>-</v>
      </c>
      <c r="H603" t="str">
        <f>IFERROR(__xludf.DUMMYFUNCTION("""COMPUTED_VALUE"""),"-")</f>
        <v>-</v>
      </c>
      <c r="I603" t="str">
        <f>IFERROR(__xludf.DUMMYFUNCTION("""COMPUTED_VALUE"""),"-")</f>
        <v>-</v>
      </c>
      <c r="J603" t="str">
        <f>IFERROR(__xludf.DUMMYFUNCTION("""COMPUTED_VALUE"""),"-")</f>
        <v>-</v>
      </c>
      <c r="K603" t="str">
        <f>IFERROR(__xludf.DUMMYFUNCTION("""COMPUTED_VALUE"""),"-")</f>
        <v>-</v>
      </c>
      <c r="L603" t="str">
        <f>IFERROR(__xludf.DUMMYFUNCTION("""COMPUTED_VALUE"""),"-")</f>
        <v>-</v>
      </c>
      <c r="M603" t="str">
        <f>IFERROR(__xludf.DUMMYFUNCTION("""COMPUTED_VALUE"""),"-")</f>
        <v>-</v>
      </c>
      <c r="O603" t="str">
        <f>IFERROR(__xludf.DUMMYFUNCTION("""COMPUTED_VALUE"""),"#602")</f>
        <v>#602</v>
      </c>
      <c r="P603" t="str">
        <f>IFERROR(__xludf.DUMMYFUNCTION("""COMPUTED_VALUE"""),"Emmanuel Toniutti")</f>
        <v>Emmanuel Toniutti</v>
      </c>
      <c r="Q603">
        <f>IFERROR(__xludf.DUMMYFUNCTION("""COMPUTED_VALUE"""),171.0)</f>
        <v>171</v>
      </c>
      <c r="R603" t="str">
        <f>IFERROR(__xludf.DUMMYFUNCTION("""COMPUTED_VALUE"""),"-")</f>
        <v>-</v>
      </c>
      <c r="S603" t="str">
        <f>IFERROR(__xludf.DUMMYFUNCTION("""COMPUTED_VALUE"""),"-")</f>
        <v>-</v>
      </c>
      <c r="T603" t="str">
        <f>IFERROR(__xludf.DUMMYFUNCTION("""COMPUTED_VALUE"""),"-")</f>
        <v>-</v>
      </c>
      <c r="U603" t="str">
        <f>IFERROR(__xludf.DUMMYFUNCTION("""COMPUTED_VALUE"""),"-")</f>
        <v>-</v>
      </c>
      <c r="V603" t="str">
        <f>IFERROR(__xludf.DUMMYFUNCTION("""COMPUTED_VALUE"""),"-")</f>
        <v>-</v>
      </c>
      <c r="W603" t="str">
        <f>IFERROR(__xludf.DUMMYFUNCTION("""COMPUTED_VALUE"""),"-")</f>
        <v>-</v>
      </c>
      <c r="X603" t="str">
        <f>IFERROR(__xludf.DUMMYFUNCTION("""COMPUTED_VALUE"""),"-")</f>
        <v>-</v>
      </c>
      <c r="Y603" t="str">
        <f>IFERROR(__xludf.DUMMYFUNCTION("""COMPUTED_VALUE"""),"-")</f>
        <v>-</v>
      </c>
      <c r="Z603" t="str">
        <f>IFERROR(__xludf.DUMMYFUNCTION("""COMPUTED_VALUE"""),"-")</f>
        <v>-</v>
      </c>
      <c r="AA603" t="str">
        <f>IFERROR(__xludf.DUMMYFUNCTION("""COMPUTED_VALUE"""),"-")</f>
        <v>-</v>
      </c>
    </row>
    <row r="604">
      <c r="A604" t="str">
        <f>IFERROR(__xludf.DUMMYFUNCTION("""COMPUTED_VALUE"""),"#603")</f>
        <v>#603</v>
      </c>
      <c r="B604" t="str">
        <f>IFERROR(__xludf.DUMMYFUNCTION("""COMPUTED_VALUE"""),"Michel Bourgeois")</f>
        <v>Michel Bourgeois</v>
      </c>
      <c r="C604">
        <f>IFERROR(__xludf.DUMMYFUNCTION("""COMPUTED_VALUE"""),165.0)</f>
        <v>165</v>
      </c>
      <c r="D604" t="str">
        <f>IFERROR(__xludf.DUMMYFUNCTION("""COMPUTED_VALUE"""),"-")</f>
        <v>-</v>
      </c>
      <c r="E604" t="str">
        <f>IFERROR(__xludf.DUMMYFUNCTION("""COMPUTED_VALUE"""),"-")</f>
        <v>-</v>
      </c>
      <c r="F604" t="str">
        <f>IFERROR(__xludf.DUMMYFUNCTION("""COMPUTED_VALUE"""),"-")</f>
        <v>-</v>
      </c>
      <c r="G604" t="str">
        <f>IFERROR(__xludf.DUMMYFUNCTION("""COMPUTED_VALUE"""),"-")</f>
        <v>-</v>
      </c>
      <c r="H604" t="str">
        <f>IFERROR(__xludf.DUMMYFUNCTION("""COMPUTED_VALUE"""),"-")</f>
        <v>-</v>
      </c>
      <c r="I604" t="str">
        <f>IFERROR(__xludf.DUMMYFUNCTION("""COMPUTED_VALUE"""),"-")</f>
        <v>-</v>
      </c>
      <c r="J604" t="str">
        <f>IFERROR(__xludf.DUMMYFUNCTION("""COMPUTED_VALUE"""),"-")</f>
        <v>-</v>
      </c>
      <c r="K604" t="str">
        <f>IFERROR(__xludf.DUMMYFUNCTION("""COMPUTED_VALUE"""),"-")</f>
        <v>-</v>
      </c>
      <c r="L604" t="str">
        <f>IFERROR(__xludf.DUMMYFUNCTION("""COMPUTED_VALUE"""),"-")</f>
        <v>-</v>
      </c>
      <c r="M604" t="str">
        <f>IFERROR(__xludf.DUMMYFUNCTION("""COMPUTED_VALUE"""),"-")</f>
        <v>-</v>
      </c>
      <c r="O604" t="str">
        <f>IFERROR(__xludf.DUMMYFUNCTION("""COMPUTED_VALUE"""),"#603")</f>
        <v>#603</v>
      </c>
      <c r="P604" t="str">
        <f>IFERROR(__xludf.DUMMYFUNCTION("""COMPUTED_VALUE"""),"Michel Bourgeois")</f>
        <v>Michel Bourgeois</v>
      </c>
      <c r="Q604">
        <f>IFERROR(__xludf.DUMMYFUNCTION("""COMPUTED_VALUE"""),165.0)</f>
        <v>165</v>
      </c>
      <c r="R604" t="str">
        <f>IFERROR(__xludf.DUMMYFUNCTION("""COMPUTED_VALUE"""),"-")</f>
        <v>-</v>
      </c>
      <c r="S604" t="str">
        <f>IFERROR(__xludf.DUMMYFUNCTION("""COMPUTED_VALUE"""),"-")</f>
        <v>-</v>
      </c>
      <c r="T604" t="str">
        <f>IFERROR(__xludf.DUMMYFUNCTION("""COMPUTED_VALUE"""),"-")</f>
        <v>-</v>
      </c>
      <c r="U604" t="str">
        <f>IFERROR(__xludf.DUMMYFUNCTION("""COMPUTED_VALUE"""),"-")</f>
        <v>-</v>
      </c>
      <c r="V604" t="str">
        <f>IFERROR(__xludf.DUMMYFUNCTION("""COMPUTED_VALUE"""),"-")</f>
        <v>-</v>
      </c>
      <c r="W604" t="str">
        <f>IFERROR(__xludf.DUMMYFUNCTION("""COMPUTED_VALUE"""),"-")</f>
        <v>-</v>
      </c>
      <c r="X604" t="str">
        <f>IFERROR(__xludf.DUMMYFUNCTION("""COMPUTED_VALUE"""),"-")</f>
        <v>-</v>
      </c>
      <c r="Y604" t="str">
        <f>IFERROR(__xludf.DUMMYFUNCTION("""COMPUTED_VALUE"""),"-")</f>
        <v>-</v>
      </c>
      <c r="Z604" t="str">
        <f>IFERROR(__xludf.DUMMYFUNCTION("""COMPUTED_VALUE"""),"-")</f>
        <v>-</v>
      </c>
      <c r="AA604" t="str">
        <f>IFERROR(__xludf.DUMMYFUNCTION("""COMPUTED_VALUE"""),"-")</f>
        <v>-</v>
      </c>
    </row>
    <row r="605">
      <c r="A605" t="str">
        <f>IFERROR(__xludf.DUMMYFUNCTION("""COMPUTED_VALUE"""),"#604")</f>
        <v>#604</v>
      </c>
      <c r="B605" t="str">
        <f>IFERROR(__xludf.DUMMYFUNCTION("""COMPUTED_VALUE"""),"Charles Menard")</f>
        <v>Charles Menard</v>
      </c>
      <c r="C605">
        <f>IFERROR(__xludf.DUMMYFUNCTION("""COMPUTED_VALUE"""),158.0)</f>
        <v>158</v>
      </c>
      <c r="D605" t="str">
        <f>IFERROR(__xludf.DUMMYFUNCTION("""COMPUTED_VALUE"""),"-")</f>
        <v>-</v>
      </c>
      <c r="E605" t="str">
        <f>IFERROR(__xludf.DUMMYFUNCTION("""COMPUTED_VALUE"""),"-")</f>
        <v>-</v>
      </c>
      <c r="F605" t="str">
        <f>IFERROR(__xludf.DUMMYFUNCTION("""COMPUTED_VALUE"""),"-")</f>
        <v>-</v>
      </c>
      <c r="G605" t="str">
        <f>IFERROR(__xludf.DUMMYFUNCTION("""COMPUTED_VALUE"""),"-")</f>
        <v>-</v>
      </c>
      <c r="H605" t="str">
        <f>IFERROR(__xludf.DUMMYFUNCTION("""COMPUTED_VALUE"""),"-")</f>
        <v>-</v>
      </c>
      <c r="I605" t="str">
        <f>IFERROR(__xludf.DUMMYFUNCTION("""COMPUTED_VALUE"""),"-")</f>
        <v>-</v>
      </c>
      <c r="J605" t="str">
        <f>IFERROR(__xludf.DUMMYFUNCTION("""COMPUTED_VALUE"""),"-")</f>
        <v>-</v>
      </c>
      <c r="K605" t="str">
        <f>IFERROR(__xludf.DUMMYFUNCTION("""COMPUTED_VALUE"""),"-")</f>
        <v>-</v>
      </c>
      <c r="L605" t="str">
        <f>IFERROR(__xludf.DUMMYFUNCTION("""COMPUTED_VALUE"""),"-")</f>
        <v>-</v>
      </c>
      <c r="M605" t="str">
        <f>IFERROR(__xludf.DUMMYFUNCTION("""COMPUTED_VALUE"""),"-")</f>
        <v>-</v>
      </c>
      <c r="O605" t="str">
        <f>IFERROR(__xludf.DUMMYFUNCTION("""COMPUTED_VALUE"""),"#604")</f>
        <v>#604</v>
      </c>
      <c r="P605" t="str">
        <f>IFERROR(__xludf.DUMMYFUNCTION("""COMPUTED_VALUE"""),"Charles Menard")</f>
        <v>Charles Menard</v>
      </c>
      <c r="Q605">
        <f>IFERROR(__xludf.DUMMYFUNCTION("""COMPUTED_VALUE"""),158.0)</f>
        <v>158</v>
      </c>
      <c r="R605" t="str">
        <f>IFERROR(__xludf.DUMMYFUNCTION("""COMPUTED_VALUE"""),"-")</f>
        <v>-</v>
      </c>
      <c r="S605" t="str">
        <f>IFERROR(__xludf.DUMMYFUNCTION("""COMPUTED_VALUE"""),"-")</f>
        <v>-</v>
      </c>
      <c r="T605" t="str">
        <f>IFERROR(__xludf.DUMMYFUNCTION("""COMPUTED_VALUE"""),"-")</f>
        <v>-</v>
      </c>
      <c r="U605" t="str">
        <f>IFERROR(__xludf.DUMMYFUNCTION("""COMPUTED_VALUE"""),"-")</f>
        <v>-</v>
      </c>
      <c r="V605" t="str">
        <f>IFERROR(__xludf.DUMMYFUNCTION("""COMPUTED_VALUE"""),"-")</f>
        <v>-</v>
      </c>
      <c r="W605" t="str">
        <f>IFERROR(__xludf.DUMMYFUNCTION("""COMPUTED_VALUE"""),"-")</f>
        <v>-</v>
      </c>
      <c r="X605" t="str">
        <f>IFERROR(__xludf.DUMMYFUNCTION("""COMPUTED_VALUE"""),"-")</f>
        <v>-</v>
      </c>
      <c r="Y605" t="str">
        <f>IFERROR(__xludf.DUMMYFUNCTION("""COMPUTED_VALUE"""),"-")</f>
        <v>-</v>
      </c>
      <c r="Z605" t="str">
        <f>IFERROR(__xludf.DUMMYFUNCTION("""COMPUTED_VALUE"""),"-")</f>
        <v>-</v>
      </c>
      <c r="AA605" t="str">
        <f>IFERROR(__xludf.DUMMYFUNCTION("""COMPUTED_VALUE"""),"-")</f>
        <v>-</v>
      </c>
    </row>
    <row r="606">
      <c r="A606" t="str">
        <f>IFERROR(__xludf.DUMMYFUNCTION("""COMPUTED_VALUE"""),"#605")</f>
        <v>#605</v>
      </c>
      <c r="B606" t="str">
        <f>IFERROR(__xludf.DUMMYFUNCTION("""COMPUTED_VALUE"""),"Alexandre Lecouillard")</f>
        <v>Alexandre Lecouillard</v>
      </c>
      <c r="C606">
        <f>IFERROR(__xludf.DUMMYFUNCTION("""COMPUTED_VALUE"""),138.0)</f>
        <v>138</v>
      </c>
      <c r="D606" t="str">
        <f>IFERROR(__xludf.DUMMYFUNCTION("""COMPUTED_VALUE"""),"-")</f>
        <v>-</v>
      </c>
      <c r="E606" t="str">
        <f>IFERROR(__xludf.DUMMYFUNCTION("""COMPUTED_VALUE"""),"-")</f>
        <v>-</v>
      </c>
      <c r="F606" t="str">
        <f>IFERROR(__xludf.DUMMYFUNCTION("""COMPUTED_VALUE"""),"-")</f>
        <v>-</v>
      </c>
      <c r="G606" t="str">
        <f>IFERROR(__xludf.DUMMYFUNCTION("""COMPUTED_VALUE"""),"-")</f>
        <v>-</v>
      </c>
      <c r="H606" t="str">
        <f>IFERROR(__xludf.DUMMYFUNCTION("""COMPUTED_VALUE"""),"-")</f>
        <v>-</v>
      </c>
      <c r="I606" t="str">
        <f>IFERROR(__xludf.DUMMYFUNCTION("""COMPUTED_VALUE"""),"-")</f>
        <v>-</v>
      </c>
      <c r="J606" t="str">
        <f>IFERROR(__xludf.DUMMYFUNCTION("""COMPUTED_VALUE"""),"-")</f>
        <v>-</v>
      </c>
      <c r="K606" t="str">
        <f>IFERROR(__xludf.DUMMYFUNCTION("""COMPUTED_VALUE"""),"-")</f>
        <v>-</v>
      </c>
      <c r="L606" t="str">
        <f>IFERROR(__xludf.DUMMYFUNCTION("""COMPUTED_VALUE"""),"-")</f>
        <v>-</v>
      </c>
      <c r="M606" t="str">
        <f>IFERROR(__xludf.DUMMYFUNCTION("""COMPUTED_VALUE"""),"-")</f>
        <v>-</v>
      </c>
      <c r="O606" t="str">
        <f>IFERROR(__xludf.DUMMYFUNCTION("""COMPUTED_VALUE"""),"#605")</f>
        <v>#605</v>
      </c>
      <c r="P606" t="str">
        <f>IFERROR(__xludf.DUMMYFUNCTION("""COMPUTED_VALUE"""),"Alexandre Lecouillard")</f>
        <v>Alexandre Lecouillard</v>
      </c>
      <c r="Q606">
        <f>IFERROR(__xludf.DUMMYFUNCTION("""COMPUTED_VALUE"""),138.0)</f>
        <v>138</v>
      </c>
      <c r="R606" t="str">
        <f>IFERROR(__xludf.DUMMYFUNCTION("""COMPUTED_VALUE"""),"-")</f>
        <v>-</v>
      </c>
      <c r="S606" t="str">
        <f>IFERROR(__xludf.DUMMYFUNCTION("""COMPUTED_VALUE"""),"-")</f>
        <v>-</v>
      </c>
      <c r="T606" t="str">
        <f>IFERROR(__xludf.DUMMYFUNCTION("""COMPUTED_VALUE"""),"-")</f>
        <v>-</v>
      </c>
      <c r="U606" t="str">
        <f>IFERROR(__xludf.DUMMYFUNCTION("""COMPUTED_VALUE"""),"-")</f>
        <v>-</v>
      </c>
      <c r="V606" t="str">
        <f>IFERROR(__xludf.DUMMYFUNCTION("""COMPUTED_VALUE"""),"-")</f>
        <v>-</v>
      </c>
      <c r="W606" t="str">
        <f>IFERROR(__xludf.DUMMYFUNCTION("""COMPUTED_VALUE"""),"-")</f>
        <v>-</v>
      </c>
      <c r="X606" t="str">
        <f>IFERROR(__xludf.DUMMYFUNCTION("""COMPUTED_VALUE"""),"-")</f>
        <v>-</v>
      </c>
      <c r="Y606" t="str">
        <f>IFERROR(__xludf.DUMMYFUNCTION("""COMPUTED_VALUE"""),"-")</f>
        <v>-</v>
      </c>
      <c r="Z606" t="str">
        <f>IFERROR(__xludf.DUMMYFUNCTION("""COMPUTED_VALUE"""),"-")</f>
        <v>-</v>
      </c>
      <c r="AA606" t="str">
        <f>IFERROR(__xludf.DUMMYFUNCTION("""COMPUTED_VALUE"""),"-")</f>
        <v>-</v>
      </c>
    </row>
    <row r="607">
      <c r="A607" t="str">
        <f>IFERROR(__xludf.DUMMYFUNCTION("""COMPUTED_VALUE"""),"#606")</f>
        <v>#606</v>
      </c>
      <c r="B607" t="str">
        <f>IFERROR(__xludf.DUMMYFUNCTION("""COMPUTED_VALUE"""),"Jean-Pierre Dufau")</f>
        <v>Jean-Pierre Dufau</v>
      </c>
      <c r="C607">
        <f>IFERROR(__xludf.DUMMYFUNCTION("""COMPUTED_VALUE"""),101.0)</f>
        <v>101</v>
      </c>
      <c r="D607" t="str">
        <f>IFERROR(__xludf.DUMMYFUNCTION("""COMPUTED_VALUE"""),"-")</f>
        <v>-</v>
      </c>
      <c r="E607" t="str">
        <f>IFERROR(__xludf.DUMMYFUNCTION("""COMPUTED_VALUE"""),"-")</f>
        <v>-</v>
      </c>
      <c r="F607" t="str">
        <f>IFERROR(__xludf.DUMMYFUNCTION("""COMPUTED_VALUE"""),"-")</f>
        <v>-</v>
      </c>
      <c r="G607" t="str">
        <f>IFERROR(__xludf.DUMMYFUNCTION("""COMPUTED_VALUE"""),"-")</f>
        <v>-</v>
      </c>
      <c r="H607" t="str">
        <f>IFERROR(__xludf.DUMMYFUNCTION("""COMPUTED_VALUE"""),"-")</f>
        <v>-</v>
      </c>
      <c r="I607" t="str">
        <f>IFERROR(__xludf.DUMMYFUNCTION("""COMPUTED_VALUE"""),"-")</f>
        <v>-</v>
      </c>
      <c r="J607" t="str">
        <f>IFERROR(__xludf.DUMMYFUNCTION("""COMPUTED_VALUE"""),"-")</f>
        <v>-</v>
      </c>
      <c r="K607" t="str">
        <f>IFERROR(__xludf.DUMMYFUNCTION("""COMPUTED_VALUE"""),"-")</f>
        <v>-</v>
      </c>
      <c r="L607" t="str">
        <f>IFERROR(__xludf.DUMMYFUNCTION("""COMPUTED_VALUE"""),"-")</f>
        <v>-</v>
      </c>
      <c r="M607" t="str">
        <f>IFERROR(__xludf.DUMMYFUNCTION("""COMPUTED_VALUE"""),"-")</f>
        <v>-</v>
      </c>
      <c r="O607" t="str">
        <f>IFERROR(__xludf.DUMMYFUNCTION("""COMPUTED_VALUE"""),"#606")</f>
        <v>#606</v>
      </c>
      <c r="P607" t="str">
        <f>IFERROR(__xludf.DUMMYFUNCTION("""COMPUTED_VALUE"""),"Jean-Pierre Dufau")</f>
        <v>Jean-Pierre Dufau</v>
      </c>
      <c r="Q607">
        <f>IFERROR(__xludf.DUMMYFUNCTION("""COMPUTED_VALUE"""),101.0)</f>
        <v>101</v>
      </c>
      <c r="R607" t="str">
        <f>IFERROR(__xludf.DUMMYFUNCTION("""COMPUTED_VALUE"""),"-")</f>
        <v>-</v>
      </c>
      <c r="S607" t="str">
        <f>IFERROR(__xludf.DUMMYFUNCTION("""COMPUTED_VALUE"""),"-")</f>
        <v>-</v>
      </c>
      <c r="T607" t="str">
        <f>IFERROR(__xludf.DUMMYFUNCTION("""COMPUTED_VALUE"""),"-")</f>
        <v>-</v>
      </c>
      <c r="U607" t="str">
        <f>IFERROR(__xludf.DUMMYFUNCTION("""COMPUTED_VALUE"""),"-")</f>
        <v>-</v>
      </c>
      <c r="V607" t="str">
        <f>IFERROR(__xludf.DUMMYFUNCTION("""COMPUTED_VALUE"""),"-")</f>
        <v>-</v>
      </c>
      <c r="W607" t="str">
        <f>IFERROR(__xludf.DUMMYFUNCTION("""COMPUTED_VALUE"""),"-")</f>
        <v>-</v>
      </c>
      <c r="X607" t="str">
        <f>IFERROR(__xludf.DUMMYFUNCTION("""COMPUTED_VALUE"""),"-")</f>
        <v>-</v>
      </c>
      <c r="Y607" t="str">
        <f>IFERROR(__xludf.DUMMYFUNCTION("""COMPUTED_VALUE"""),"-")</f>
        <v>-</v>
      </c>
      <c r="Z607" t="str">
        <f>IFERROR(__xludf.DUMMYFUNCTION("""COMPUTED_VALUE"""),"-")</f>
        <v>-</v>
      </c>
      <c r="AA607" t="str">
        <f>IFERROR(__xludf.DUMMYFUNCTION("""COMPUTED_VALUE"""),"-")</f>
        <v>-</v>
      </c>
    </row>
    <row r="608">
      <c r="A608" t="str">
        <f>IFERROR(__xludf.DUMMYFUNCTION("""COMPUTED_VALUE"""),"#607")</f>
        <v>#607</v>
      </c>
      <c r="B608" t="str">
        <f>IFERROR(__xludf.DUMMYFUNCTION("""COMPUTED_VALUE"""),"Robert Baud")</f>
        <v>Robert Baud</v>
      </c>
      <c r="C608">
        <f>IFERROR(__xludf.DUMMYFUNCTION("""COMPUTED_VALUE"""),85.0)</f>
        <v>85</v>
      </c>
      <c r="D608" t="str">
        <f>IFERROR(__xludf.DUMMYFUNCTION("""COMPUTED_VALUE"""),"-")</f>
        <v>-</v>
      </c>
      <c r="E608" t="str">
        <f>IFERROR(__xludf.DUMMYFUNCTION("""COMPUTED_VALUE"""),"-")</f>
        <v>-</v>
      </c>
      <c r="F608" t="str">
        <f>IFERROR(__xludf.DUMMYFUNCTION("""COMPUTED_VALUE"""),"-")</f>
        <v>-</v>
      </c>
      <c r="G608" t="str">
        <f>IFERROR(__xludf.DUMMYFUNCTION("""COMPUTED_VALUE"""),"-")</f>
        <v>-</v>
      </c>
      <c r="H608" t="str">
        <f>IFERROR(__xludf.DUMMYFUNCTION("""COMPUTED_VALUE"""),"-")</f>
        <v>-</v>
      </c>
      <c r="I608" t="str">
        <f>IFERROR(__xludf.DUMMYFUNCTION("""COMPUTED_VALUE"""),"-")</f>
        <v>-</v>
      </c>
      <c r="J608" t="str">
        <f>IFERROR(__xludf.DUMMYFUNCTION("""COMPUTED_VALUE"""),"-")</f>
        <v>-</v>
      </c>
      <c r="K608" t="str">
        <f>IFERROR(__xludf.DUMMYFUNCTION("""COMPUTED_VALUE"""),"-")</f>
        <v>-</v>
      </c>
      <c r="L608" t="str">
        <f>IFERROR(__xludf.DUMMYFUNCTION("""COMPUTED_VALUE"""),"-")</f>
        <v>-</v>
      </c>
      <c r="M608" t="str">
        <f>IFERROR(__xludf.DUMMYFUNCTION("""COMPUTED_VALUE"""),"-")</f>
        <v>-</v>
      </c>
      <c r="O608" t="str">
        <f>IFERROR(__xludf.DUMMYFUNCTION("""COMPUTED_VALUE"""),"#607")</f>
        <v>#607</v>
      </c>
      <c r="P608" t="str">
        <f>IFERROR(__xludf.DUMMYFUNCTION("""COMPUTED_VALUE"""),"Robert Baud")</f>
        <v>Robert Baud</v>
      </c>
      <c r="Q608">
        <f>IFERROR(__xludf.DUMMYFUNCTION("""COMPUTED_VALUE"""),85.0)</f>
        <v>85</v>
      </c>
      <c r="R608" t="str">
        <f>IFERROR(__xludf.DUMMYFUNCTION("""COMPUTED_VALUE"""),"-")</f>
        <v>-</v>
      </c>
      <c r="S608" t="str">
        <f>IFERROR(__xludf.DUMMYFUNCTION("""COMPUTED_VALUE"""),"-")</f>
        <v>-</v>
      </c>
      <c r="T608" t="str">
        <f>IFERROR(__xludf.DUMMYFUNCTION("""COMPUTED_VALUE"""),"-")</f>
        <v>-</v>
      </c>
      <c r="U608" t="str">
        <f>IFERROR(__xludf.DUMMYFUNCTION("""COMPUTED_VALUE"""),"-")</f>
        <v>-</v>
      </c>
      <c r="V608" t="str">
        <f>IFERROR(__xludf.DUMMYFUNCTION("""COMPUTED_VALUE"""),"-")</f>
        <v>-</v>
      </c>
      <c r="W608" t="str">
        <f>IFERROR(__xludf.DUMMYFUNCTION("""COMPUTED_VALUE"""),"-")</f>
        <v>-</v>
      </c>
      <c r="X608" t="str">
        <f>IFERROR(__xludf.DUMMYFUNCTION("""COMPUTED_VALUE"""),"-")</f>
        <v>-</v>
      </c>
      <c r="Y608" t="str">
        <f>IFERROR(__xludf.DUMMYFUNCTION("""COMPUTED_VALUE"""),"-")</f>
        <v>-</v>
      </c>
      <c r="Z608" t="str">
        <f>IFERROR(__xludf.DUMMYFUNCTION("""COMPUTED_VALUE"""),"-")</f>
        <v>-</v>
      </c>
      <c r="AA608" t="str">
        <f>IFERROR(__xludf.DUMMYFUNCTION("""COMPUTED_VALUE"""),"-")</f>
        <v>-</v>
      </c>
    </row>
    <row r="609">
      <c r="A609" t="str">
        <f>IFERROR(__xludf.DUMMYFUNCTION("""COMPUTED_VALUE"""),"#608")</f>
        <v>#608</v>
      </c>
      <c r="B609" t="str">
        <f>IFERROR(__xludf.DUMMYFUNCTION("""COMPUTED_VALUE"""),"Pascale Fontenel-Personne")</f>
        <v>Pascale Fontenel-Personne</v>
      </c>
      <c r="C609">
        <f>IFERROR(__xludf.DUMMYFUNCTION("""COMPUTED_VALUE"""),44.0)</f>
        <v>44</v>
      </c>
      <c r="D609" t="str">
        <f>IFERROR(__xludf.DUMMYFUNCTION("""COMPUTED_VALUE"""),"-")</f>
        <v>-</v>
      </c>
      <c r="E609" t="str">
        <f>IFERROR(__xludf.DUMMYFUNCTION("""COMPUTED_VALUE"""),"-")</f>
        <v>-</v>
      </c>
      <c r="F609" t="str">
        <f>IFERROR(__xludf.DUMMYFUNCTION("""COMPUTED_VALUE"""),"-")</f>
        <v>-</v>
      </c>
      <c r="G609" t="str">
        <f>IFERROR(__xludf.DUMMYFUNCTION("""COMPUTED_VALUE"""),"-")</f>
        <v>-</v>
      </c>
      <c r="H609" t="str">
        <f>IFERROR(__xludf.DUMMYFUNCTION("""COMPUTED_VALUE"""),"-")</f>
        <v>-</v>
      </c>
      <c r="I609" t="str">
        <f>IFERROR(__xludf.DUMMYFUNCTION("""COMPUTED_VALUE"""),"-")</f>
        <v>-</v>
      </c>
      <c r="J609" t="str">
        <f>IFERROR(__xludf.DUMMYFUNCTION("""COMPUTED_VALUE"""),"-")</f>
        <v>-</v>
      </c>
      <c r="K609" t="str">
        <f>IFERROR(__xludf.DUMMYFUNCTION("""COMPUTED_VALUE"""),"-")</f>
        <v>-</v>
      </c>
      <c r="L609" t="str">
        <f>IFERROR(__xludf.DUMMYFUNCTION("""COMPUTED_VALUE"""),"-")</f>
        <v>-</v>
      </c>
      <c r="M609" t="str">
        <f>IFERROR(__xludf.DUMMYFUNCTION("""COMPUTED_VALUE"""),"-")</f>
        <v>-</v>
      </c>
      <c r="O609" t="str">
        <f>IFERROR(__xludf.DUMMYFUNCTION("""COMPUTED_VALUE"""),"#608")</f>
        <v>#608</v>
      </c>
      <c r="P609" t="str">
        <f>IFERROR(__xludf.DUMMYFUNCTION("""COMPUTED_VALUE"""),"Pascale Fontenel-Personne")</f>
        <v>Pascale Fontenel-Personne</v>
      </c>
      <c r="Q609">
        <f>IFERROR(__xludf.DUMMYFUNCTION("""COMPUTED_VALUE"""),44.0)</f>
        <v>44</v>
      </c>
      <c r="R609" t="str">
        <f>IFERROR(__xludf.DUMMYFUNCTION("""COMPUTED_VALUE"""),"-")</f>
        <v>-</v>
      </c>
      <c r="S609" t="str">
        <f>IFERROR(__xludf.DUMMYFUNCTION("""COMPUTED_VALUE"""),"-")</f>
        <v>-</v>
      </c>
      <c r="T609" t="str">
        <f>IFERROR(__xludf.DUMMYFUNCTION("""COMPUTED_VALUE"""),"-")</f>
        <v>-</v>
      </c>
      <c r="U609" t="str">
        <f>IFERROR(__xludf.DUMMYFUNCTION("""COMPUTED_VALUE"""),"-")</f>
        <v>-</v>
      </c>
      <c r="V609" t="str">
        <f>IFERROR(__xludf.DUMMYFUNCTION("""COMPUTED_VALUE"""),"-")</f>
        <v>-</v>
      </c>
      <c r="W609" t="str">
        <f>IFERROR(__xludf.DUMMYFUNCTION("""COMPUTED_VALUE"""),"-")</f>
        <v>-</v>
      </c>
      <c r="X609" t="str">
        <f>IFERROR(__xludf.DUMMYFUNCTION("""COMPUTED_VALUE"""),"-")</f>
        <v>-</v>
      </c>
      <c r="Y609" t="str">
        <f>IFERROR(__xludf.DUMMYFUNCTION("""COMPUTED_VALUE"""),"-")</f>
        <v>-</v>
      </c>
      <c r="Z609" t="str">
        <f>IFERROR(__xludf.DUMMYFUNCTION("""COMPUTED_VALUE"""),"-")</f>
        <v>-</v>
      </c>
      <c r="AA609" t="str">
        <f>IFERROR(__xludf.DUMMYFUNCTION("""COMPUTED_VALUE"""),"-")</f>
        <v>-</v>
      </c>
    </row>
    <row r="610">
      <c r="A610" t="str">
        <f>IFERROR(__xludf.DUMMYFUNCTION("""COMPUTED_VALUE"""),"#609")</f>
        <v>#609</v>
      </c>
      <c r="B610" t="str">
        <f>IFERROR(__xludf.DUMMYFUNCTION("""COMPUTED_VALUE"""),"Christian Kert")</f>
        <v>Christian Kert</v>
      </c>
      <c r="C610">
        <f>IFERROR(__xludf.DUMMYFUNCTION("""COMPUTED_VALUE"""),24.0)</f>
        <v>24</v>
      </c>
      <c r="D610" t="str">
        <f>IFERROR(__xludf.DUMMYFUNCTION("""COMPUTED_VALUE"""),"-")</f>
        <v>-</v>
      </c>
      <c r="E610" t="str">
        <f>IFERROR(__xludf.DUMMYFUNCTION("""COMPUTED_VALUE"""),"-")</f>
        <v>-</v>
      </c>
      <c r="F610" t="str">
        <f>IFERROR(__xludf.DUMMYFUNCTION("""COMPUTED_VALUE"""),"-")</f>
        <v>-</v>
      </c>
      <c r="G610" t="str">
        <f>IFERROR(__xludf.DUMMYFUNCTION("""COMPUTED_VALUE"""),"-")</f>
        <v>-</v>
      </c>
      <c r="H610" t="str">
        <f>IFERROR(__xludf.DUMMYFUNCTION("""COMPUTED_VALUE"""),"-")</f>
        <v>-</v>
      </c>
      <c r="I610" t="str">
        <f>IFERROR(__xludf.DUMMYFUNCTION("""COMPUTED_VALUE"""),"-")</f>
        <v>-</v>
      </c>
      <c r="J610" t="str">
        <f>IFERROR(__xludf.DUMMYFUNCTION("""COMPUTED_VALUE"""),"-")</f>
        <v>-</v>
      </c>
      <c r="K610" t="str">
        <f>IFERROR(__xludf.DUMMYFUNCTION("""COMPUTED_VALUE"""),"-")</f>
        <v>-</v>
      </c>
      <c r="L610" t="str">
        <f>IFERROR(__xludf.DUMMYFUNCTION("""COMPUTED_VALUE"""),"-")</f>
        <v>-</v>
      </c>
      <c r="M610" t="str">
        <f>IFERROR(__xludf.DUMMYFUNCTION("""COMPUTED_VALUE"""),"-")</f>
        <v>-</v>
      </c>
      <c r="O610" t="str">
        <f>IFERROR(__xludf.DUMMYFUNCTION("""COMPUTED_VALUE"""),"#609")</f>
        <v>#609</v>
      </c>
      <c r="P610" t="str">
        <f>IFERROR(__xludf.DUMMYFUNCTION("""COMPUTED_VALUE"""),"Christian Kert")</f>
        <v>Christian Kert</v>
      </c>
      <c r="Q610">
        <f>IFERROR(__xludf.DUMMYFUNCTION("""COMPUTED_VALUE"""),24.0)</f>
        <v>24</v>
      </c>
      <c r="R610" t="str">
        <f>IFERROR(__xludf.DUMMYFUNCTION("""COMPUTED_VALUE"""),"-")</f>
        <v>-</v>
      </c>
      <c r="S610" t="str">
        <f>IFERROR(__xludf.DUMMYFUNCTION("""COMPUTED_VALUE"""),"-")</f>
        <v>-</v>
      </c>
      <c r="T610" t="str">
        <f>IFERROR(__xludf.DUMMYFUNCTION("""COMPUTED_VALUE"""),"-")</f>
        <v>-</v>
      </c>
      <c r="U610" t="str">
        <f>IFERROR(__xludf.DUMMYFUNCTION("""COMPUTED_VALUE"""),"-")</f>
        <v>-</v>
      </c>
      <c r="V610" t="str">
        <f>IFERROR(__xludf.DUMMYFUNCTION("""COMPUTED_VALUE"""),"-")</f>
        <v>-</v>
      </c>
      <c r="W610" t="str">
        <f>IFERROR(__xludf.DUMMYFUNCTION("""COMPUTED_VALUE"""),"-")</f>
        <v>-</v>
      </c>
      <c r="X610" t="str">
        <f>IFERROR(__xludf.DUMMYFUNCTION("""COMPUTED_VALUE"""),"-")</f>
        <v>-</v>
      </c>
      <c r="Y610" t="str">
        <f>IFERROR(__xludf.DUMMYFUNCTION("""COMPUTED_VALUE"""),"-")</f>
        <v>-</v>
      </c>
      <c r="Z610" t="str">
        <f>IFERROR(__xludf.DUMMYFUNCTION("""COMPUTED_VALUE"""),"-")</f>
        <v>-</v>
      </c>
      <c r="AA610" t="str">
        <f>IFERROR(__xludf.DUMMYFUNCTION("""COMPUTED_VALUE"""),"-")</f>
        <v>-</v>
      </c>
    </row>
    <row r="611">
      <c r="A611" t="str">
        <f>IFERROR(__xludf.DUMMYFUNCTION("""COMPUTED_VALUE"""),"#610")</f>
        <v>#610</v>
      </c>
      <c r="B611" t="str">
        <f>IFERROR(__xludf.DUMMYFUNCTION("""COMPUTED_VALUE"""),"André Jacques")</f>
        <v>André Jacques</v>
      </c>
      <c r="C611">
        <f>IFERROR(__xludf.DUMMYFUNCTION("""COMPUTED_VALUE"""),20.0)</f>
        <v>20</v>
      </c>
      <c r="D611" t="str">
        <f>IFERROR(__xludf.DUMMYFUNCTION("""COMPUTED_VALUE"""),"-")</f>
        <v>-</v>
      </c>
      <c r="E611" t="str">
        <f>IFERROR(__xludf.DUMMYFUNCTION("""COMPUTED_VALUE"""),"-")</f>
        <v>-</v>
      </c>
      <c r="F611" t="str">
        <f>IFERROR(__xludf.DUMMYFUNCTION("""COMPUTED_VALUE"""),"-")</f>
        <v>-</v>
      </c>
      <c r="G611" t="str">
        <f>IFERROR(__xludf.DUMMYFUNCTION("""COMPUTED_VALUE"""),"-")</f>
        <v>-</v>
      </c>
      <c r="H611" t="str">
        <f>IFERROR(__xludf.DUMMYFUNCTION("""COMPUTED_VALUE"""),"-")</f>
        <v>-</v>
      </c>
      <c r="I611" t="str">
        <f>IFERROR(__xludf.DUMMYFUNCTION("""COMPUTED_VALUE"""),"-")</f>
        <v>-</v>
      </c>
      <c r="J611" t="str">
        <f>IFERROR(__xludf.DUMMYFUNCTION("""COMPUTED_VALUE"""),"-")</f>
        <v>-</v>
      </c>
      <c r="K611" t="str">
        <f>IFERROR(__xludf.DUMMYFUNCTION("""COMPUTED_VALUE"""),"-")</f>
        <v>-</v>
      </c>
      <c r="L611" t="str">
        <f>IFERROR(__xludf.DUMMYFUNCTION("""COMPUTED_VALUE"""),"-")</f>
        <v>-</v>
      </c>
      <c r="M611" t="str">
        <f>IFERROR(__xludf.DUMMYFUNCTION("""COMPUTED_VALUE"""),"-")</f>
        <v>-</v>
      </c>
      <c r="O611" t="str">
        <f>IFERROR(__xludf.DUMMYFUNCTION("""COMPUTED_VALUE"""),"#610")</f>
        <v>#610</v>
      </c>
      <c r="P611" t="str">
        <f>IFERROR(__xludf.DUMMYFUNCTION("""COMPUTED_VALUE"""),"André Jacques")</f>
        <v>André Jacques</v>
      </c>
      <c r="Q611">
        <f>IFERROR(__xludf.DUMMYFUNCTION("""COMPUTED_VALUE"""),20.0)</f>
        <v>20</v>
      </c>
      <c r="R611" t="str">
        <f>IFERROR(__xludf.DUMMYFUNCTION("""COMPUTED_VALUE"""),"-")</f>
        <v>-</v>
      </c>
      <c r="S611" t="str">
        <f>IFERROR(__xludf.DUMMYFUNCTION("""COMPUTED_VALUE"""),"-")</f>
        <v>-</v>
      </c>
      <c r="T611" t="str">
        <f>IFERROR(__xludf.DUMMYFUNCTION("""COMPUTED_VALUE"""),"-")</f>
        <v>-</v>
      </c>
      <c r="U611" t="str">
        <f>IFERROR(__xludf.DUMMYFUNCTION("""COMPUTED_VALUE"""),"-")</f>
        <v>-</v>
      </c>
      <c r="V611" t="str">
        <f>IFERROR(__xludf.DUMMYFUNCTION("""COMPUTED_VALUE"""),"-")</f>
        <v>-</v>
      </c>
      <c r="W611" t="str">
        <f>IFERROR(__xludf.DUMMYFUNCTION("""COMPUTED_VALUE"""),"-")</f>
        <v>-</v>
      </c>
      <c r="X611" t="str">
        <f>IFERROR(__xludf.DUMMYFUNCTION("""COMPUTED_VALUE"""),"-")</f>
        <v>-</v>
      </c>
      <c r="Y611" t="str">
        <f>IFERROR(__xludf.DUMMYFUNCTION("""COMPUTED_VALUE"""),"-")</f>
        <v>-</v>
      </c>
      <c r="Z611" t="str">
        <f>IFERROR(__xludf.DUMMYFUNCTION("""COMPUTED_VALUE"""),"-")</f>
        <v>-</v>
      </c>
      <c r="AA611" t="str">
        <f>IFERROR(__xludf.DUMMYFUNCTION("""COMPUTED_VALUE"""),"-")</f>
        <v>-</v>
      </c>
    </row>
    <row r="612">
      <c r="A612" t="str">
        <f>IFERROR(__xludf.DUMMYFUNCTION("""COMPUTED_VALUE"""),"#611")</f>
        <v>#611</v>
      </c>
      <c r="B612" t="str">
        <f>IFERROR(__xludf.DUMMYFUNCTION("""COMPUTED_VALUE"""),"Danielle Simonnet")</f>
        <v>Danielle Simonnet</v>
      </c>
      <c r="C612">
        <f>IFERROR(__xludf.DUMMYFUNCTION("""COMPUTED_VALUE"""),18.0)</f>
        <v>18</v>
      </c>
      <c r="D612" t="str">
        <f>IFERROR(__xludf.DUMMYFUNCTION("""COMPUTED_VALUE"""),"-")</f>
        <v>-</v>
      </c>
      <c r="E612" t="str">
        <f>IFERROR(__xludf.DUMMYFUNCTION("""COMPUTED_VALUE"""),"-")</f>
        <v>-</v>
      </c>
      <c r="F612" t="str">
        <f>IFERROR(__xludf.DUMMYFUNCTION("""COMPUTED_VALUE"""),"-")</f>
        <v>-</v>
      </c>
      <c r="G612" t="str">
        <f>IFERROR(__xludf.DUMMYFUNCTION("""COMPUTED_VALUE"""),"-")</f>
        <v>-</v>
      </c>
      <c r="H612" t="str">
        <f>IFERROR(__xludf.DUMMYFUNCTION("""COMPUTED_VALUE"""),"-")</f>
        <v>-</v>
      </c>
      <c r="I612" t="str">
        <f>IFERROR(__xludf.DUMMYFUNCTION("""COMPUTED_VALUE"""),"-")</f>
        <v>-</v>
      </c>
      <c r="J612" t="str">
        <f>IFERROR(__xludf.DUMMYFUNCTION("""COMPUTED_VALUE"""),"-")</f>
        <v>-</v>
      </c>
      <c r="K612" t="str">
        <f>IFERROR(__xludf.DUMMYFUNCTION("""COMPUTED_VALUE"""),"-")</f>
        <v>-</v>
      </c>
      <c r="L612" t="str">
        <f>IFERROR(__xludf.DUMMYFUNCTION("""COMPUTED_VALUE"""),"-")</f>
        <v>-</v>
      </c>
      <c r="M612" t="str">
        <f>IFERROR(__xludf.DUMMYFUNCTION("""COMPUTED_VALUE"""),"-")</f>
        <v>-</v>
      </c>
      <c r="O612" t="str">
        <f>IFERROR(__xludf.DUMMYFUNCTION("""COMPUTED_VALUE"""),"#611")</f>
        <v>#611</v>
      </c>
      <c r="P612" t="str">
        <f>IFERROR(__xludf.DUMMYFUNCTION("""COMPUTED_VALUE"""),"Danielle Simonnet")</f>
        <v>Danielle Simonnet</v>
      </c>
      <c r="Q612">
        <f>IFERROR(__xludf.DUMMYFUNCTION("""COMPUTED_VALUE"""),18.0)</f>
        <v>18</v>
      </c>
      <c r="R612" t="str">
        <f>IFERROR(__xludf.DUMMYFUNCTION("""COMPUTED_VALUE"""),"-")</f>
        <v>-</v>
      </c>
      <c r="S612" t="str">
        <f>IFERROR(__xludf.DUMMYFUNCTION("""COMPUTED_VALUE"""),"-")</f>
        <v>-</v>
      </c>
      <c r="T612" t="str">
        <f>IFERROR(__xludf.DUMMYFUNCTION("""COMPUTED_VALUE"""),"-")</f>
        <v>-</v>
      </c>
      <c r="U612" t="str">
        <f>IFERROR(__xludf.DUMMYFUNCTION("""COMPUTED_VALUE"""),"-")</f>
        <v>-</v>
      </c>
      <c r="V612" t="str">
        <f>IFERROR(__xludf.DUMMYFUNCTION("""COMPUTED_VALUE"""),"-")</f>
        <v>-</v>
      </c>
      <c r="W612" t="str">
        <f>IFERROR(__xludf.DUMMYFUNCTION("""COMPUTED_VALUE"""),"-")</f>
        <v>-</v>
      </c>
      <c r="X612" t="str">
        <f>IFERROR(__xludf.DUMMYFUNCTION("""COMPUTED_VALUE"""),"-")</f>
        <v>-</v>
      </c>
      <c r="Y612" t="str">
        <f>IFERROR(__xludf.DUMMYFUNCTION("""COMPUTED_VALUE"""),"-")</f>
        <v>-</v>
      </c>
      <c r="Z612" t="str">
        <f>IFERROR(__xludf.DUMMYFUNCTION("""COMPUTED_VALUE"""),"-")</f>
        <v>-</v>
      </c>
      <c r="AA612" t="str">
        <f>IFERROR(__xludf.DUMMYFUNCTION("""COMPUTED_VALUE"""),"-")</f>
        <v>-</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v>2.0</v>
      </c>
      <c r="H1" s="10" t="s">
        <v>0</v>
      </c>
      <c r="I1" t="s">
        <v>158</v>
      </c>
      <c r="M1" t="s">
        <v>232</v>
      </c>
    </row>
    <row r="2">
      <c r="A2" s="14" t="str">
        <f>IFERROR(__xludf.DUMMYFUNCTION("importhtml(""https://fr.wikipedia.org/wiki/Jeux_olympiques_d%27été_de_1992"", ""table"",7)"),"Athlète")</f>
        <v>Athlète</v>
      </c>
      <c r="B2" s="14" t="str">
        <f>IFERROR(__xludf.DUMMYFUNCTION("""COMPUTED_VALUE"""),"Pays")</f>
        <v>Pays</v>
      </c>
      <c r="C2" s="14" t="str">
        <f>IFERROR(__xludf.DUMMYFUNCTION("""COMPUTED_VALUE"""),"Sport")</f>
        <v>Sport</v>
      </c>
      <c r="D2" s="14"/>
      <c r="E2" s="14"/>
      <c r="F2" s="14"/>
      <c r="G2" t="str">
        <f>IFERROR(__xludf.DUMMYFUNCTION("""COMPUTED_VALUE"""),"Total")</f>
        <v>Total</v>
      </c>
      <c r="H2">
        <v>1.0</v>
      </c>
      <c r="I2" t="s">
        <v>233</v>
      </c>
      <c r="J2" t="s">
        <v>234</v>
      </c>
      <c r="K2" t="s">
        <v>235</v>
      </c>
      <c r="L2">
        <v>29.0</v>
      </c>
      <c r="M2" t="s">
        <v>236</v>
      </c>
      <c r="O2" s="14" t="str">
        <f>IFERROR(__xludf.DUMMYFUNCTION("importhtml(""https://fr.wikipedia.org/wiki/Jeux_olympiques_d%27été_de_1992"", ""table"")"),"Rang")</f>
        <v>Rang</v>
      </c>
      <c r="P2" s="14" t="str">
        <f>IFERROR(__xludf.DUMMYFUNCTION("""COMPUTED_VALUE"""),"Pays")</f>
        <v>Pays</v>
      </c>
      <c r="Q2" s="14"/>
      <c r="R2" s="14"/>
      <c r="S2" s="14"/>
      <c r="T2" s="14" t="str">
        <f>IFERROR(__xludf.DUMMYFUNCTION("""COMPUTED_VALUE"""),"Total")</f>
        <v>Total</v>
      </c>
    </row>
    <row r="3">
      <c r="A3" s="15" t="str">
        <f>IFERROR(__xludf.DUMMYFUNCTION("""COMPUTED_VALUE"""),"Vitali Scherbo")</f>
        <v>Vitali Scherbo</v>
      </c>
      <c r="B3" s="14" t="str">
        <f>IFERROR(__xludf.DUMMYFUNCTION("""COMPUTED_VALUE"""),"Équipe unifiée aux Jeux olympiques")</f>
        <v>Équipe unifiée aux Jeux olympiques</v>
      </c>
      <c r="C3" s="14" t="str">
        <f>IFERROR(__xludf.DUMMYFUNCTION("""COMPUTED_VALUE"""),"Gymnastique")</f>
        <v>Gymnastique</v>
      </c>
      <c r="D3" s="14">
        <f>IFERROR(__xludf.DUMMYFUNCTION("""COMPUTED_VALUE"""),6.0)</f>
        <v>6</v>
      </c>
      <c r="E3" s="15">
        <f>IFERROR(__xludf.DUMMYFUNCTION("""COMPUTED_VALUE"""),0.0)</f>
        <v>0</v>
      </c>
      <c r="F3" s="14">
        <f>IFERROR(__xludf.DUMMYFUNCTION("""COMPUTED_VALUE"""),0.0)</f>
        <v>0</v>
      </c>
      <c r="G3" t="str">
        <f>IFERROR(__xludf.DUMMYFUNCTION("""COMPUTED_VALUE"""),"*6*")</f>
        <v>*6*</v>
      </c>
      <c r="H3">
        <v>2.0</v>
      </c>
      <c r="I3" t="s">
        <v>10</v>
      </c>
      <c r="J3">
        <v>37.0</v>
      </c>
      <c r="K3">
        <v>34.0</v>
      </c>
      <c r="L3" t="s">
        <v>237</v>
      </c>
      <c r="M3">
        <v>108.0</v>
      </c>
      <c r="O3" s="15">
        <f>IFERROR(__xludf.DUMMYFUNCTION("""COMPUTED_VALUE"""),1.0)</f>
        <v>1</v>
      </c>
      <c r="P3" s="14" t="str">
        <f>IFERROR(__xludf.DUMMYFUNCTION("""COMPUTED_VALUE"""),"Équipe unifiée aux Jeux olympiques")</f>
        <v>Équipe unifiée aux Jeux olympiques</v>
      </c>
      <c r="Q3" s="14" t="str">
        <f>IFERROR(__xludf.DUMMYFUNCTION("""COMPUTED_VALUE"""),"*45*")</f>
        <v>*45*</v>
      </c>
      <c r="R3" s="14" t="str">
        <f>IFERROR(__xludf.DUMMYFUNCTION("""COMPUTED_VALUE"""),"*38*")</f>
        <v>*38*</v>
      </c>
      <c r="S3" s="15">
        <f>IFERROR(__xludf.DUMMYFUNCTION("""COMPUTED_VALUE"""),29.0)</f>
        <v>29</v>
      </c>
      <c r="T3" s="14" t="str">
        <f>IFERROR(__xludf.DUMMYFUNCTION("""COMPUTED_VALUE"""),"*112*")</f>
        <v>*112*</v>
      </c>
    </row>
    <row r="4">
      <c r="A4" s="15" t="str">
        <f>IFERROR(__xludf.DUMMYFUNCTION("""COMPUTED_VALUE"""),"Krisztina Egerszegi")</f>
        <v>Krisztina Egerszegi</v>
      </c>
      <c r="B4" s="14" t="str">
        <f>IFERROR(__xludf.DUMMYFUNCTION("""COMPUTED_VALUE"""),"Hongrie")</f>
        <v>Hongrie</v>
      </c>
      <c r="C4" s="15" t="str">
        <f>IFERROR(__xludf.DUMMYFUNCTION("""COMPUTED_VALUE"""),"Natation")</f>
        <v>Natation</v>
      </c>
      <c r="D4" s="15">
        <f>IFERROR(__xludf.DUMMYFUNCTION("""COMPUTED_VALUE"""),3.0)</f>
        <v>3</v>
      </c>
      <c r="E4" s="14">
        <f>IFERROR(__xludf.DUMMYFUNCTION("""COMPUTED_VALUE"""),0.0)</f>
        <v>0</v>
      </c>
      <c r="F4" s="15">
        <f>IFERROR(__xludf.DUMMYFUNCTION("""COMPUTED_VALUE"""),0.0)</f>
        <v>0</v>
      </c>
      <c r="G4" t="str">
        <f>IFERROR(__xludf.DUMMYFUNCTION("""COMPUTED_VALUE"""),"*3*")</f>
        <v>*3*</v>
      </c>
      <c r="H4">
        <v>3.0</v>
      </c>
      <c r="I4" t="s">
        <v>238</v>
      </c>
      <c r="J4">
        <v>33.0</v>
      </c>
      <c r="K4">
        <v>21.0</v>
      </c>
      <c r="L4">
        <v>28.0</v>
      </c>
      <c r="M4">
        <v>82.0</v>
      </c>
      <c r="O4" s="15">
        <f>IFERROR(__xludf.DUMMYFUNCTION("""COMPUTED_VALUE"""),2.0)</f>
        <v>2</v>
      </c>
      <c r="P4" s="14" t="str">
        <f>IFERROR(__xludf.DUMMYFUNCTION("""COMPUTED_VALUE"""),"États-Unis")</f>
        <v>États-Unis</v>
      </c>
      <c r="Q4" s="15">
        <f>IFERROR(__xludf.DUMMYFUNCTION("""COMPUTED_VALUE"""),37.0)</f>
        <v>37</v>
      </c>
      <c r="R4" s="15">
        <f>IFERROR(__xludf.DUMMYFUNCTION("""COMPUTED_VALUE"""),34.0)</f>
        <v>34</v>
      </c>
      <c r="S4" s="14" t="str">
        <f>IFERROR(__xludf.DUMMYFUNCTION("""COMPUTED_VALUE"""),"*37*")</f>
        <v>*37*</v>
      </c>
      <c r="T4" s="15">
        <f>IFERROR(__xludf.DUMMYFUNCTION("""COMPUTED_VALUE"""),108.0)</f>
        <v>108</v>
      </c>
    </row>
    <row r="5">
      <c r="A5" s="15" t="str">
        <f>IFERROR(__xludf.DUMMYFUNCTION("""COMPUTED_VALUE"""),"Yevgeny Sadovyi")</f>
        <v>Yevgeny Sadovyi</v>
      </c>
      <c r="B5" s="14" t="str">
        <f>IFERROR(__xludf.DUMMYFUNCTION("""COMPUTED_VALUE"""),"Équipe unifiée aux Jeux olympiques")</f>
        <v>Équipe unifiée aux Jeux olympiques</v>
      </c>
      <c r="C5" s="15" t="str">
        <f>IFERROR(__xludf.DUMMYFUNCTION("""COMPUTED_VALUE"""),"Natation")</f>
        <v>Natation</v>
      </c>
      <c r="D5" s="15">
        <f>IFERROR(__xludf.DUMMYFUNCTION("""COMPUTED_VALUE"""),3.0)</f>
        <v>3</v>
      </c>
      <c r="E5" s="15">
        <f>IFERROR(__xludf.DUMMYFUNCTION("""COMPUTED_VALUE"""),0.0)</f>
        <v>0</v>
      </c>
      <c r="F5" s="15">
        <f>IFERROR(__xludf.DUMMYFUNCTION("""COMPUTED_VALUE"""),0.0)</f>
        <v>0</v>
      </c>
      <c r="G5" t="str">
        <f>IFERROR(__xludf.DUMMYFUNCTION("""COMPUTED_VALUE"""),"*3*")</f>
        <v>*3*</v>
      </c>
      <c r="H5">
        <v>4.0</v>
      </c>
      <c r="I5" t="s">
        <v>125</v>
      </c>
      <c r="J5">
        <v>16.0</v>
      </c>
      <c r="K5">
        <v>22.0</v>
      </c>
      <c r="L5">
        <v>16.0</v>
      </c>
      <c r="M5">
        <v>54.0</v>
      </c>
      <c r="O5" s="15">
        <f>IFERROR(__xludf.DUMMYFUNCTION("""COMPUTED_VALUE"""),3.0)</f>
        <v>3</v>
      </c>
      <c r="P5" s="14" t="str">
        <f>IFERROR(__xludf.DUMMYFUNCTION("""COMPUTED_VALUE"""),"Allemagne")</f>
        <v>Allemagne</v>
      </c>
      <c r="Q5" s="15">
        <f>IFERROR(__xludf.DUMMYFUNCTION("""COMPUTED_VALUE"""),33.0)</f>
        <v>33</v>
      </c>
      <c r="R5" s="15">
        <f>IFERROR(__xludf.DUMMYFUNCTION("""COMPUTED_VALUE"""),21.0)</f>
        <v>21</v>
      </c>
      <c r="S5" s="15">
        <f>IFERROR(__xludf.DUMMYFUNCTION("""COMPUTED_VALUE"""),28.0)</f>
        <v>28</v>
      </c>
      <c r="T5" s="15">
        <f>IFERROR(__xludf.DUMMYFUNCTION("""COMPUTED_VALUE"""),82.0)</f>
        <v>82</v>
      </c>
    </row>
    <row r="6">
      <c r="A6" s="15" t="str">
        <f>IFERROR(__xludf.DUMMYFUNCTION("""COMPUTED_VALUE"""),"Nicole Haislett")</f>
        <v>Nicole Haislett</v>
      </c>
      <c r="B6" s="14" t="str">
        <f>IFERROR(__xludf.DUMMYFUNCTION("""COMPUTED_VALUE"""),"États-Unis")</f>
        <v>États-Unis</v>
      </c>
      <c r="C6" s="15" t="str">
        <f>IFERROR(__xludf.DUMMYFUNCTION("""COMPUTED_VALUE"""),"Natation")</f>
        <v>Natation</v>
      </c>
      <c r="D6" s="15">
        <f>IFERROR(__xludf.DUMMYFUNCTION("""COMPUTED_VALUE"""),3.0)</f>
        <v>3</v>
      </c>
      <c r="E6" s="15">
        <f>IFERROR(__xludf.DUMMYFUNCTION("""COMPUTED_VALUE"""),0.0)</f>
        <v>0</v>
      </c>
      <c r="F6" s="15">
        <f>IFERROR(__xludf.DUMMYFUNCTION("""COMPUTED_VALUE"""),0.0)</f>
        <v>0</v>
      </c>
      <c r="G6" t="str">
        <f>IFERROR(__xludf.DUMMYFUNCTION("""COMPUTED_VALUE"""),"*3*")</f>
        <v>*3*</v>
      </c>
      <c r="H6">
        <v>5.0</v>
      </c>
      <c r="I6" t="s">
        <v>239</v>
      </c>
      <c r="J6" s="1">
        <v>1.0</v>
      </c>
      <c r="K6">
        <v>6.0</v>
      </c>
      <c r="L6">
        <v>11.0</v>
      </c>
      <c r="M6">
        <v>31.0</v>
      </c>
      <c r="O6" s="15">
        <f>IFERROR(__xludf.DUMMYFUNCTION("""COMPUTED_VALUE"""),4.0)</f>
        <v>4</v>
      </c>
      <c r="P6" s="14" t="str">
        <f>IFERROR(__xludf.DUMMYFUNCTION("""COMPUTED_VALUE"""),"Chine")</f>
        <v>Chine</v>
      </c>
      <c r="Q6" s="15">
        <f>IFERROR(__xludf.DUMMYFUNCTION("""COMPUTED_VALUE"""),16.0)</f>
        <v>16</v>
      </c>
      <c r="R6" s="15">
        <f>IFERROR(__xludf.DUMMYFUNCTION("""COMPUTED_VALUE"""),22.0)</f>
        <v>22</v>
      </c>
      <c r="S6" s="15">
        <f>IFERROR(__xludf.DUMMYFUNCTION("""COMPUTED_VALUE"""),16.0)</f>
        <v>16</v>
      </c>
      <c r="T6" s="15">
        <f>IFERROR(__xludf.DUMMYFUNCTION("""COMPUTED_VALUE"""),54.0)</f>
        <v>54</v>
      </c>
    </row>
    <row r="7">
      <c r="A7" s="15" t="str">
        <f>IFERROR(__xludf.DUMMYFUNCTION("""COMPUTED_VALUE"""),"Alexander Popov")</f>
        <v>Alexander Popov</v>
      </c>
      <c r="B7" s="14" t="str">
        <f>IFERROR(__xludf.DUMMYFUNCTION("""COMPUTED_VALUE"""),"Équipe unifiée aux Jeux olympiques")</f>
        <v>Équipe unifiée aux Jeux olympiques</v>
      </c>
      <c r="C7" s="15" t="str">
        <f>IFERROR(__xludf.DUMMYFUNCTION("""COMPUTED_VALUE"""),"Natation")</f>
        <v>Natation</v>
      </c>
      <c r="D7" s="15">
        <f>IFERROR(__xludf.DUMMYFUNCTION("""COMPUTED_VALUE"""),2.0)</f>
        <v>2</v>
      </c>
      <c r="E7" s="15">
        <f>IFERROR(__xludf.DUMMYFUNCTION("""COMPUTED_VALUE"""),2.0)</f>
        <v>2</v>
      </c>
      <c r="F7" s="15">
        <f>IFERROR(__xludf.DUMMYFUNCTION("""COMPUTED_VALUE"""),0.0)</f>
        <v>0</v>
      </c>
      <c r="G7" t="str">
        <f>IFERROR(__xludf.DUMMYFUNCTION("""COMPUTED_VALUE"""),"*4*")</f>
        <v>*4*</v>
      </c>
      <c r="H7">
        <v>6.0</v>
      </c>
      <c r="I7" t="s">
        <v>240</v>
      </c>
      <c r="J7">
        <v>13.0</v>
      </c>
      <c r="K7">
        <v>7.0</v>
      </c>
      <c r="L7">
        <v>2.0</v>
      </c>
      <c r="M7">
        <v>22.0</v>
      </c>
      <c r="O7" s="15">
        <f>IFERROR(__xludf.DUMMYFUNCTION("""COMPUTED_VALUE"""),5.0)</f>
        <v>5</v>
      </c>
      <c r="P7" s="14" t="str">
        <f>IFERROR(__xludf.DUMMYFUNCTION("""COMPUTED_VALUE"""),"Cuba")</f>
        <v>Cuba</v>
      </c>
      <c r="Q7" s="15">
        <f>IFERROR(__xludf.DUMMYFUNCTION("""COMPUTED_VALUE"""),14.0)</f>
        <v>14</v>
      </c>
      <c r="R7" s="15">
        <f>IFERROR(__xludf.DUMMYFUNCTION("""COMPUTED_VALUE"""),6.0)</f>
        <v>6</v>
      </c>
      <c r="S7" s="15">
        <f>IFERROR(__xludf.DUMMYFUNCTION("""COMPUTED_VALUE"""),11.0)</f>
        <v>11</v>
      </c>
      <c r="T7" s="15">
        <f>IFERROR(__xludf.DUMMYFUNCTION("""COMPUTED_VALUE"""),31.0)</f>
        <v>31</v>
      </c>
    </row>
    <row r="8">
      <c r="A8" s="15" t="str">
        <f>IFERROR(__xludf.DUMMYFUNCTION("""COMPUTED_VALUE"""),"Tatiana Gutsu")</f>
        <v>Tatiana Gutsu</v>
      </c>
      <c r="B8" s="14" t="str">
        <f>IFERROR(__xludf.DUMMYFUNCTION("""COMPUTED_VALUE"""),"Équipe unifiée aux Jeux olympiques")</f>
        <v>Équipe unifiée aux Jeux olympiques</v>
      </c>
      <c r="C8" s="15" t="str">
        <f>IFERROR(__xludf.DUMMYFUNCTION("""COMPUTED_VALUE"""),"Gymnastique")</f>
        <v>Gymnastique</v>
      </c>
      <c r="D8" s="15">
        <f>IFERROR(__xludf.DUMMYFUNCTION("""COMPUTED_VALUE"""),2.0)</f>
        <v>2</v>
      </c>
      <c r="E8" s="15">
        <f>IFERROR(__xludf.DUMMYFUNCTION("""COMPUTED_VALUE"""),1.0)</f>
        <v>1</v>
      </c>
      <c r="F8" s="15">
        <f>IFERROR(__xludf.DUMMYFUNCTION("""COMPUTED_VALUE"""),1.0)</f>
        <v>1</v>
      </c>
      <c r="G8" t="str">
        <f>IFERROR(__xludf.DUMMYFUNCTION("""COMPUTED_VALUE"""),"*4*")</f>
        <v>*4*</v>
      </c>
      <c r="H8">
        <v>7.0</v>
      </c>
      <c r="I8" t="s">
        <v>241</v>
      </c>
      <c r="J8">
        <v>12.0</v>
      </c>
      <c r="K8">
        <v>5.0</v>
      </c>
      <c r="L8">
        <v>12.0</v>
      </c>
      <c r="M8">
        <v>29.0</v>
      </c>
      <c r="O8" s="15">
        <f>IFERROR(__xludf.DUMMYFUNCTION("""COMPUTED_VALUE"""),6.0)</f>
        <v>6</v>
      </c>
      <c r="P8" s="14" t="str">
        <f>IFERROR(__xludf.DUMMYFUNCTION("""COMPUTED_VALUE"""),"Espagne")</f>
        <v>Espagne</v>
      </c>
      <c r="Q8" s="15">
        <f>IFERROR(__xludf.DUMMYFUNCTION("""COMPUTED_VALUE"""),13.0)</f>
        <v>13</v>
      </c>
      <c r="R8" s="15">
        <f>IFERROR(__xludf.DUMMYFUNCTION("""COMPUTED_VALUE"""),7.0)</f>
        <v>7</v>
      </c>
      <c r="S8" s="15">
        <f>IFERROR(__xludf.DUMMYFUNCTION("""COMPUTED_VALUE"""),2.0)</f>
        <v>2</v>
      </c>
      <c r="T8" s="15">
        <f>IFERROR(__xludf.DUMMYFUNCTION("""COMPUTED_VALUE"""),22.0)</f>
        <v>22</v>
      </c>
    </row>
    <row r="9">
      <c r="A9" s="15" t="str">
        <f>IFERROR(__xludf.DUMMYFUNCTION("""COMPUTED_VALUE"""),"Lavinia Milosovici")</f>
        <v>Lavinia Milosovici</v>
      </c>
      <c r="B9" s="14" t="str">
        <f>IFERROR(__xludf.DUMMYFUNCTION("""COMPUTED_VALUE"""),"Roumanie")</f>
        <v>Roumanie</v>
      </c>
      <c r="C9" s="15" t="str">
        <f>IFERROR(__xludf.DUMMYFUNCTION("""COMPUTED_VALUE"""),"Gymnastique")</f>
        <v>Gymnastique</v>
      </c>
      <c r="D9" s="15">
        <f>IFERROR(__xludf.DUMMYFUNCTION("""COMPUTED_VALUE"""),2.0)</f>
        <v>2</v>
      </c>
      <c r="E9" s="15">
        <f>IFERROR(__xludf.DUMMYFUNCTION("""COMPUTED_VALUE"""),1.0)</f>
        <v>1</v>
      </c>
      <c r="F9" s="15">
        <f>IFERROR(__xludf.DUMMYFUNCTION("""COMPUTED_VALUE"""),1.0)</f>
        <v>1</v>
      </c>
      <c r="G9" t="str">
        <f>IFERROR(__xludf.DUMMYFUNCTION("""COMPUTED_VALUE"""),"*4*")</f>
        <v>*4*</v>
      </c>
      <c r="H9">
        <v>8.0</v>
      </c>
      <c r="I9" t="s">
        <v>242</v>
      </c>
      <c r="J9">
        <v>11.0</v>
      </c>
      <c r="K9">
        <v>12.0</v>
      </c>
      <c r="L9">
        <v>7.0</v>
      </c>
      <c r="M9">
        <v>30.0</v>
      </c>
      <c r="O9" s="15">
        <f>IFERROR(__xludf.DUMMYFUNCTION("""COMPUTED_VALUE"""),7.0)</f>
        <v>7</v>
      </c>
      <c r="P9" s="14" t="str">
        <f>IFERROR(__xludf.DUMMYFUNCTION("""COMPUTED_VALUE"""),"Corée du Sud")</f>
        <v>Corée du Sud</v>
      </c>
      <c r="Q9" s="15">
        <f>IFERROR(__xludf.DUMMYFUNCTION("""COMPUTED_VALUE"""),12.0)</f>
        <v>12</v>
      </c>
      <c r="R9" s="15">
        <f>IFERROR(__xludf.DUMMYFUNCTION("""COMPUTED_VALUE"""),5.0)</f>
        <v>5</v>
      </c>
      <c r="S9" s="15">
        <f>IFERROR(__xludf.DUMMYFUNCTION("""COMPUTED_VALUE"""),12.0)</f>
        <v>12</v>
      </c>
      <c r="T9" s="15">
        <f>IFERROR(__xludf.DUMMYFUNCTION("""COMPUTED_VALUE"""),29.0)</f>
        <v>29</v>
      </c>
    </row>
    <row r="10">
      <c r="A10" s="15" t="str">
        <f>IFERROR(__xludf.DUMMYFUNCTION("""COMPUTED_VALUE"""),"Summer Sanders")</f>
        <v>Summer Sanders</v>
      </c>
      <c r="B10" s="14" t="str">
        <f>IFERROR(__xludf.DUMMYFUNCTION("""COMPUTED_VALUE"""),"États-Unis")</f>
        <v>États-Unis</v>
      </c>
      <c r="C10" s="15" t="str">
        <f>IFERROR(__xludf.DUMMYFUNCTION("""COMPUTED_VALUE"""),"Natation")</f>
        <v>Natation</v>
      </c>
      <c r="D10" s="15">
        <f>IFERROR(__xludf.DUMMYFUNCTION("""COMPUTED_VALUE"""),2.0)</f>
        <v>2</v>
      </c>
      <c r="E10" s="15">
        <f>IFERROR(__xludf.DUMMYFUNCTION("""COMPUTED_VALUE"""),1.0)</f>
        <v>1</v>
      </c>
      <c r="F10" s="15">
        <f>IFERROR(__xludf.DUMMYFUNCTION("""COMPUTED_VALUE"""),1.0)</f>
        <v>1</v>
      </c>
      <c r="G10" t="str">
        <f>IFERROR(__xludf.DUMMYFUNCTION("""COMPUTED_VALUE"""),"*4*")</f>
        <v>*4*</v>
      </c>
      <c r="H10">
        <v>9.0</v>
      </c>
      <c r="I10" t="s">
        <v>159</v>
      </c>
      <c r="J10">
        <v>8.0</v>
      </c>
      <c r="K10">
        <v>5.0</v>
      </c>
      <c r="L10">
        <v>16.0</v>
      </c>
      <c r="M10">
        <v>29.0</v>
      </c>
      <c r="O10" s="15">
        <f>IFERROR(__xludf.DUMMYFUNCTION("""COMPUTED_VALUE"""),8.0)</f>
        <v>8</v>
      </c>
      <c r="P10" s="14" t="str">
        <f>IFERROR(__xludf.DUMMYFUNCTION("""COMPUTED_VALUE"""),"Hongrie")</f>
        <v>Hongrie</v>
      </c>
      <c r="Q10" s="15">
        <f>IFERROR(__xludf.DUMMYFUNCTION("""COMPUTED_VALUE"""),11.0)</f>
        <v>11</v>
      </c>
      <c r="R10" s="15">
        <f>IFERROR(__xludf.DUMMYFUNCTION("""COMPUTED_VALUE"""),12.0)</f>
        <v>12</v>
      </c>
      <c r="S10" s="15">
        <f>IFERROR(__xludf.DUMMYFUNCTION("""COMPUTED_VALUE"""),7.0)</f>
        <v>7</v>
      </c>
      <c r="T10" s="15">
        <f>IFERROR(__xludf.DUMMYFUNCTION("""COMPUTED_VALUE"""),30.0)</f>
        <v>30</v>
      </c>
    </row>
    <row r="11">
      <c r="A11" s="15" t="str">
        <f>IFERROR(__xludf.DUMMYFUNCTION("""COMPUTED_VALUE"""),"Gwen Torrence")</f>
        <v>Gwen Torrence</v>
      </c>
      <c r="B11" s="14" t="str">
        <f>IFERROR(__xludf.DUMMYFUNCTION("""COMPUTED_VALUE"""),"États-Unis")</f>
        <v>États-Unis</v>
      </c>
      <c r="C11" s="15" t="str">
        <f>IFERROR(__xludf.DUMMYFUNCTION("""COMPUTED_VALUE"""),"Athlétisme")</f>
        <v>Athlétisme</v>
      </c>
      <c r="D11" s="15">
        <f>IFERROR(__xludf.DUMMYFUNCTION("""COMPUTED_VALUE"""),2.0)</f>
        <v>2</v>
      </c>
      <c r="E11" s="15">
        <f>IFERROR(__xludf.DUMMYFUNCTION("""COMPUTED_VALUE"""),1.0)</f>
        <v>1</v>
      </c>
      <c r="F11" s="15">
        <f>IFERROR(__xludf.DUMMYFUNCTION("""COMPUTED_VALUE"""),0.0)</f>
        <v>0</v>
      </c>
      <c r="G11" t="str">
        <f>IFERROR(__xludf.DUMMYFUNCTION("""COMPUTED_VALUE"""),"*3*")</f>
        <v>*3*</v>
      </c>
      <c r="H11">
        <v>10.0</v>
      </c>
      <c r="I11" t="s">
        <v>243</v>
      </c>
      <c r="J11">
        <v>7.0</v>
      </c>
      <c r="K11">
        <v>9.0</v>
      </c>
      <c r="L11">
        <v>11.0</v>
      </c>
      <c r="M11">
        <v>27.0</v>
      </c>
      <c r="O11" s="15">
        <f>IFERROR(__xludf.DUMMYFUNCTION("""COMPUTED_VALUE"""),9.0)</f>
        <v>9</v>
      </c>
      <c r="P11" s="14" t="str">
        <f>IFERROR(__xludf.DUMMYFUNCTION("""COMPUTED_VALUE"""),"France")</f>
        <v>France</v>
      </c>
      <c r="Q11" s="15">
        <f>IFERROR(__xludf.DUMMYFUNCTION("""COMPUTED_VALUE"""),8.0)</f>
        <v>8</v>
      </c>
      <c r="R11" s="15">
        <f>IFERROR(__xludf.DUMMYFUNCTION("""COMPUTED_VALUE"""),5.0)</f>
        <v>5</v>
      </c>
      <c r="S11" s="15">
        <f>IFERROR(__xludf.DUMMYFUNCTION("""COMPUTED_VALUE"""),16.0)</f>
        <v>16</v>
      </c>
      <c r="T11" s="15">
        <f>IFERROR(__xludf.DUMMYFUNCTION("""COMPUTED_VALUE"""),29.0)</f>
        <v>29</v>
      </c>
    </row>
    <row r="12">
      <c r="A12" s="15" t="str">
        <f>IFERROR(__xludf.DUMMYFUNCTION("""COMPUTED_VALUE"""),"Matt Biondi")</f>
        <v>Matt Biondi</v>
      </c>
      <c r="B12" s="14" t="str">
        <f>IFERROR(__xludf.DUMMYFUNCTION("""COMPUTED_VALUE"""),"États-Unis")</f>
        <v>États-Unis</v>
      </c>
      <c r="C12" s="15" t="str">
        <f>IFERROR(__xludf.DUMMYFUNCTION("""COMPUTED_VALUE"""),"Natation")</f>
        <v>Natation</v>
      </c>
      <c r="D12" s="15">
        <f>IFERROR(__xludf.DUMMYFUNCTION("""COMPUTED_VALUE"""),2.0)</f>
        <v>2</v>
      </c>
      <c r="E12" s="15">
        <f>IFERROR(__xludf.DUMMYFUNCTION("""COMPUTED_VALUE"""),1.0)</f>
        <v>1</v>
      </c>
      <c r="F12" s="15">
        <f>IFERROR(__xludf.DUMMYFUNCTION("""COMPUTED_VALUE"""),0.0)</f>
        <v>0</v>
      </c>
      <c r="G12" t="str">
        <f>IFERROR(__xludf.DUMMYFUNCTION("""COMPUTED_VALUE"""),"*3*")</f>
        <v>*3*</v>
      </c>
      <c r="O12" s="15">
        <f>IFERROR(__xludf.DUMMYFUNCTION("""COMPUTED_VALUE"""),10.0)</f>
        <v>10</v>
      </c>
      <c r="P12" s="14" t="str">
        <f>IFERROR(__xludf.DUMMYFUNCTION("""COMPUTED_VALUE"""),"Australie")</f>
        <v>Australie</v>
      </c>
      <c r="Q12" s="15">
        <f>IFERROR(__xludf.DUMMYFUNCTION("""COMPUTED_VALUE"""),7.0)</f>
        <v>7</v>
      </c>
      <c r="R12" s="15">
        <f>IFERROR(__xludf.DUMMYFUNCTION("""COMPUTED_VALUE"""),9.0)</f>
        <v>9</v>
      </c>
      <c r="S12" s="15">
        <f>IFERROR(__xludf.DUMMYFUNCTION("""COMPUTED_VALUE"""),11.0)</f>
        <v>11</v>
      </c>
      <c r="T12" s="15">
        <f>IFERROR(__xludf.DUMMYFUNCTION("""COMPUTED_VALUE"""),27.0)</f>
        <v>27</v>
      </c>
    </row>
    <row r="13">
      <c r="A13" t="str">
        <f>IFERROR(__xludf.DUMMYFUNCTION("""COMPUTED_VALUE"""),"Jenny Thompson")</f>
        <v>Jenny Thompson</v>
      </c>
      <c r="B13" t="str">
        <f>IFERROR(__xludf.DUMMYFUNCTION("""COMPUTED_VALUE"""),"États-Unis")</f>
        <v>États-Unis</v>
      </c>
      <c r="C13" t="str">
        <f>IFERROR(__xludf.DUMMYFUNCTION("""COMPUTED_VALUE"""),"Natation")</f>
        <v>Natation</v>
      </c>
      <c r="D13">
        <f>IFERROR(__xludf.DUMMYFUNCTION("""COMPUTED_VALUE"""),2.0)</f>
        <v>2</v>
      </c>
      <c r="E13">
        <f>IFERROR(__xludf.DUMMYFUNCTION("""COMPUTED_VALUE"""),1.0)</f>
        <v>1</v>
      </c>
      <c r="F13">
        <f>IFERROR(__xludf.DUMMYFUNCTION("""COMPUTED_VALUE"""),0.0)</f>
        <v>0</v>
      </c>
      <c r="G13" t="str">
        <f>IFERROR(__xludf.DUMMYFUNCTION("""COMPUTED_VALUE"""),"*3*")</f>
        <v>*3*</v>
      </c>
      <c r="O13">
        <f>IFERROR(__xludf.DUMMYFUNCTION("""COMPUTED_VALUE"""),11.0)</f>
        <v>11</v>
      </c>
      <c r="P13" t="str">
        <f>IFERROR(__xludf.DUMMYFUNCTION("""COMPUTED_VALUE"""),"Canada")</f>
        <v>Canada</v>
      </c>
      <c r="Q13">
        <f>IFERROR(__xludf.DUMMYFUNCTION("""COMPUTED_VALUE"""),7.0)</f>
        <v>7</v>
      </c>
      <c r="R13">
        <f>IFERROR(__xludf.DUMMYFUNCTION("""COMPUTED_VALUE"""),4.0)</f>
        <v>4</v>
      </c>
      <c r="S13">
        <f>IFERROR(__xludf.DUMMYFUNCTION("""COMPUTED_VALUE"""),7.0)</f>
        <v>7</v>
      </c>
      <c r="T13">
        <f>IFERROR(__xludf.DUMMYFUNCTION("""COMPUTED_VALUE"""),18.0)</f>
        <v>18</v>
      </c>
    </row>
    <row r="14">
      <c r="A14" t="str">
        <f>IFERROR(__xludf.DUMMYFUNCTION("""COMPUTED_VALUE"""),"Jon Olsen")</f>
        <v>Jon Olsen</v>
      </c>
      <c r="B14" t="str">
        <f>IFERROR(__xludf.DUMMYFUNCTION("""COMPUTED_VALUE"""),"États-Unis")</f>
        <v>États-Unis</v>
      </c>
      <c r="C14" t="str">
        <f>IFERROR(__xludf.DUMMYFUNCTION("""COMPUTED_VALUE"""),"Natation")</f>
        <v>Natation</v>
      </c>
      <c r="D14">
        <f>IFERROR(__xludf.DUMMYFUNCTION("""COMPUTED_VALUE"""),2.0)</f>
        <v>2</v>
      </c>
      <c r="E14">
        <f>IFERROR(__xludf.DUMMYFUNCTION("""COMPUTED_VALUE"""),0.0)</f>
        <v>0</v>
      </c>
      <c r="F14">
        <f>IFERROR(__xludf.DUMMYFUNCTION("""COMPUTED_VALUE"""),1.0)</f>
        <v>1</v>
      </c>
      <c r="G14" t="str">
        <f>IFERROR(__xludf.DUMMYFUNCTION("""COMPUTED_VALUE"""),"*3*")</f>
        <v>*3*</v>
      </c>
      <c r="I14" s="15">
        <v>1.0</v>
      </c>
      <c r="J14" s="14" t="s">
        <v>233</v>
      </c>
      <c r="K14" s="14" t="s">
        <v>234</v>
      </c>
      <c r="L14" s="14" t="s">
        <v>235</v>
      </c>
      <c r="M14" s="15">
        <v>29.0</v>
      </c>
      <c r="N14" s="14" t="s">
        <v>236</v>
      </c>
      <c r="O14">
        <f>IFERROR(__xludf.DUMMYFUNCTION("""COMPUTED_VALUE"""),12.0)</f>
        <v>12</v>
      </c>
      <c r="P14" t="str">
        <f>IFERROR(__xludf.DUMMYFUNCTION("""COMPUTED_VALUE"""),"Italie")</f>
        <v>Italie</v>
      </c>
      <c r="Q14">
        <f>IFERROR(__xludf.DUMMYFUNCTION("""COMPUTED_VALUE"""),6.0)</f>
        <v>6</v>
      </c>
      <c r="R14">
        <f>IFERROR(__xludf.DUMMYFUNCTION("""COMPUTED_VALUE"""),5.0)</f>
        <v>5</v>
      </c>
      <c r="S14">
        <f>IFERROR(__xludf.DUMMYFUNCTION("""COMPUTED_VALUE"""),8.0)</f>
        <v>8</v>
      </c>
      <c r="T14">
        <f>IFERROR(__xludf.DUMMYFUNCTION("""COMPUTED_VALUE"""),19.0)</f>
        <v>19</v>
      </c>
    </row>
    <row r="15">
      <c r="I15" s="15">
        <v>2.0</v>
      </c>
      <c r="J15" s="14" t="s">
        <v>10</v>
      </c>
      <c r="K15" s="15">
        <v>37.0</v>
      </c>
      <c r="L15" s="15">
        <v>34.0</v>
      </c>
      <c r="M15" s="14" t="s">
        <v>237</v>
      </c>
      <c r="N15" s="15">
        <v>108.0</v>
      </c>
      <c r="O15">
        <f>IFERROR(__xludf.DUMMYFUNCTION("""COMPUTED_VALUE"""),13.0)</f>
        <v>13</v>
      </c>
      <c r="P15" t="str">
        <f>IFERROR(__xludf.DUMMYFUNCTION("""COMPUTED_VALUE"""),"Royaume-Uni")</f>
        <v>Royaume-Uni</v>
      </c>
      <c r="Q15">
        <f>IFERROR(__xludf.DUMMYFUNCTION("""COMPUTED_VALUE"""),5.0)</f>
        <v>5</v>
      </c>
      <c r="R15">
        <f>IFERROR(__xludf.DUMMYFUNCTION("""COMPUTED_VALUE"""),3.0)</f>
        <v>3</v>
      </c>
      <c r="S15">
        <f>IFERROR(__xludf.DUMMYFUNCTION("""COMPUTED_VALUE"""),12.0)</f>
        <v>12</v>
      </c>
      <c r="T15">
        <f>IFERROR(__xludf.DUMMYFUNCTION("""COMPUTED_VALUE"""),20.0)</f>
        <v>20</v>
      </c>
    </row>
    <row r="16">
      <c r="I16" s="15">
        <v>3.0</v>
      </c>
      <c r="J16" s="14" t="s">
        <v>238</v>
      </c>
      <c r="K16" s="15">
        <v>33.0</v>
      </c>
      <c r="L16" s="15">
        <v>21.0</v>
      </c>
      <c r="M16" s="15">
        <v>28.0</v>
      </c>
      <c r="N16" s="15">
        <v>82.0</v>
      </c>
      <c r="O16">
        <f>IFERROR(__xludf.DUMMYFUNCTION("""COMPUTED_VALUE"""),14.0)</f>
        <v>14</v>
      </c>
      <c r="P16" t="str">
        <f>IFERROR(__xludf.DUMMYFUNCTION("""COMPUTED_VALUE"""),"Roumanie")</f>
        <v>Roumanie</v>
      </c>
      <c r="Q16">
        <f>IFERROR(__xludf.DUMMYFUNCTION("""COMPUTED_VALUE"""),4.0)</f>
        <v>4</v>
      </c>
      <c r="R16">
        <f>IFERROR(__xludf.DUMMYFUNCTION("""COMPUTED_VALUE"""),6.0)</f>
        <v>6</v>
      </c>
      <c r="S16">
        <f>IFERROR(__xludf.DUMMYFUNCTION("""COMPUTED_VALUE"""),8.0)</f>
        <v>8</v>
      </c>
      <c r="T16">
        <f>IFERROR(__xludf.DUMMYFUNCTION("""COMPUTED_VALUE"""),18.0)</f>
        <v>18</v>
      </c>
    </row>
    <row r="17">
      <c r="I17" s="15">
        <v>4.0</v>
      </c>
      <c r="J17" s="14" t="s">
        <v>125</v>
      </c>
      <c r="K17" s="15">
        <v>16.0</v>
      </c>
      <c r="L17" s="15">
        <v>22.0</v>
      </c>
      <c r="M17" s="15">
        <v>16.0</v>
      </c>
      <c r="N17" s="15">
        <v>54.0</v>
      </c>
      <c r="O17">
        <f>IFERROR(__xludf.DUMMYFUNCTION("""COMPUTED_VALUE"""),15.0)</f>
        <v>15</v>
      </c>
      <c r="P17" t="str">
        <f>IFERROR(__xludf.DUMMYFUNCTION("""COMPUTED_VALUE"""),"Tchécoslovaquie")</f>
        <v>Tchécoslovaquie</v>
      </c>
      <c r="Q17">
        <f>IFERROR(__xludf.DUMMYFUNCTION("""COMPUTED_VALUE"""),4.0)</f>
        <v>4</v>
      </c>
      <c r="R17">
        <f>IFERROR(__xludf.DUMMYFUNCTION("""COMPUTED_VALUE"""),2.0)</f>
        <v>2</v>
      </c>
      <c r="S17">
        <f>IFERROR(__xludf.DUMMYFUNCTION("""COMPUTED_VALUE"""),1.0)</f>
        <v>1</v>
      </c>
      <c r="T17">
        <f>IFERROR(__xludf.DUMMYFUNCTION("""COMPUTED_VALUE"""),7.0)</f>
        <v>7</v>
      </c>
    </row>
    <row r="18">
      <c r="I18" s="15">
        <v>5.0</v>
      </c>
      <c r="J18" s="14" t="s">
        <v>239</v>
      </c>
      <c r="K18" s="15">
        <v>14.0</v>
      </c>
      <c r="L18" s="15">
        <v>6.0</v>
      </c>
      <c r="M18" s="15">
        <v>11.0</v>
      </c>
      <c r="N18" s="15">
        <v>31.0</v>
      </c>
      <c r="O18">
        <f>IFERROR(__xludf.DUMMYFUNCTION("""COMPUTED_VALUE"""),16.0)</f>
        <v>16</v>
      </c>
      <c r="P18" t="str">
        <f>IFERROR(__xludf.DUMMYFUNCTION("""COMPUTED_VALUE"""),"Corée du Nord")</f>
        <v>Corée du Nord</v>
      </c>
      <c r="Q18">
        <f>IFERROR(__xludf.DUMMYFUNCTION("""COMPUTED_VALUE"""),4.0)</f>
        <v>4</v>
      </c>
      <c r="R18">
        <f>IFERROR(__xludf.DUMMYFUNCTION("""COMPUTED_VALUE"""),0.0)</f>
        <v>0</v>
      </c>
      <c r="S18">
        <f>IFERROR(__xludf.DUMMYFUNCTION("""COMPUTED_VALUE"""),5.0)</f>
        <v>5</v>
      </c>
      <c r="T18">
        <f>IFERROR(__xludf.DUMMYFUNCTION("""COMPUTED_VALUE"""),9.0)</f>
        <v>9</v>
      </c>
    </row>
    <row r="19">
      <c r="I19" s="15">
        <v>6.0</v>
      </c>
      <c r="J19" s="14" t="s">
        <v>240</v>
      </c>
      <c r="K19" s="15">
        <v>13.0</v>
      </c>
      <c r="L19" s="15">
        <v>7.0</v>
      </c>
      <c r="M19" s="15">
        <v>2.0</v>
      </c>
      <c r="N19" s="15">
        <v>22.0</v>
      </c>
      <c r="O19">
        <f>IFERROR(__xludf.DUMMYFUNCTION("""COMPUTED_VALUE"""),17.0)</f>
        <v>17</v>
      </c>
      <c r="P19" t="str">
        <f>IFERROR(__xludf.DUMMYFUNCTION("""COMPUTED_VALUE"""),"Japon")</f>
        <v>Japon</v>
      </c>
      <c r="Q19">
        <f>IFERROR(__xludf.DUMMYFUNCTION("""COMPUTED_VALUE"""),3.0)</f>
        <v>3</v>
      </c>
      <c r="R19">
        <f>IFERROR(__xludf.DUMMYFUNCTION("""COMPUTED_VALUE"""),8.0)</f>
        <v>8</v>
      </c>
      <c r="S19">
        <f>IFERROR(__xludf.DUMMYFUNCTION("""COMPUTED_VALUE"""),11.0)</f>
        <v>11</v>
      </c>
      <c r="T19">
        <f>IFERROR(__xludf.DUMMYFUNCTION("""COMPUTED_VALUE"""),22.0)</f>
        <v>22</v>
      </c>
    </row>
    <row r="20">
      <c r="I20" s="15">
        <v>7.0</v>
      </c>
      <c r="J20" s="14" t="s">
        <v>241</v>
      </c>
      <c r="K20" s="15">
        <v>12.0</v>
      </c>
      <c r="L20" s="15">
        <v>5.0</v>
      </c>
      <c r="M20" s="15">
        <v>12.0</v>
      </c>
      <c r="N20" s="15">
        <v>29.0</v>
      </c>
      <c r="O20">
        <f>IFERROR(__xludf.DUMMYFUNCTION("""COMPUTED_VALUE"""),18.0)</f>
        <v>18</v>
      </c>
      <c r="P20" t="str">
        <f>IFERROR(__xludf.DUMMYFUNCTION("""COMPUTED_VALUE"""),"Bulgarie")</f>
        <v>Bulgarie</v>
      </c>
      <c r="Q20">
        <f>IFERROR(__xludf.DUMMYFUNCTION("""COMPUTED_VALUE"""),3.0)</f>
        <v>3</v>
      </c>
      <c r="R20">
        <f>IFERROR(__xludf.DUMMYFUNCTION("""COMPUTED_VALUE"""),7.0)</f>
        <v>7</v>
      </c>
      <c r="S20">
        <f>IFERROR(__xludf.DUMMYFUNCTION("""COMPUTED_VALUE"""),6.0)</f>
        <v>6</v>
      </c>
      <c r="T20">
        <f>IFERROR(__xludf.DUMMYFUNCTION("""COMPUTED_VALUE"""),16.0)</f>
        <v>16</v>
      </c>
    </row>
    <row r="21">
      <c r="I21" s="15">
        <v>8.0</v>
      </c>
      <c r="J21" s="14" t="s">
        <v>242</v>
      </c>
      <c r="K21" s="15">
        <v>11.0</v>
      </c>
      <c r="L21" s="15">
        <v>12.0</v>
      </c>
      <c r="M21" s="15">
        <v>7.0</v>
      </c>
      <c r="N21" s="15">
        <v>30.0</v>
      </c>
      <c r="O21">
        <f>IFERROR(__xludf.DUMMYFUNCTION("""COMPUTED_VALUE"""),19.0)</f>
        <v>19</v>
      </c>
      <c r="P21" t="str">
        <f>IFERROR(__xludf.DUMMYFUNCTION("""COMPUTED_VALUE"""),"Pologne")</f>
        <v>Pologne</v>
      </c>
      <c r="Q21">
        <f>IFERROR(__xludf.DUMMYFUNCTION("""COMPUTED_VALUE"""),3.0)</f>
        <v>3</v>
      </c>
      <c r="R21">
        <f>IFERROR(__xludf.DUMMYFUNCTION("""COMPUTED_VALUE"""),6.0)</f>
        <v>6</v>
      </c>
      <c r="S21">
        <f>IFERROR(__xludf.DUMMYFUNCTION("""COMPUTED_VALUE"""),10.0)</f>
        <v>10</v>
      </c>
      <c r="T21">
        <f>IFERROR(__xludf.DUMMYFUNCTION("""COMPUTED_VALUE"""),19.0)</f>
        <v>19</v>
      </c>
    </row>
    <row r="22">
      <c r="I22" s="15">
        <v>9.0</v>
      </c>
      <c r="J22" s="14" t="s">
        <v>159</v>
      </c>
      <c r="K22" s="15">
        <v>8.0</v>
      </c>
      <c r="L22" s="15">
        <v>5.0</v>
      </c>
      <c r="M22" s="15">
        <v>16.0</v>
      </c>
      <c r="N22" s="15">
        <v>29.0</v>
      </c>
      <c r="O22">
        <f>IFERROR(__xludf.DUMMYFUNCTION("""COMPUTED_VALUE"""),20.0)</f>
        <v>20</v>
      </c>
      <c r="P22" t="str">
        <f>IFERROR(__xludf.DUMMYFUNCTION("""COMPUTED_VALUE"""),"Pays-Bas")</f>
        <v>Pays-Bas</v>
      </c>
      <c r="Q22">
        <f>IFERROR(__xludf.DUMMYFUNCTION("""COMPUTED_VALUE"""),2.0)</f>
        <v>2</v>
      </c>
      <c r="R22">
        <f>IFERROR(__xludf.DUMMYFUNCTION("""COMPUTED_VALUE"""),6.0)</f>
        <v>6</v>
      </c>
      <c r="S22">
        <f>IFERROR(__xludf.DUMMYFUNCTION("""COMPUTED_VALUE"""),7.0)</f>
        <v>7</v>
      </c>
      <c r="T22">
        <f>IFERROR(__xludf.DUMMYFUNCTION("""COMPUTED_VALUE"""),15.0)</f>
        <v>15</v>
      </c>
    </row>
    <row r="23">
      <c r="I23" s="15">
        <v>10.0</v>
      </c>
      <c r="J23" s="14" t="s">
        <v>243</v>
      </c>
      <c r="K23" s="15">
        <v>7.0</v>
      </c>
      <c r="L23" s="15">
        <v>9.0</v>
      </c>
      <c r="M23" s="15">
        <v>11.0</v>
      </c>
      <c r="N23" s="15">
        <v>27.0</v>
      </c>
      <c r="O23">
        <f>IFERROR(__xludf.DUMMYFUNCTION("""COMPUTED_VALUE"""),21.0)</f>
        <v>21</v>
      </c>
      <c r="P23" t="str">
        <f>IFERROR(__xludf.DUMMYFUNCTION("""COMPUTED_VALUE"""),"Kenya")</f>
        <v>Kenya</v>
      </c>
      <c r="Q23">
        <f>IFERROR(__xludf.DUMMYFUNCTION("""COMPUTED_VALUE"""),2.0)</f>
        <v>2</v>
      </c>
      <c r="R23">
        <f>IFERROR(__xludf.DUMMYFUNCTION("""COMPUTED_VALUE"""),4.0)</f>
        <v>4</v>
      </c>
      <c r="S23">
        <f>IFERROR(__xludf.DUMMYFUNCTION("""COMPUTED_VALUE"""),2.0)</f>
        <v>2</v>
      </c>
      <c r="T23">
        <f>IFERROR(__xludf.DUMMYFUNCTION("""COMPUTED_VALUE"""),8.0)</f>
        <v>8</v>
      </c>
    </row>
    <row r="24">
      <c r="O24">
        <f>IFERROR(__xludf.DUMMYFUNCTION("""COMPUTED_VALUE"""),22.0)</f>
        <v>22</v>
      </c>
      <c r="P24" t="str">
        <f>IFERROR(__xludf.DUMMYFUNCTION("""COMPUTED_VALUE"""),"Norvège")</f>
        <v>Norvège</v>
      </c>
      <c r="Q24">
        <f>IFERROR(__xludf.DUMMYFUNCTION("""COMPUTED_VALUE"""),2.0)</f>
        <v>2</v>
      </c>
      <c r="R24">
        <f>IFERROR(__xludf.DUMMYFUNCTION("""COMPUTED_VALUE"""),4.0)</f>
        <v>4</v>
      </c>
      <c r="S24">
        <f>IFERROR(__xludf.DUMMYFUNCTION("""COMPUTED_VALUE"""),1.0)</f>
        <v>1</v>
      </c>
      <c r="T24">
        <f>IFERROR(__xludf.DUMMYFUNCTION("""COMPUTED_VALUE"""),7.0)</f>
        <v>7</v>
      </c>
    </row>
    <row r="25">
      <c r="O25">
        <f>IFERROR(__xludf.DUMMYFUNCTION("""COMPUTED_VALUE"""),23.0)</f>
        <v>23</v>
      </c>
      <c r="P25" t="str">
        <f>IFERROR(__xludf.DUMMYFUNCTION("""COMPUTED_VALUE"""),"Turquie")</f>
        <v>Turquie</v>
      </c>
      <c r="Q25">
        <f>IFERROR(__xludf.DUMMYFUNCTION("""COMPUTED_VALUE"""),2.0)</f>
        <v>2</v>
      </c>
      <c r="R25">
        <f>IFERROR(__xludf.DUMMYFUNCTION("""COMPUTED_VALUE"""),2.0)</f>
        <v>2</v>
      </c>
      <c r="S25">
        <f>IFERROR(__xludf.DUMMYFUNCTION("""COMPUTED_VALUE"""),2.0)</f>
        <v>2</v>
      </c>
      <c r="T25">
        <f>IFERROR(__xludf.DUMMYFUNCTION("""COMPUTED_VALUE"""),6.0)</f>
        <v>6</v>
      </c>
    </row>
    <row r="26">
      <c r="O26">
        <f>IFERROR(__xludf.DUMMYFUNCTION("""COMPUTED_VALUE"""),24.0)</f>
        <v>24</v>
      </c>
      <c r="P26" t="str">
        <f>IFERROR(__xludf.DUMMYFUNCTION("""COMPUTED_VALUE"""),"Indonésie")</f>
        <v>Indonésie</v>
      </c>
      <c r="Q26">
        <f>IFERROR(__xludf.DUMMYFUNCTION("""COMPUTED_VALUE"""),2.0)</f>
        <v>2</v>
      </c>
      <c r="R26">
        <f>IFERROR(__xludf.DUMMYFUNCTION("""COMPUTED_VALUE"""),2.0)</f>
        <v>2</v>
      </c>
      <c r="S26">
        <f>IFERROR(__xludf.DUMMYFUNCTION("""COMPUTED_VALUE"""),1.0)</f>
        <v>1</v>
      </c>
      <c r="T26">
        <f>IFERROR(__xludf.DUMMYFUNCTION("""COMPUTED_VALUE"""),5.0)</f>
        <v>5</v>
      </c>
    </row>
    <row r="27">
      <c r="O27">
        <f>IFERROR(__xludf.DUMMYFUNCTION("""COMPUTED_VALUE"""),25.0)</f>
        <v>25</v>
      </c>
      <c r="P27" t="str">
        <f>IFERROR(__xludf.DUMMYFUNCTION("""COMPUTED_VALUE"""),"Brésil")</f>
        <v>Brésil</v>
      </c>
      <c r="Q27">
        <f>IFERROR(__xludf.DUMMYFUNCTION("""COMPUTED_VALUE"""),2.0)</f>
        <v>2</v>
      </c>
      <c r="R27">
        <f>IFERROR(__xludf.DUMMYFUNCTION("""COMPUTED_VALUE"""),1.0)</f>
        <v>1</v>
      </c>
      <c r="S27">
        <f>IFERROR(__xludf.DUMMYFUNCTION("""COMPUTED_VALUE"""),0.0)</f>
        <v>0</v>
      </c>
      <c r="T27">
        <f>IFERROR(__xludf.DUMMYFUNCTION("""COMPUTED_VALUE"""),3.0)</f>
        <v>3</v>
      </c>
    </row>
    <row r="28">
      <c r="O28">
        <f>IFERROR(__xludf.DUMMYFUNCTION("""COMPUTED_VALUE"""),26.0)</f>
        <v>26</v>
      </c>
      <c r="P28" t="str">
        <f>IFERROR(__xludf.DUMMYFUNCTION("""COMPUTED_VALUE"""),"Grèce")</f>
        <v>Grèce</v>
      </c>
      <c r="Q28">
        <f>IFERROR(__xludf.DUMMYFUNCTION("""COMPUTED_VALUE"""),2.0)</f>
        <v>2</v>
      </c>
      <c r="R28">
        <f>IFERROR(__xludf.DUMMYFUNCTION("""COMPUTED_VALUE"""),0.0)</f>
        <v>0</v>
      </c>
      <c r="S28">
        <f>IFERROR(__xludf.DUMMYFUNCTION("""COMPUTED_VALUE"""),0.0)</f>
        <v>0</v>
      </c>
      <c r="T28">
        <f>IFERROR(__xludf.DUMMYFUNCTION("""COMPUTED_VALUE"""),2.0)</f>
        <v>2</v>
      </c>
    </row>
    <row r="29">
      <c r="O29">
        <f>IFERROR(__xludf.DUMMYFUNCTION("""COMPUTED_VALUE"""),27.0)</f>
        <v>27</v>
      </c>
      <c r="P29" t="str">
        <f>IFERROR(__xludf.DUMMYFUNCTION("""COMPUTED_VALUE"""),"Suède")</f>
        <v>Suède</v>
      </c>
      <c r="Q29">
        <f>IFERROR(__xludf.DUMMYFUNCTION("""COMPUTED_VALUE"""),1.0)</f>
        <v>1</v>
      </c>
      <c r="R29">
        <f>IFERROR(__xludf.DUMMYFUNCTION("""COMPUTED_VALUE"""),7.0)</f>
        <v>7</v>
      </c>
      <c r="S29">
        <f>IFERROR(__xludf.DUMMYFUNCTION("""COMPUTED_VALUE"""),4.0)</f>
        <v>4</v>
      </c>
      <c r="T29">
        <f>IFERROR(__xludf.DUMMYFUNCTION("""COMPUTED_VALUE"""),12.0)</f>
        <v>12</v>
      </c>
    </row>
    <row r="30">
      <c r="O30">
        <f>IFERROR(__xludf.DUMMYFUNCTION("""COMPUTED_VALUE"""),28.0)</f>
        <v>28</v>
      </c>
      <c r="P30" t="str">
        <f>IFERROR(__xludf.DUMMYFUNCTION("""COMPUTED_VALUE"""),"Nouvelle-Zélande")</f>
        <v>Nouvelle-Zélande</v>
      </c>
      <c r="Q30">
        <f>IFERROR(__xludf.DUMMYFUNCTION("""COMPUTED_VALUE"""),1.0)</f>
        <v>1</v>
      </c>
      <c r="R30">
        <f>IFERROR(__xludf.DUMMYFUNCTION("""COMPUTED_VALUE"""),4.0)</f>
        <v>4</v>
      </c>
      <c r="S30">
        <f>IFERROR(__xludf.DUMMYFUNCTION("""COMPUTED_VALUE"""),5.0)</f>
        <v>5</v>
      </c>
      <c r="T30">
        <f>IFERROR(__xludf.DUMMYFUNCTION("""COMPUTED_VALUE"""),10.0)</f>
        <v>10</v>
      </c>
    </row>
    <row r="31">
      <c r="O31">
        <f>IFERROR(__xludf.DUMMYFUNCTION("""COMPUTED_VALUE"""),29.0)</f>
        <v>29</v>
      </c>
      <c r="P31" t="str">
        <f>IFERROR(__xludf.DUMMYFUNCTION("""COMPUTED_VALUE"""),"Finlande")</f>
        <v>Finlande</v>
      </c>
      <c r="Q31">
        <f>IFERROR(__xludf.DUMMYFUNCTION("""COMPUTED_VALUE"""),1.0)</f>
        <v>1</v>
      </c>
      <c r="R31">
        <f>IFERROR(__xludf.DUMMYFUNCTION("""COMPUTED_VALUE"""),2.0)</f>
        <v>2</v>
      </c>
      <c r="S31">
        <f>IFERROR(__xludf.DUMMYFUNCTION("""COMPUTED_VALUE"""),2.0)</f>
        <v>2</v>
      </c>
      <c r="T31">
        <f>IFERROR(__xludf.DUMMYFUNCTION("""COMPUTED_VALUE"""),5.0)</f>
        <v>5</v>
      </c>
    </row>
    <row r="32">
      <c r="O32">
        <f>IFERROR(__xludf.DUMMYFUNCTION("""COMPUTED_VALUE"""),30.0)</f>
        <v>30</v>
      </c>
      <c r="P32" t="str">
        <f>IFERROR(__xludf.DUMMYFUNCTION("""COMPUTED_VALUE"""),"Danemark")</f>
        <v>Danemark</v>
      </c>
      <c r="Q32">
        <f>IFERROR(__xludf.DUMMYFUNCTION("""COMPUTED_VALUE"""),1.0)</f>
        <v>1</v>
      </c>
      <c r="R32">
        <f>IFERROR(__xludf.DUMMYFUNCTION("""COMPUTED_VALUE"""),1.0)</f>
        <v>1</v>
      </c>
      <c r="S32">
        <f>IFERROR(__xludf.DUMMYFUNCTION("""COMPUTED_VALUE"""),4.0)</f>
        <v>4</v>
      </c>
      <c r="T32">
        <f>IFERROR(__xludf.DUMMYFUNCTION("""COMPUTED_VALUE"""),6.0)</f>
        <v>6</v>
      </c>
    </row>
    <row r="33">
      <c r="O33">
        <f>IFERROR(__xludf.DUMMYFUNCTION("""COMPUTED_VALUE"""),31.0)</f>
        <v>31</v>
      </c>
      <c r="P33" t="str">
        <f>IFERROR(__xludf.DUMMYFUNCTION("""COMPUTED_VALUE"""),"Maroc")</f>
        <v>Maroc</v>
      </c>
      <c r="Q33">
        <f>IFERROR(__xludf.DUMMYFUNCTION("""COMPUTED_VALUE"""),1.0)</f>
        <v>1</v>
      </c>
      <c r="R33">
        <f>IFERROR(__xludf.DUMMYFUNCTION("""COMPUTED_VALUE"""),1.0)</f>
        <v>1</v>
      </c>
      <c r="S33">
        <f>IFERROR(__xludf.DUMMYFUNCTION("""COMPUTED_VALUE"""),1.0)</f>
        <v>1</v>
      </c>
      <c r="T33">
        <f>IFERROR(__xludf.DUMMYFUNCTION("""COMPUTED_VALUE"""),3.0)</f>
        <v>3</v>
      </c>
    </row>
    <row r="34">
      <c r="O34">
        <f>IFERROR(__xludf.DUMMYFUNCTION("""COMPUTED_VALUE"""),32.0)</f>
        <v>32</v>
      </c>
      <c r="P34" t="str">
        <f>IFERROR(__xludf.DUMMYFUNCTION("""COMPUTED_VALUE"""),"Irlande")</f>
        <v>Irlande</v>
      </c>
      <c r="Q34">
        <f>IFERROR(__xludf.DUMMYFUNCTION("""COMPUTED_VALUE"""),1.0)</f>
        <v>1</v>
      </c>
      <c r="R34">
        <f>IFERROR(__xludf.DUMMYFUNCTION("""COMPUTED_VALUE"""),1.0)</f>
        <v>1</v>
      </c>
      <c r="S34">
        <f>IFERROR(__xludf.DUMMYFUNCTION("""COMPUTED_VALUE"""),0.0)</f>
        <v>0</v>
      </c>
      <c r="T34">
        <f>IFERROR(__xludf.DUMMYFUNCTION("""COMPUTED_VALUE"""),2.0)</f>
        <v>2</v>
      </c>
    </row>
    <row r="35">
      <c r="O35">
        <f>IFERROR(__xludf.DUMMYFUNCTION("""COMPUTED_VALUE"""),33.0)</f>
        <v>33</v>
      </c>
      <c r="P35" t="str">
        <f>IFERROR(__xludf.DUMMYFUNCTION("""COMPUTED_VALUE"""),"Éthiopie")</f>
        <v>Éthiopie</v>
      </c>
      <c r="Q35">
        <f>IFERROR(__xludf.DUMMYFUNCTION("""COMPUTED_VALUE"""),1.0)</f>
        <v>1</v>
      </c>
      <c r="R35">
        <f>IFERROR(__xludf.DUMMYFUNCTION("""COMPUTED_VALUE"""),0.0)</f>
        <v>0</v>
      </c>
      <c r="S35">
        <f>IFERROR(__xludf.DUMMYFUNCTION("""COMPUTED_VALUE"""),2.0)</f>
        <v>2</v>
      </c>
      <c r="T35">
        <f>IFERROR(__xludf.DUMMYFUNCTION("""COMPUTED_VALUE"""),3.0)</f>
        <v>3</v>
      </c>
    </row>
    <row r="36">
      <c r="O36">
        <f>IFERROR(__xludf.DUMMYFUNCTION("""COMPUTED_VALUE"""),34.0)</f>
        <v>34</v>
      </c>
      <c r="P36" t="str">
        <f>IFERROR(__xludf.DUMMYFUNCTION("""COMPUTED_VALUE"""),"Algérie")</f>
        <v>Algérie</v>
      </c>
      <c r="Q36">
        <f>IFERROR(__xludf.DUMMYFUNCTION("""COMPUTED_VALUE"""),1.0)</f>
        <v>1</v>
      </c>
      <c r="R36">
        <f>IFERROR(__xludf.DUMMYFUNCTION("""COMPUTED_VALUE"""),0.0)</f>
        <v>0</v>
      </c>
      <c r="S36">
        <f>IFERROR(__xludf.DUMMYFUNCTION("""COMPUTED_VALUE"""),1.0)</f>
        <v>1</v>
      </c>
      <c r="T36">
        <f>IFERROR(__xludf.DUMMYFUNCTION("""COMPUTED_VALUE"""),2.0)</f>
        <v>2</v>
      </c>
    </row>
    <row r="37">
      <c r="P37" t="str">
        <f>IFERROR(__xludf.DUMMYFUNCTION("""COMPUTED_VALUE"""),"Estonie")</f>
        <v>Estonie</v>
      </c>
      <c r="Q37">
        <f>IFERROR(__xludf.DUMMYFUNCTION("""COMPUTED_VALUE"""),1.0)</f>
        <v>1</v>
      </c>
      <c r="R37">
        <f>IFERROR(__xludf.DUMMYFUNCTION("""COMPUTED_VALUE"""),0.0)</f>
        <v>0</v>
      </c>
      <c r="S37">
        <f>IFERROR(__xludf.DUMMYFUNCTION("""COMPUTED_VALUE"""),1.0)</f>
        <v>1</v>
      </c>
      <c r="T37">
        <f>IFERROR(__xludf.DUMMYFUNCTION("""COMPUTED_VALUE"""),2.0)</f>
        <v>2</v>
      </c>
    </row>
    <row r="38">
      <c r="P38" t="str">
        <f>IFERROR(__xludf.DUMMYFUNCTION("""COMPUTED_VALUE"""),"Lituanie")</f>
        <v>Lituanie</v>
      </c>
      <c r="Q38">
        <f>IFERROR(__xludf.DUMMYFUNCTION("""COMPUTED_VALUE"""),1.0)</f>
        <v>1</v>
      </c>
      <c r="R38">
        <f>IFERROR(__xludf.DUMMYFUNCTION("""COMPUTED_VALUE"""),0.0)</f>
        <v>0</v>
      </c>
      <c r="S38">
        <f>IFERROR(__xludf.DUMMYFUNCTION("""COMPUTED_VALUE"""),1.0)</f>
        <v>1</v>
      </c>
      <c r="T38">
        <f>IFERROR(__xludf.DUMMYFUNCTION("""COMPUTED_VALUE"""),2.0)</f>
        <v>2</v>
      </c>
    </row>
    <row r="39">
      <c r="O39">
        <f>IFERROR(__xludf.DUMMYFUNCTION("""COMPUTED_VALUE"""),37.0)</f>
        <v>37</v>
      </c>
      <c r="P39" t="str">
        <f>IFERROR(__xludf.DUMMYFUNCTION("""COMPUTED_VALUE"""),"Suisse")</f>
        <v>Suisse</v>
      </c>
      <c r="Q39">
        <f>IFERROR(__xludf.DUMMYFUNCTION("""COMPUTED_VALUE"""),1.0)</f>
        <v>1</v>
      </c>
      <c r="R39">
        <f>IFERROR(__xludf.DUMMYFUNCTION("""COMPUTED_VALUE"""),0.0)</f>
        <v>0</v>
      </c>
      <c r="S39">
        <f>IFERROR(__xludf.DUMMYFUNCTION("""COMPUTED_VALUE"""),0.0)</f>
        <v>0</v>
      </c>
      <c r="T39">
        <f>IFERROR(__xludf.DUMMYFUNCTION("""COMPUTED_VALUE"""),1.0)</f>
        <v>1</v>
      </c>
    </row>
    <row r="40">
      <c r="O40">
        <f>IFERROR(__xludf.DUMMYFUNCTION("""COMPUTED_VALUE"""),38.0)</f>
        <v>38</v>
      </c>
      <c r="P40" t="str">
        <f>IFERROR(__xludf.DUMMYFUNCTION("""COMPUTED_VALUE"""),"Jamaïque")</f>
        <v>Jamaïque</v>
      </c>
      <c r="Q40">
        <f>IFERROR(__xludf.DUMMYFUNCTION("""COMPUTED_VALUE"""),0.0)</f>
        <v>0</v>
      </c>
      <c r="R40">
        <f>IFERROR(__xludf.DUMMYFUNCTION("""COMPUTED_VALUE"""),3.0)</f>
        <v>3</v>
      </c>
      <c r="S40">
        <f>IFERROR(__xludf.DUMMYFUNCTION("""COMPUTED_VALUE"""),1.0)</f>
        <v>1</v>
      </c>
      <c r="T40">
        <f>IFERROR(__xludf.DUMMYFUNCTION("""COMPUTED_VALUE"""),4.0)</f>
        <v>4</v>
      </c>
    </row>
    <row r="41">
      <c r="P41" t="str">
        <f>IFERROR(__xludf.DUMMYFUNCTION("""COMPUTED_VALUE"""),"Nigeria")</f>
        <v>Nigeria</v>
      </c>
      <c r="Q41">
        <f>IFERROR(__xludf.DUMMYFUNCTION("""COMPUTED_VALUE"""),0.0)</f>
        <v>0</v>
      </c>
      <c r="R41">
        <f>IFERROR(__xludf.DUMMYFUNCTION("""COMPUTED_VALUE"""),3.0)</f>
        <v>3</v>
      </c>
      <c r="S41">
        <f>IFERROR(__xludf.DUMMYFUNCTION("""COMPUTED_VALUE"""),1.0)</f>
        <v>1</v>
      </c>
      <c r="T41">
        <f>IFERROR(__xludf.DUMMYFUNCTION("""COMPUTED_VALUE"""),4.0)</f>
        <v>4</v>
      </c>
    </row>
    <row r="42">
      <c r="O42">
        <f>IFERROR(__xludf.DUMMYFUNCTION("""COMPUTED_VALUE"""),40.0)</f>
        <v>40</v>
      </c>
      <c r="P42" t="str">
        <f>IFERROR(__xludf.DUMMYFUNCTION("""COMPUTED_VALUE"""),"Lettonie")</f>
        <v>Lettonie</v>
      </c>
      <c r="Q42">
        <f>IFERROR(__xludf.DUMMYFUNCTION("""COMPUTED_VALUE"""),0.0)</f>
        <v>0</v>
      </c>
      <c r="R42">
        <f>IFERROR(__xludf.DUMMYFUNCTION("""COMPUTED_VALUE"""),2.0)</f>
        <v>2</v>
      </c>
      <c r="S42">
        <f>IFERROR(__xludf.DUMMYFUNCTION("""COMPUTED_VALUE"""),1.0)</f>
        <v>1</v>
      </c>
      <c r="T42">
        <f>IFERROR(__xludf.DUMMYFUNCTION("""COMPUTED_VALUE"""),3.0)</f>
        <v>3</v>
      </c>
    </row>
    <row r="43">
      <c r="O43">
        <f>IFERROR(__xludf.DUMMYFUNCTION("""COMPUTED_VALUE"""),41.0)</f>
        <v>41</v>
      </c>
      <c r="P43" t="str">
        <f>IFERROR(__xludf.DUMMYFUNCTION("""COMPUTED_VALUE"""),"Autriche")</f>
        <v>Autriche</v>
      </c>
      <c r="Q43">
        <f>IFERROR(__xludf.DUMMYFUNCTION("""COMPUTED_VALUE"""),0.0)</f>
        <v>0</v>
      </c>
      <c r="R43">
        <f>IFERROR(__xludf.DUMMYFUNCTION("""COMPUTED_VALUE"""),2.0)</f>
        <v>2</v>
      </c>
      <c r="S43">
        <f>IFERROR(__xludf.DUMMYFUNCTION("""COMPUTED_VALUE"""),0.0)</f>
        <v>0</v>
      </c>
      <c r="T43">
        <f>IFERROR(__xludf.DUMMYFUNCTION("""COMPUTED_VALUE"""),2.0)</f>
        <v>2</v>
      </c>
    </row>
    <row r="44">
      <c r="P44" t="str">
        <f>IFERROR(__xludf.DUMMYFUNCTION("""COMPUTED_VALUE"""),"Namibie")</f>
        <v>Namibie</v>
      </c>
      <c r="Q44">
        <f>IFERROR(__xludf.DUMMYFUNCTION("""COMPUTED_VALUE"""),0.0)</f>
        <v>0</v>
      </c>
      <c r="R44">
        <f>IFERROR(__xludf.DUMMYFUNCTION("""COMPUTED_VALUE"""),2.0)</f>
        <v>2</v>
      </c>
      <c r="S44">
        <f>IFERROR(__xludf.DUMMYFUNCTION("""COMPUTED_VALUE"""),0.0)</f>
        <v>0</v>
      </c>
      <c r="T44">
        <f>IFERROR(__xludf.DUMMYFUNCTION("""COMPUTED_VALUE"""),2.0)</f>
        <v>2</v>
      </c>
    </row>
    <row r="45">
      <c r="P45" t="str">
        <f>IFERROR(__xludf.DUMMYFUNCTION("""COMPUTED_VALUE"""),"Afrique du Sud")</f>
        <v>Afrique du Sud</v>
      </c>
      <c r="Q45">
        <f>IFERROR(__xludf.DUMMYFUNCTION("""COMPUTED_VALUE"""),0.0)</f>
        <v>0</v>
      </c>
      <c r="R45">
        <f>IFERROR(__xludf.DUMMYFUNCTION("""COMPUTED_VALUE"""),2.0)</f>
        <v>2</v>
      </c>
      <c r="S45">
        <f>IFERROR(__xludf.DUMMYFUNCTION("""COMPUTED_VALUE"""),0.0)</f>
        <v>0</v>
      </c>
      <c r="T45">
        <f>IFERROR(__xludf.DUMMYFUNCTION("""COMPUTED_VALUE"""),2.0)</f>
        <v>2</v>
      </c>
    </row>
    <row r="46">
      <c r="O46">
        <f>IFERROR(__xludf.DUMMYFUNCTION("""COMPUTED_VALUE"""),44.0)</f>
        <v>44</v>
      </c>
      <c r="P46" t="str">
        <f>IFERROR(__xludf.DUMMYFUNCTION("""COMPUTED_VALUE"""),"Belgique")</f>
        <v>Belgique</v>
      </c>
      <c r="Q46">
        <f>IFERROR(__xludf.DUMMYFUNCTION("""COMPUTED_VALUE"""),0.0)</f>
        <v>0</v>
      </c>
      <c r="R46">
        <f>IFERROR(__xludf.DUMMYFUNCTION("""COMPUTED_VALUE"""),1.0)</f>
        <v>1</v>
      </c>
      <c r="S46">
        <f>IFERROR(__xludf.DUMMYFUNCTION("""COMPUTED_VALUE"""),2.0)</f>
        <v>2</v>
      </c>
      <c r="T46">
        <f>IFERROR(__xludf.DUMMYFUNCTION("""COMPUTED_VALUE"""),3.0)</f>
        <v>3</v>
      </c>
    </row>
    <row r="47">
      <c r="P47" t="str">
        <f>IFERROR(__xludf.DUMMYFUNCTION("""COMPUTED_VALUE"""),"Croatie")</f>
        <v>Croatie</v>
      </c>
      <c r="Q47">
        <f>IFERROR(__xludf.DUMMYFUNCTION("""COMPUTED_VALUE"""),0.0)</f>
        <v>0</v>
      </c>
      <c r="R47">
        <f>IFERROR(__xludf.DUMMYFUNCTION("""COMPUTED_VALUE"""),1.0)</f>
        <v>1</v>
      </c>
      <c r="S47">
        <f>IFERROR(__xludf.DUMMYFUNCTION("""COMPUTED_VALUE"""),2.0)</f>
        <v>2</v>
      </c>
      <c r="T47">
        <f>IFERROR(__xludf.DUMMYFUNCTION("""COMPUTED_VALUE"""),3.0)</f>
        <v>3</v>
      </c>
    </row>
    <row r="48">
      <c r="P48" t="str">
        <f>IFERROR(__xludf.DUMMYFUNCTION("""COMPUTED_VALUE"""),"Indépendants[28]")</f>
        <v>Indépendants[28]</v>
      </c>
      <c r="Q48">
        <f>IFERROR(__xludf.DUMMYFUNCTION("""COMPUTED_VALUE"""),0.0)</f>
        <v>0</v>
      </c>
      <c r="R48">
        <f>IFERROR(__xludf.DUMMYFUNCTION("""COMPUTED_VALUE"""),1.0)</f>
        <v>1</v>
      </c>
      <c r="S48">
        <f>IFERROR(__xludf.DUMMYFUNCTION("""COMPUTED_VALUE"""),2.0)</f>
        <v>2</v>
      </c>
      <c r="T48">
        <f>IFERROR(__xludf.DUMMYFUNCTION("""COMPUTED_VALUE"""),3.0)</f>
        <v>3</v>
      </c>
    </row>
    <row r="49">
      <c r="P49" t="str">
        <f>IFERROR(__xludf.DUMMYFUNCTION("""COMPUTED_VALUE"""),"Iran")</f>
        <v>Iran</v>
      </c>
      <c r="Q49">
        <f>IFERROR(__xludf.DUMMYFUNCTION("""COMPUTED_VALUE"""),0.0)</f>
        <v>0</v>
      </c>
      <c r="R49">
        <f>IFERROR(__xludf.DUMMYFUNCTION("""COMPUTED_VALUE"""),1.0)</f>
        <v>1</v>
      </c>
      <c r="S49">
        <f>IFERROR(__xludf.DUMMYFUNCTION("""COMPUTED_VALUE"""),2.0)</f>
        <v>2</v>
      </c>
      <c r="T49">
        <f>IFERROR(__xludf.DUMMYFUNCTION("""COMPUTED_VALUE"""),3.0)</f>
        <v>3</v>
      </c>
    </row>
    <row r="50">
      <c r="O50">
        <f>IFERROR(__xludf.DUMMYFUNCTION("""COMPUTED_VALUE"""),48.0)</f>
        <v>48</v>
      </c>
      <c r="P50" t="str">
        <f>IFERROR(__xludf.DUMMYFUNCTION("""COMPUTED_VALUE"""),"Israël")</f>
        <v>Israël</v>
      </c>
      <c r="Q50">
        <f>IFERROR(__xludf.DUMMYFUNCTION("""COMPUTED_VALUE"""),0.0)</f>
        <v>0</v>
      </c>
      <c r="R50">
        <f>IFERROR(__xludf.DUMMYFUNCTION("""COMPUTED_VALUE"""),1.0)</f>
        <v>1</v>
      </c>
      <c r="S50">
        <f>IFERROR(__xludf.DUMMYFUNCTION("""COMPUTED_VALUE"""),1.0)</f>
        <v>1</v>
      </c>
      <c r="T50">
        <f>IFERROR(__xludf.DUMMYFUNCTION("""COMPUTED_VALUE"""),2.0)</f>
        <v>2</v>
      </c>
    </row>
    <row r="51">
      <c r="O51">
        <f>IFERROR(__xludf.DUMMYFUNCTION("""COMPUTED_VALUE"""),49.0)</f>
        <v>49</v>
      </c>
      <c r="P51" t="str">
        <f>IFERROR(__xludf.DUMMYFUNCTION("""COMPUTED_VALUE"""),"Taipei chinois")</f>
        <v>Taipei chinois</v>
      </c>
      <c r="Q51">
        <f>IFERROR(__xludf.DUMMYFUNCTION("""COMPUTED_VALUE"""),0.0)</f>
        <v>0</v>
      </c>
      <c r="R51">
        <f>IFERROR(__xludf.DUMMYFUNCTION("""COMPUTED_VALUE"""),1.0)</f>
        <v>1</v>
      </c>
      <c r="S51">
        <f>IFERROR(__xludf.DUMMYFUNCTION("""COMPUTED_VALUE"""),0.0)</f>
        <v>0</v>
      </c>
      <c r="T51">
        <f>IFERROR(__xludf.DUMMYFUNCTION("""COMPUTED_VALUE"""),1.0)</f>
        <v>1</v>
      </c>
    </row>
    <row r="52">
      <c r="P52" t="str">
        <f>IFERROR(__xludf.DUMMYFUNCTION("""COMPUTED_VALUE"""),"Mexique")</f>
        <v>Mexique</v>
      </c>
      <c r="Q52">
        <f>IFERROR(__xludf.DUMMYFUNCTION("""COMPUTED_VALUE"""),0.0)</f>
        <v>0</v>
      </c>
      <c r="R52">
        <f>IFERROR(__xludf.DUMMYFUNCTION("""COMPUTED_VALUE"""),1.0)</f>
        <v>1</v>
      </c>
      <c r="S52">
        <f>IFERROR(__xludf.DUMMYFUNCTION("""COMPUTED_VALUE"""),0.0)</f>
        <v>0</v>
      </c>
      <c r="T52">
        <f>IFERROR(__xludf.DUMMYFUNCTION("""COMPUTED_VALUE"""),1.0)</f>
        <v>1</v>
      </c>
    </row>
    <row r="53">
      <c r="P53" t="str">
        <f>IFERROR(__xludf.DUMMYFUNCTION("""COMPUTED_VALUE"""),"Pérou")</f>
        <v>Pérou</v>
      </c>
      <c r="Q53">
        <f>IFERROR(__xludf.DUMMYFUNCTION("""COMPUTED_VALUE"""),0.0)</f>
        <v>0</v>
      </c>
      <c r="R53">
        <f>IFERROR(__xludf.DUMMYFUNCTION("""COMPUTED_VALUE"""),1.0)</f>
        <v>1</v>
      </c>
      <c r="S53">
        <f>IFERROR(__xludf.DUMMYFUNCTION("""COMPUTED_VALUE"""),0.0)</f>
        <v>0</v>
      </c>
      <c r="T53">
        <f>IFERROR(__xludf.DUMMYFUNCTION("""COMPUTED_VALUE"""),1.0)</f>
        <v>1</v>
      </c>
    </row>
    <row r="54">
      <c r="O54">
        <f>IFERROR(__xludf.DUMMYFUNCTION("""COMPUTED_VALUE"""),52.0)</f>
        <v>52</v>
      </c>
      <c r="P54" t="str">
        <f>IFERROR(__xludf.DUMMYFUNCTION("""COMPUTED_VALUE"""),"Mongolie")</f>
        <v>Mongolie</v>
      </c>
      <c r="Q54">
        <f>IFERROR(__xludf.DUMMYFUNCTION("""COMPUTED_VALUE"""),0.0)</f>
        <v>0</v>
      </c>
      <c r="R54">
        <f>IFERROR(__xludf.DUMMYFUNCTION("""COMPUTED_VALUE"""),0.0)</f>
        <v>0</v>
      </c>
      <c r="S54">
        <f>IFERROR(__xludf.DUMMYFUNCTION("""COMPUTED_VALUE"""),2.0)</f>
        <v>2</v>
      </c>
      <c r="T54">
        <f>IFERROR(__xludf.DUMMYFUNCTION("""COMPUTED_VALUE"""),2.0)</f>
        <v>2</v>
      </c>
    </row>
    <row r="55">
      <c r="P55" t="str">
        <f>IFERROR(__xludf.DUMMYFUNCTION("""COMPUTED_VALUE"""),"Slovénie")</f>
        <v>Slovénie</v>
      </c>
      <c r="Q55">
        <f>IFERROR(__xludf.DUMMYFUNCTION("""COMPUTED_VALUE"""),0.0)</f>
        <v>0</v>
      </c>
      <c r="R55">
        <f>IFERROR(__xludf.DUMMYFUNCTION("""COMPUTED_VALUE"""),0.0)</f>
        <v>0</v>
      </c>
      <c r="S55">
        <f>IFERROR(__xludf.DUMMYFUNCTION("""COMPUTED_VALUE"""),2.0)</f>
        <v>2</v>
      </c>
      <c r="T55">
        <f>IFERROR(__xludf.DUMMYFUNCTION("""COMPUTED_VALUE"""),2.0)</f>
        <v>2</v>
      </c>
    </row>
    <row r="56">
      <c r="O56">
        <f>IFERROR(__xludf.DUMMYFUNCTION("""COMPUTED_VALUE"""),54.0)</f>
        <v>54</v>
      </c>
      <c r="P56" t="str">
        <f>IFERROR(__xludf.DUMMYFUNCTION("""COMPUTED_VALUE"""),"Argentine")</f>
        <v>Argentine</v>
      </c>
      <c r="Q56">
        <f>IFERROR(__xludf.DUMMYFUNCTION("""COMPUTED_VALUE"""),0.0)</f>
        <v>0</v>
      </c>
      <c r="R56">
        <f>IFERROR(__xludf.DUMMYFUNCTION("""COMPUTED_VALUE"""),0.0)</f>
        <v>0</v>
      </c>
      <c r="S56">
        <f>IFERROR(__xludf.DUMMYFUNCTION("""COMPUTED_VALUE"""),1.0)</f>
        <v>1</v>
      </c>
      <c r="T56">
        <f>IFERROR(__xludf.DUMMYFUNCTION("""COMPUTED_VALUE"""),1.0)</f>
        <v>1</v>
      </c>
    </row>
    <row r="57">
      <c r="P57" t="str">
        <f>IFERROR(__xludf.DUMMYFUNCTION("""COMPUTED_VALUE"""),"Bahamas")</f>
        <v>Bahamas</v>
      </c>
      <c r="Q57">
        <f>IFERROR(__xludf.DUMMYFUNCTION("""COMPUTED_VALUE"""),0.0)</f>
        <v>0</v>
      </c>
      <c r="R57">
        <f>IFERROR(__xludf.DUMMYFUNCTION("""COMPUTED_VALUE"""),0.0)</f>
        <v>0</v>
      </c>
      <c r="S57">
        <f>IFERROR(__xludf.DUMMYFUNCTION("""COMPUTED_VALUE"""),1.0)</f>
        <v>1</v>
      </c>
      <c r="T57">
        <f>IFERROR(__xludf.DUMMYFUNCTION("""COMPUTED_VALUE"""),1.0)</f>
        <v>1</v>
      </c>
    </row>
    <row r="58">
      <c r="P58" t="str">
        <f>IFERROR(__xludf.DUMMYFUNCTION("""COMPUTED_VALUE"""),"Colombie")</f>
        <v>Colombie</v>
      </c>
      <c r="Q58">
        <f>IFERROR(__xludf.DUMMYFUNCTION("""COMPUTED_VALUE"""),0.0)</f>
        <v>0</v>
      </c>
      <c r="R58">
        <f>IFERROR(__xludf.DUMMYFUNCTION("""COMPUTED_VALUE"""),0.0)</f>
        <v>0</v>
      </c>
      <c r="S58">
        <f>IFERROR(__xludf.DUMMYFUNCTION("""COMPUTED_VALUE"""),1.0)</f>
        <v>1</v>
      </c>
      <c r="T58">
        <f>IFERROR(__xludf.DUMMYFUNCTION("""COMPUTED_VALUE"""),1.0)</f>
        <v>1</v>
      </c>
    </row>
    <row r="59">
      <c r="P59" t="str">
        <f>IFERROR(__xludf.DUMMYFUNCTION("""COMPUTED_VALUE"""),"Ghana")</f>
        <v>Ghana</v>
      </c>
      <c r="Q59">
        <f>IFERROR(__xludf.DUMMYFUNCTION("""COMPUTED_VALUE"""),0.0)</f>
        <v>0</v>
      </c>
      <c r="R59">
        <f>IFERROR(__xludf.DUMMYFUNCTION("""COMPUTED_VALUE"""),0.0)</f>
        <v>0</v>
      </c>
      <c r="S59">
        <f>IFERROR(__xludf.DUMMYFUNCTION("""COMPUTED_VALUE"""),1.0)</f>
        <v>1</v>
      </c>
      <c r="T59">
        <f>IFERROR(__xludf.DUMMYFUNCTION("""COMPUTED_VALUE"""),1.0)</f>
        <v>1</v>
      </c>
    </row>
    <row r="60">
      <c r="P60" t="str">
        <f>IFERROR(__xludf.DUMMYFUNCTION("""COMPUTED_VALUE"""),"Malaisie")</f>
        <v>Malaisie</v>
      </c>
      <c r="Q60">
        <f>IFERROR(__xludf.DUMMYFUNCTION("""COMPUTED_VALUE"""),0.0)</f>
        <v>0</v>
      </c>
      <c r="R60">
        <f>IFERROR(__xludf.DUMMYFUNCTION("""COMPUTED_VALUE"""),0.0)</f>
        <v>0</v>
      </c>
      <c r="S60">
        <f>IFERROR(__xludf.DUMMYFUNCTION("""COMPUTED_VALUE"""),1.0)</f>
        <v>1</v>
      </c>
      <c r="T60">
        <f>IFERROR(__xludf.DUMMYFUNCTION("""COMPUTED_VALUE"""),1.0)</f>
        <v>1</v>
      </c>
    </row>
    <row r="61">
      <c r="P61" t="str">
        <f>IFERROR(__xludf.DUMMYFUNCTION("""COMPUTED_VALUE"""),"Pakistan")</f>
        <v>Pakistan</v>
      </c>
      <c r="Q61">
        <f>IFERROR(__xludf.DUMMYFUNCTION("""COMPUTED_VALUE"""),0.0)</f>
        <v>0</v>
      </c>
      <c r="R61">
        <f>IFERROR(__xludf.DUMMYFUNCTION("""COMPUTED_VALUE"""),0.0)</f>
        <v>0</v>
      </c>
      <c r="S61">
        <f>IFERROR(__xludf.DUMMYFUNCTION("""COMPUTED_VALUE"""),1.0)</f>
        <v>1</v>
      </c>
      <c r="T61">
        <f>IFERROR(__xludf.DUMMYFUNCTION("""COMPUTED_VALUE"""),1.0)</f>
        <v>1</v>
      </c>
    </row>
    <row r="62">
      <c r="P62" t="str">
        <f>IFERROR(__xludf.DUMMYFUNCTION("""COMPUTED_VALUE"""),"Philippines")</f>
        <v>Philippines</v>
      </c>
      <c r="Q62">
        <f>IFERROR(__xludf.DUMMYFUNCTION("""COMPUTED_VALUE"""),0.0)</f>
        <v>0</v>
      </c>
      <c r="R62">
        <f>IFERROR(__xludf.DUMMYFUNCTION("""COMPUTED_VALUE"""),0.0)</f>
        <v>0</v>
      </c>
      <c r="S62">
        <f>IFERROR(__xludf.DUMMYFUNCTION("""COMPUTED_VALUE"""),1.0)</f>
        <v>1</v>
      </c>
      <c r="T62">
        <f>IFERROR(__xludf.DUMMYFUNCTION("""COMPUTED_VALUE"""),1.0)</f>
        <v>1</v>
      </c>
    </row>
    <row r="63">
      <c r="P63" t="str">
        <f>IFERROR(__xludf.DUMMYFUNCTION("""COMPUTED_VALUE"""),"Porto Rico")</f>
        <v>Porto Rico</v>
      </c>
      <c r="Q63">
        <f>IFERROR(__xludf.DUMMYFUNCTION("""COMPUTED_VALUE"""),0.0)</f>
        <v>0</v>
      </c>
      <c r="R63">
        <f>IFERROR(__xludf.DUMMYFUNCTION("""COMPUTED_VALUE"""),0.0)</f>
        <v>0</v>
      </c>
      <c r="S63">
        <f>IFERROR(__xludf.DUMMYFUNCTION("""COMPUTED_VALUE"""),1.0)</f>
        <v>1</v>
      </c>
      <c r="T63">
        <f>IFERROR(__xludf.DUMMYFUNCTION("""COMPUTED_VALUE"""),1.0)</f>
        <v>1</v>
      </c>
    </row>
    <row r="64">
      <c r="P64" t="str">
        <f>IFERROR(__xludf.DUMMYFUNCTION("""COMPUTED_VALUE"""),"Qatar")</f>
        <v>Qatar</v>
      </c>
      <c r="Q64">
        <f>IFERROR(__xludf.DUMMYFUNCTION("""COMPUTED_VALUE"""),0.0)</f>
        <v>0</v>
      </c>
      <c r="R64">
        <f>IFERROR(__xludf.DUMMYFUNCTION("""COMPUTED_VALUE"""),0.0)</f>
        <v>0</v>
      </c>
      <c r="S64">
        <f>IFERROR(__xludf.DUMMYFUNCTION("""COMPUTED_VALUE"""),1.0)</f>
        <v>1</v>
      </c>
      <c r="T64">
        <f>IFERROR(__xludf.DUMMYFUNCTION("""COMPUTED_VALUE"""),1.0)</f>
        <v>1</v>
      </c>
    </row>
    <row r="65">
      <c r="P65" t="str">
        <f>IFERROR(__xludf.DUMMYFUNCTION("""COMPUTED_VALUE"""),"Suriname")</f>
        <v>Suriname</v>
      </c>
      <c r="Q65">
        <f>IFERROR(__xludf.DUMMYFUNCTION("""COMPUTED_VALUE"""),0.0)</f>
        <v>0</v>
      </c>
      <c r="R65">
        <f>IFERROR(__xludf.DUMMYFUNCTION("""COMPUTED_VALUE"""),0.0)</f>
        <v>0</v>
      </c>
      <c r="S65">
        <f>IFERROR(__xludf.DUMMYFUNCTION("""COMPUTED_VALUE"""),1.0)</f>
        <v>1</v>
      </c>
      <c r="T65">
        <f>IFERROR(__xludf.DUMMYFUNCTION("""COMPUTED_VALUE"""),1.0)</f>
        <v>1</v>
      </c>
    </row>
    <row r="66">
      <c r="P66" t="str">
        <f>IFERROR(__xludf.DUMMYFUNCTION("""COMPUTED_VALUE"""),"Thaïlande")</f>
        <v>Thaïlande</v>
      </c>
      <c r="Q66">
        <f>IFERROR(__xludf.DUMMYFUNCTION("""COMPUTED_VALUE"""),0.0)</f>
        <v>0</v>
      </c>
      <c r="R66">
        <f>IFERROR(__xludf.DUMMYFUNCTION("""COMPUTED_VALUE"""),0.0)</f>
        <v>0</v>
      </c>
      <c r="S66">
        <f>IFERROR(__xludf.DUMMYFUNCTION("""COMPUTED_VALUE"""),1.0)</f>
        <v>1</v>
      </c>
      <c r="T66">
        <f>IFERROR(__xludf.DUMMYFUNCTION("""COMPUTED_VALUE"""),1.0)</f>
        <v>1</v>
      </c>
    </row>
    <row r="67">
      <c r="O67" t="str">
        <f>IFERROR(__xludf.DUMMYFUNCTION("""COMPUTED_VALUE"""),"*Total*")</f>
        <v>*Total*</v>
      </c>
      <c r="Q67" t="str">
        <f>IFERROR(__xludf.DUMMYFUNCTION("""COMPUTED_VALUE"""),"*260*")</f>
        <v>*260*</v>
      </c>
      <c r="R67" t="str">
        <f>IFERROR(__xludf.DUMMYFUNCTION("""COMPUTED_VALUE"""),"*257*")</f>
        <v>*257*</v>
      </c>
      <c r="S67" t="str">
        <f>IFERROR(__xludf.DUMMYFUNCTION("""COMPUTED_VALUE"""),"*298*")</f>
        <v>*298*</v>
      </c>
      <c r="T67" t="str">
        <f>IFERROR(__xludf.DUMMYFUNCTION("""COMPUTED_VALUE"""),"*815*")</f>
        <v>*815*</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t="str">
        <f>IFERROR(__xludf.DUMMYFUNCTION("importhtml(""https://fr.wikipedia.org/wiki/Liste_des_pays_par_population"",""table"")"),"Rang 
(2023)")</f>
        <v>Rang 
(2023)</v>
      </c>
      <c r="B1" t="str">
        <f>IFERROR(__xludf.DUMMYFUNCTION("""COMPUTED_VALUE"""),"Pays ou territoire")</f>
        <v>Pays ou territoire</v>
      </c>
      <c r="C1" t="str">
        <f>IFERROR(__xludf.DUMMYFUNCTION("""COMPUTED_VALUE"""),"Population 
au 1er juillet 2023")</f>
        <v>Population 
au 1er juillet 2023</v>
      </c>
      <c r="D1" t="str">
        <f>IFERROR(__xludf.DUMMYFUNCTION("""COMPUTED_VALUE"""),"Population projetée 
au 1er janvier 2026")</f>
        <v>Population projetée 
au 1er janvier 2026</v>
      </c>
    </row>
    <row r="2">
      <c r="A2" t="str">
        <f>IFERROR(__xludf.DUMMYFUNCTION("""COMPUTED_VALUE"""),"*-*")</f>
        <v>*-*</v>
      </c>
      <c r="B2" t="str">
        <f>IFERROR(__xludf.DUMMYFUNCTION("""COMPUTED_VALUE"""),"*Monde*")</f>
        <v>*Monde*</v>
      </c>
      <c r="C2" t="str">
        <f>IFERROR(__xludf.DUMMYFUNCTION("""COMPUTED_VALUE"""),"*8 091 734 930*")</f>
        <v>*8 091 734 930*</v>
      </c>
      <c r="D2" t="str">
        <f>IFERROR(__xludf.DUMMYFUNCTION("""COMPUTED_VALUE"""),"*8 266 245 291*")</f>
        <v>*8 266 245 291*</v>
      </c>
    </row>
    <row r="3">
      <c r="A3">
        <f>IFERROR(__xludf.DUMMYFUNCTION("""COMPUTED_VALUE"""),1.0)</f>
        <v>1</v>
      </c>
      <c r="B3" t="str">
        <f>IFERROR(__xludf.DUMMYFUNCTION("""COMPUTED_VALUE"""),"Inde[a]")</f>
        <v>Inde[a]</v>
      </c>
      <c r="C3">
        <f>IFERROR(__xludf.DUMMYFUNCTION("""COMPUTED_VALUE"""),1.438069596E9)</f>
        <v>1438069596</v>
      </c>
      <c r="D3">
        <f>IFERROR(__xludf.DUMMYFUNCTION("""COMPUTED_VALUE"""),1.470295711E9)</f>
        <v>1470295711</v>
      </c>
    </row>
    <row r="4">
      <c r="A4">
        <f>IFERROR(__xludf.DUMMYFUNCTION("""COMPUTED_VALUE"""),2.0)</f>
        <v>2</v>
      </c>
      <c r="B4" t="str">
        <f>IFERROR(__xludf.DUMMYFUNCTION("""COMPUTED_VALUE"""),"Chine[b]")</f>
        <v>Chine[b]</v>
      </c>
      <c r="C4">
        <f>IFERROR(__xludf.DUMMYFUNCTION("""COMPUTED_VALUE"""),1.422584933E9)</f>
        <v>1422584933</v>
      </c>
      <c r="D4">
        <f>IFERROR(__xludf.DUMMYFUNCTION("""COMPUTED_VALUE"""),1.414458552E9)</f>
        <v>1414458552</v>
      </c>
    </row>
    <row r="5">
      <c r="A5">
        <f>IFERROR(__xludf.DUMMYFUNCTION("""COMPUTED_VALUE"""),3.0)</f>
        <v>3</v>
      </c>
      <c r="B5" t="str">
        <f>IFERROR(__xludf.DUMMYFUNCTION("""COMPUTED_VALUE"""),"États-Unis[c]")</f>
        <v>États-Unis[c]</v>
      </c>
      <c r="C5">
        <f>IFERROR(__xludf.DUMMYFUNCTION("""COMPUTED_VALUE"""),3.43477335E8)</f>
        <v>343477335</v>
      </c>
      <c r="D5">
        <f>IFERROR(__xludf.DUMMYFUNCTION("""COMPUTED_VALUE"""),3.48178045E8)</f>
        <v>348178045</v>
      </c>
    </row>
    <row r="6">
      <c r="A6">
        <f>IFERROR(__xludf.DUMMYFUNCTION("""COMPUTED_VALUE"""),4.0)</f>
        <v>4</v>
      </c>
      <c r="B6" t="str">
        <f>IFERROR(__xludf.DUMMYFUNCTION("""COMPUTED_VALUE"""),"Indonésie")</f>
        <v>Indonésie</v>
      </c>
      <c r="C6">
        <f>IFERROR(__xludf.DUMMYFUNCTION("""COMPUTED_VALUE"""),2.81190067E8)</f>
        <v>281190067</v>
      </c>
      <c r="D6">
        <f>IFERROR(__xludf.DUMMYFUNCTION("""COMPUTED_VALUE"""),2.86820254E8)</f>
        <v>286820254</v>
      </c>
    </row>
    <row r="7">
      <c r="A7">
        <f>IFERROR(__xludf.DUMMYFUNCTION("""COMPUTED_VALUE"""),5.0)</f>
        <v>5</v>
      </c>
      <c r="B7" t="str">
        <f>IFERROR(__xludf.DUMMYFUNCTION("""COMPUTED_VALUE"""),"Pakistan[d]")</f>
        <v>Pakistan[d]</v>
      </c>
      <c r="C7">
        <f>IFERROR(__xludf.DUMMYFUNCTION("""COMPUTED_VALUE"""),2.47504495E8)</f>
        <v>247504495</v>
      </c>
      <c r="D7">
        <f>IFERROR(__xludf.DUMMYFUNCTION("""COMPUTED_VALUE"""),2.57236371E8)</f>
        <v>257236371</v>
      </c>
    </row>
    <row r="8">
      <c r="A8">
        <f>IFERROR(__xludf.DUMMYFUNCTION("""COMPUTED_VALUE"""),6.0)</f>
        <v>6</v>
      </c>
      <c r="B8" t="str">
        <f>IFERROR(__xludf.DUMMYFUNCTION("""COMPUTED_VALUE"""),"Nigeria")</f>
        <v>Nigeria</v>
      </c>
      <c r="C8">
        <f>IFERROR(__xludf.DUMMYFUNCTION("""COMPUTED_VALUE"""),2.27882945E8)</f>
        <v>227882945</v>
      </c>
      <c r="D8">
        <f>IFERROR(__xludf.DUMMYFUNCTION("""COMPUTED_VALUE"""),2.39967749E8)</f>
        <v>239967749</v>
      </c>
    </row>
    <row r="9">
      <c r="A9">
        <f>IFERROR(__xludf.DUMMYFUNCTION("""COMPUTED_VALUE"""),7.0)</f>
        <v>7</v>
      </c>
      <c r="B9" t="str">
        <f>IFERROR(__xludf.DUMMYFUNCTION("""COMPUTED_VALUE"""),"Brésil")</f>
        <v>Brésil</v>
      </c>
      <c r="C9">
        <f>IFERROR(__xludf.DUMMYFUNCTION("""COMPUTED_VALUE"""),2.11140729E8)</f>
        <v>211140729</v>
      </c>
      <c r="D9">
        <f>IFERROR(__xludf.DUMMYFUNCTION("""COMPUTED_VALUE"""),2.13202121E8)</f>
        <v>213202121</v>
      </c>
    </row>
    <row r="10">
      <c r="A10">
        <f>IFERROR(__xludf.DUMMYFUNCTION("""COMPUTED_VALUE"""),8.0)</f>
        <v>8</v>
      </c>
      <c r="B10" t="str">
        <f>IFERROR(__xludf.DUMMYFUNCTION("""COMPUTED_VALUE"""),"Bangladesh")</f>
        <v>Bangladesh</v>
      </c>
      <c r="C10">
        <f>IFERROR(__xludf.DUMMYFUNCTION("""COMPUTED_VALUE"""),1.7146699E8)</f>
        <v>171466990</v>
      </c>
      <c r="D10">
        <f>IFERROR(__xludf.DUMMYFUNCTION("""COMPUTED_VALUE"""),1.76756539E8)</f>
        <v>176756539</v>
      </c>
    </row>
    <row r="11">
      <c r="A11">
        <f>IFERROR(__xludf.DUMMYFUNCTION("""COMPUTED_VALUE"""),9.0)</f>
        <v>9</v>
      </c>
      <c r="B11" t="str">
        <f>IFERROR(__xludf.DUMMYFUNCTION("""COMPUTED_VALUE"""),"Russie[e]")</f>
        <v>Russie[e]</v>
      </c>
      <c r="C11">
        <f>IFERROR(__xludf.DUMMYFUNCTION("""COMPUTED_VALUE"""),1.454405E8)</f>
        <v>145440500</v>
      </c>
      <c r="D11">
        <f>IFERROR(__xludf.DUMMYFUNCTION("""COMPUTED_VALUE"""),1.43559521E8)</f>
        <v>143559521</v>
      </c>
    </row>
    <row r="12">
      <c r="A12">
        <f>IFERROR(__xludf.DUMMYFUNCTION("""COMPUTED_VALUE"""),10.0)</f>
        <v>10</v>
      </c>
      <c r="B12" t="str">
        <f>IFERROR(__xludf.DUMMYFUNCTION("""COMPUTED_VALUE"""),"Mexique")</f>
        <v>Mexique</v>
      </c>
      <c r="C12">
        <f>IFERROR(__xludf.DUMMYFUNCTION("""COMPUTED_VALUE"""),1.29739759E8)</f>
        <v>129739759</v>
      </c>
      <c r="D12">
        <f>IFERROR(__xludf.DUMMYFUNCTION("""COMPUTED_VALUE"""),1.32480185E8)</f>
        <v>132480185</v>
      </c>
    </row>
    <row r="13">
      <c r="A13">
        <f>IFERROR(__xludf.DUMMYFUNCTION("""COMPUTED_VALUE"""),11.0)</f>
        <v>11</v>
      </c>
      <c r="B13" t="str">
        <f>IFERROR(__xludf.DUMMYFUNCTION("""COMPUTED_VALUE"""),"Éthiopie")</f>
        <v>Éthiopie</v>
      </c>
      <c r="C13">
        <f>IFERROR(__xludf.DUMMYFUNCTION("""COMPUTED_VALUE"""),1.28691692E8)</f>
        <v>128691692</v>
      </c>
      <c r="D13">
        <f>IFERROR(__xludf.DUMMYFUNCTION("""COMPUTED_VALUE"""),1.3717959E8)</f>
        <v>137179590</v>
      </c>
    </row>
    <row r="14">
      <c r="A14">
        <f>IFERROR(__xludf.DUMMYFUNCTION("""COMPUTED_VALUE"""),12.0)</f>
        <v>12</v>
      </c>
      <c r="B14" t="str">
        <f>IFERROR(__xludf.DUMMYFUNCTION("""COMPUTED_VALUE"""),"Japon")</f>
        <v>Japon</v>
      </c>
      <c r="C14">
        <f>IFERROR(__xludf.DUMMYFUNCTION("""COMPUTED_VALUE"""),1.24370947E8)</f>
        <v>124370947</v>
      </c>
      <c r="D14">
        <f>IFERROR(__xludf.DUMMYFUNCTION("""COMPUTED_VALUE"""),1.22772055E8)</f>
        <v>122772055</v>
      </c>
    </row>
    <row r="15">
      <c r="A15">
        <f>IFERROR(__xludf.DUMMYFUNCTION("""COMPUTED_VALUE"""),13.0)</f>
        <v>13</v>
      </c>
      <c r="B15" t="str">
        <f>IFERROR(__xludf.DUMMYFUNCTION("""COMPUTED_VALUE"""),"Philippines")</f>
        <v>Philippines</v>
      </c>
      <c r="C15">
        <f>IFERROR(__xludf.DUMMYFUNCTION("""COMPUTED_VALUE"""),1.14891199E8)</f>
        <v>114891199</v>
      </c>
      <c r="D15">
        <f>IFERROR(__xludf.DUMMYFUNCTION("""COMPUTED_VALUE"""),1.17257633E8)</f>
        <v>117257633</v>
      </c>
    </row>
    <row r="16">
      <c r="A16">
        <f>IFERROR(__xludf.DUMMYFUNCTION("""COMPUTED_VALUE"""),14.0)</f>
        <v>14</v>
      </c>
      <c r="B16" t="str">
        <f>IFERROR(__xludf.DUMMYFUNCTION("""COMPUTED_VALUE"""),"Égypte")</f>
        <v>Égypte</v>
      </c>
      <c r="C16">
        <f>IFERROR(__xludf.DUMMYFUNCTION("""COMPUTED_VALUE"""),1.14535772E8)</f>
        <v>114535772</v>
      </c>
      <c r="D16">
        <f>IFERROR(__xludf.DUMMYFUNCTION("""COMPUTED_VALUE"""),1.19233883E8)</f>
        <v>119233883</v>
      </c>
    </row>
    <row r="17">
      <c r="A17">
        <f>IFERROR(__xludf.DUMMYFUNCTION("""COMPUTED_VALUE"""),15.0)</f>
        <v>15</v>
      </c>
      <c r="B17" t="str">
        <f>IFERROR(__xludf.DUMMYFUNCTION("""COMPUTED_VALUE"""),"République démocratique du Congo")</f>
        <v>République démocratique du Congo</v>
      </c>
      <c r="C17">
        <f>IFERROR(__xludf.DUMMYFUNCTION("""COMPUTED_VALUE"""),1.05789731E8)</f>
        <v>105789731</v>
      </c>
      <c r="D17">
        <f>IFERROR(__xludf.DUMMYFUNCTION("""COMPUTED_VALUE"""),1.14628568E8)</f>
        <v>114628568</v>
      </c>
    </row>
    <row r="18">
      <c r="A18">
        <f>IFERROR(__xludf.DUMMYFUNCTION("""COMPUTED_VALUE"""),16.0)</f>
        <v>16</v>
      </c>
      <c r="B18" t="str">
        <f>IFERROR(__xludf.DUMMYFUNCTION("""COMPUTED_VALUE"""),"Vietnam")</f>
        <v>Vietnam</v>
      </c>
      <c r="C18">
        <f>IFERROR(__xludf.DUMMYFUNCTION("""COMPUTED_VALUE"""),1.00352192E8)</f>
        <v>100352192</v>
      </c>
      <c r="D18">
        <f>IFERROR(__xludf.DUMMYFUNCTION("""COMPUTED_VALUE"""),1.01896973E8)</f>
        <v>101896973</v>
      </c>
    </row>
    <row r="19">
      <c r="A19">
        <f>IFERROR(__xludf.DUMMYFUNCTION("""COMPUTED_VALUE"""),17.0)</f>
        <v>17</v>
      </c>
      <c r="B19" t="str">
        <f>IFERROR(__xludf.DUMMYFUNCTION("""COMPUTED_VALUE"""),"Iran")</f>
        <v>Iran</v>
      </c>
      <c r="C19">
        <f>IFERROR(__xludf.DUMMYFUNCTION("""COMPUTED_VALUE"""),9.0608707E7)</f>
        <v>90608707</v>
      </c>
      <c r="D19">
        <f>IFERROR(__xludf.DUMMYFUNCTION("""COMPUTED_VALUE"""),9.2814664E7)</f>
        <v>92814664</v>
      </c>
    </row>
    <row r="20">
      <c r="A20">
        <f>IFERROR(__xludf.DUMMYFUNCTION("""COMPUTED_VALUE"""),18.0)</f>
        <v>18</v>
      </c>
      <c r="B20" t="str">
        <f>IFERROR(__xludf.DUMMYFUNCTION("""COMPUTED_VALUE"""),"Turquie")</f>
        <v>Turquie</v>
      </c>
      <c r="C20">
        <f>IFERROR(__xludf.DUMMYFUNCTION("""COMPUTED_VALUE"""),8.7270501E7)</f>
        <v>87270501</v>
      </c>
      <c r="D20">
        <f>IFERROR(__xludf.DUMMYFUNCTION("""COMPUTED_VALUE"""),8.7794917E7)</f>
        <v>87794917</v>
      </c>
    </row>
    <row r="21">
      <c r="A21">
        <f>IFERROR(__xludf.DUMMYFUNCTION("""COMPUTED_VALUE"""),19.0)</f>
        <v>19</v>
      </c>
      <c r="B21" t="str">
        <f>IFERROR(__xludf.DUMMYFUNCTION("""COMPUTED_VALUE"""),"Allemagne")</f>
        <v>Allemagne</v>
      </c>
      <c r="C21">
        <f>IFERROR(__xludf.DUMMYFUNCTION("""COMPUTED_VALUE"""),8.4548231E7)</f>
        <v>84548231</v>
      </c>
      <c r="D21">
        <f>IFERROR(__xludf.DUMMYFUNCTION("""COMPUTED_VALUE"""),8.3741228E7)</f>
        <v>83741228</v>
      </c>
    </row>
    <row r="22">
      <c r="A22">
        <f>IFERROR(__xludf.DUMMYFUNCTION("""COMPUTED_VALUE"""),20.0)</f>
        <v>20</v>
      </c>
      <c r="B22" t="str">
        <f>IFERROR(__xludf.DUMMYFUNCTION("""COMPUTED_VALUE"""),"Thaïlande")</f>
        <v>Thaïlande</v>
      </c>
      <c r="C22">
        <f>IFERROR(__xludf.DUMMYFUNCTION("""COMPUTED_VALUE"""),7.1702435E7)</f>
        <v>71702435</v>
      </c>
      <c r="D22">
        <f>IFERROR(__xludf.DUMMYFUNCTION("""COMPUTED_VALUE"""),7.1592912E7)</f>
        <v>71592912</v>
      </c>
    </row>
    <row r="23">
      <c r="A23">
        <f>IFERROR(__xludf.DUMMYFUNCTION("""COMPUTED_VALUE"""),21.0)</f>
        <v>21</v>
      </c>
      <c r="B23" t="str">
        <f>IFERROR(__xludf.DUMMYFUNCTION("""COMPUTED_VALUE"""),"Royaume-Uni[f]")</f>
        <v>Royaume-Uni[f]</v>
      </c>
      <c r="C23">
        <f>IFERROR(__xludf.DUMMYFUNCTION("""COMPUTED_VALUE"""),6.8682962E7)</f>
        <v>68682962</v>
      </c>
      <c r="D23">
        <f>IFERROR(__xludf.DUMMYFUNCTION("""COMPUTED_VALUE"""),6.9749323E7)</f>
        <v>69749323</v>
      </c>
    </row>
    <row r="24">
      <c r="A24">
        <f>IFERROR(__xludf.DUMMYFUNCTION("""COMPUTED_VALUE"""),22.0)</f>
        <v>22</v>
      </c>
      <c r="B24" t="str">
        <f>IFERROR(__xludf.DUMMYFUNCTION("""COMPUTED_VALUE"""),"Tanzanie")</f>
        <v>Tanzanie</v>
      </c>
      <c r="C24">
        <f>IFERROR(__xludf.DUMMYFUNCTION("""COMPUTED_VALUE"""),6.6617606E7)</f>
        <v>66617606</v>
      </c>
      <c r="D24">
        <f>IFERROR(__xludf.DUMMYFUNCTION("""COMPUTED_VALUE"""),7.1549625E7)</f>
        <v>71549625</v>
      </c>
    </row>
    <row r="25">
      <c r="A25">
        <f>IFERROR(__xludf.DUMMYFUNCTION("""COMPUTED_VALUE"""),23.0)</f>
        <v>23</v>
      </c>
      <c r="B25" t="str">
        <f>IFERROR(__xludf.DUMMYFUNCTION("""COMPUTED_VALUE"""),"France[g]")</f>
        <v>France[g]</v>
      </c>
      <c r="C25">
        <f>IFERROR(__xludf.DUMMYFUNCTION("""COMPUTED_VALUE"""),6.6438822E7)</f>
        <v>66438822</v>
      </c>
      <c r="D25">
        <f>IFERROR(__xludf.DUMMYFUNCTION("""COMPUTED_VALUE"""),6.6700707E7)</f>
        <v>66700707</v>
      </c>
    </row>
    <row r="26">
      <c r="A26">
        <f>IFERROR(__xludf.DUMMYFUNCTION("""COMPUTED_VALUE"""),24.0)</f>
        <v>24</v>
      </c>
      <c r="B26" t="str">
        <f>IFERROR(__xludf.DUMMYFUNCTION("""COMPUTED_VALUE"""),"Afrique du Sud")</f>
        <v>Afrique du Sud</v>
      </c>
      <c r="C26">
        <f>IFERROR(__xludf.DUMMYFUNCTION("""COMPUTED_VALUE"""),6.3212384E7)</f>
        <v>63212384</v>
      </c>
      <c r="D26">
        <f>IFERROR(__xludf.DUMMYFUNCTION("""COMPUTED_VALUE"""),6.510815E7)</f>
        <v>65108150</v>
      </c>
    </row>
    <row r="27">
      <c r="A27">
        <f>IFERROR(__xludf.DUMMYFUNCTION("""COMPUTED_VALUE"""),25.0)</f>
        <v>25</v>
      </c>
      <c r="B27" t="str">
        <f>IFERROR(__xludf.DUMMYFUNCTION("""COMPUTED_VALUE"""),"Italie")</f>
        <v>Italie</v>
      </c>
      <c r="C27">
        <f>IFERROR(__xludf.DUMMYFUNCTION("""COMPUTED_VALUE"""),5.9499453E7)</f>
        <v>59499453</v>
      </c>
      <c r="D27">
        <f>IFERROR(__xludf.DUMMYFUNCTION("""COMPUTED_VALUE"""),5.9041927E7)</f>
        <v>59041927</v>
      </c>
    </row>
    <row r="28">
      <c r="A28">
        <f>IFERROR(__xludf.DUMMYFUNCTION("""COMPUTED_VALUE"""),26.0)</f>
        <v>26</v>
      </c>
      <c r="B28" t="str">
        <f>IFERROR(__xludf.DUMMYFUNCTION("""COMPUTED_VALUE"""),"Kenya")</f>
        <v>Kenya</v>
      </c>
      <c r="C28">
        <f>IFERROR(__xludf.DUMMYFUNCTION("""COMPUTED_VALUE"""),5.5339003E7)</f>
        <v>55339003</v>
      </c>
      <c r="D28">
        <f>IFERROR(__xludf.DUMMYFUNCTION("""COMPUTED_VALUE"""),5.808359E7)</f>
        <v>58083590</v>
      </c>
    </row>
    <row r="29">
      <c r="A29">
        <f>IFERROR(__xludf.DUMMYFUNCTION("""COMPUTED_VALUE"""),27.0)</f>
        <v>27</v>
      </c>
      <c r="B29" t="str">
        <f>IFERROR(__xludf.DUMMYFUNCTION("""COMPUTED_VALUE"""),"Birmanie")</f>
        <v>Birmanie</v>
      </c>
      <c r="C29">
        <f>IFERROR(__xludf.DUMMYFUNCTION("""COMPUTED_VALUE"""),5.4133798E7)</f>
        <v>54133798</v>
      </c>
      <c r="D29">
        <f>IFERROR(__xludf.DUMMYFUNCTION("""COMPUTED_VALUE"""),5.5021595E7)</f>
        <v>55021595</v>
      </c>
    </row>
    <row r="30">
      <c r="A30">
        <f>IFERROR(__xludf.DUMMYFUNCTION("""COMPUTED_VALUE"""),28.0)</f>
        <v>28</v>
      </c>
      <c r="B30" t="str">
        <f>IFERROR(__xludf.DUMMYFUNCTION("""COMPUTED_VALUE"""),"Colombie")</f>
        <v>Colombie</v>
      </c>
      <c r="C30">
        <f>IFERROR(__xludf.DUMMYFUNCTION("""COMPUTED_VALUE"""),5.2321152E7)</f>
        <v>52321152</v>
      </c>
      <c r="D30">
        <f>IFERROR(__xludf.DUMMYFUNCTION("""COMPUTED_VALUE"""),5.3688245E7)</f>
        <v>53688245</v>
      </c>
    </row>
    <row r="31">
      <c r="A31">
        <f>IFERROR(__xludf.DUMMYFUNCTION("""COMPUTED_VALUE"""),29.0)</f>
        <v>29</v>
      </c>
      <c r="B31" t="str">
        <f>IFERROR(__xludf.DUMMYFUNCTION("""COMPUTED_VALUE"""),"Corée du Sud")</f>
        <v>Corée du Sud</v>
      </c>
      <c r="C31">
        <f>IFERROR(__xludf.DUMMYFUNCTION("""COMPUTED_VALUE"""),5.1748739E7)</f>
        <v>51748739</v>
      </c>
      <c r="D31">
        <f>IFERROR(__xludf.DUMMYFUNCTION("""COMPUTED_VALUE"""),5.1636965E7)</f>
        <v>51636965</v>
      </c>
    </row>
    <row r="32">
      <c r="A32">
        <f>IFERROR(__xludf.DUMMYFUNCTION("""COMPUTED_VALUE"""),30.0)</f>
        <v>30</v>
      </c>
      <c r="B32" t="str">
        <f>IFERROR(__xludf.DUMMYFUNCTION("""COMPUTED_VALUE"""),"Soudan")</f>
        <v>Soudan</v>
      </c>
      <c r="C32">
        <f>IFERROR(__xludf.DUMMYFUNCTION("""COMPUTED_VALUE"""),5.0042791E7)</f>
        <v>50042791</v>
      </c>
      <c r="D32">
        <f>IFERROR(__xludf.DUMMYFUNCTION("""COMPUTED_VALUE"""),5.2474943E7)</f>
        <v>52474943</v>
      </c>
    </row>
    <row r="33">
      <c r="A33">
        <f>IFERROR(__xludf.DUMMYFUNCTION("""COMPUTED_VALUE"""),31.0)</f>
        <v>31</v>
      </c>
      <c r="B33" t="str">
        <f>IFERROR(__xludf.DUMMYFUNCTION("""COMPUTED_VALUE"""),"Ouganda")</f>
        <v>Ouganda</v>
      </c>
      <c r="C33">
        <f>IFERROR(__xludf.DUMMYFUNCTION("""COMPUTED_VALUE"""),4.8656601E7)</f>
        <v>48656601</v>
      </c>
      <c r="D33">
        <f>IFERROR(__xludf.DUMMYFUNCTION("""COMPUTED_VALUE"""),5.2071696E7)</f>
        <v>52071696</v>
      </c>
    </row>
    <row r="34">
      <c r="A34">
        <f>IFERROR(__xludf.DUMMYFUNCTION("""COMPUTED_VALUE"""),32.0)</f>
        <v>32</v>
      </c>
      <c r="B34" t="str">
        <f>IFERROR(__xludf.DUMMYFUNCTION("""COMPUTED_VALUE"""),"Espagne")</f>
        <v>Espagne</v>
      </c>
      <c r="C34">
        <f>IFERROR(__xludf.DUMMYFUNCTION("""COMPUTED_VALUE"""),4.7911579E7)</f>
        <v>47911579</v>
      </c>
      <c r="D34">
        <f>IFERROR(__xludf.DUMMYFUNCTION("""COMPUTED_VALUE"""),4.7874678E7)</f>
        <v>47874678</v>
      </c>
    </row>
    <row r="35">
      <c r="A35">
        <f>IFERROR(__xludf.DUMMYFUNCTION("""COMPUTED_VALUE"""),33.0)</f>
        <v>33</v>
      </c>
      <c r="B35" t="str">
        <f>IFERROR(__xludf.DUMMYFUNCTION("""COMPUTED_VALUE"""),"Algérie")</f>
        <v>Algérie</v>
      </c>
      <c r="C35">
        <f>IFERROR(__xludf.DUMMYFUNCTION("""COMPUTED_VALUE"""),4.6164219E7)</f>
        <v>46164219</v>
      </c>
      <c r="D35">
        <f>IFERROR(__xludf.DUMMYFUNCTION("""COMPUTED_VALUE"""),4.7739103E7)</f>
        <v>47739103</v>
      </c>
    </row>
    <row r="36">
      <c r="A36">
        <f>IFERROR(__xludf.DUMMYFUNCTION("""COMPUTED_VALUE"""),34.0)</f>
        <v>34</v>
      </c>
      <c r="B36" t="str">
        <f>IFERROR(__xludf.DUMMYFUNCTION("""COMPUTED_VALUE"""),"Argentine")</f>
        <v>Argentine</v>
      </c>
      <c r="C36">
        <f>IFERROR(__xludf.DUMMYFUNCTION("""COMPUTED_VALUE"""),4.5538401E7)</f>
        <v>45538401</v>
      </c>
      <c r="D36">
        <f>IFERROR(__xludf.DUMMYFUNCTION("""COMPUTED_VALUE"""),4.5928215E7)</f>
        <v>45928215</v>
      </c>
    </row>
    <row r="37">
      <c r="A37">
        <f>IFERROR(__xludf.DUMMYFUNCTION("""COMPUTED_VALUE"""),35.0)</f>
        <v>35</v>
      </c>
      <c r="B37" t="str">
        <f>IFERROR(__xludf.DUMMYFUNCTION("""COMPUTED_VALUE"""),"Irak")</f>
        <v>Irak</v>
      </c>
      <c r="C37">
        <f>IFERROR(__xludf.DUMMYFUNCTION("""COMPUTED_VALUE"""),4.5074049E7)</f>
        <v>45074049</v>
      </c>
      <c r="D37">
        <f>IFERROR(__xludf.DUMMYFUNCTION("""COMPUTED_VALUE"""),4.7515421E7)</f>
        <v>47515421</v>
      </c>
    </row>
    <row r="38">
      <c r="A38">
        <f>IFERROR(__xludf.DUMMYFUNCTION("""COMPUTED_VALUE"""),36.0)</f>
        <v>36</v>
      </c>
      <c r="B38" t="str">
        <f>IFERROR(__xludf.DUMMYFUNCTION("""COMPUTED_VALUE"""),"Afghanistan")</f>
        <v>Afghanistan</v>
      </c>
      <c r="C38">
        <f>IFERROR(__xludf.DUMMYFUNCTION("""COMPUTED_VALUE"""),4.1454761E7)</f>
        <v>41454761</v>
      </c>
      <c r="D38">
        <f>IFERROR(__xludf.DUMMYFUNCTION("""COMPUTED_VALUE"""),4.4437893E7)</f>
        <v>44437893</v>
      </c>
    </row>
    <row r="39">
      <c r="A39">
        <f>IFERROR(__xludf.DUMMYFUNCTION("""COMPUTED_VALUE"""),37.0)</f>
        <v>37</v>
      </c>
      <c r="B39" t="str">
        <f>IFERROR(__xludf.DUMMYFUNCTION("""COMPUTED_VALUE"""),"Yémen")</f>
        <v>Yémen</v>
      </c>
      <c r="C39">
        <f>IFERROR(__xludf.DUMMYFUNCTION("""COMPUTED_VALUE"""),3.9390799E7)</f>
        <v>39390799</v>
      </c>
      <c r="D39">
        <f>IFERROR(__xludf.DUMMYFUNCTION("""COMPUTED_VALUE"""),4.2368687E7)</f>
        <v>42368687</v>
      </c>
    </row>
    <row r="40">
      <c r="A40">
        <f>IFERROR(__xludf.DUMMYFUNCTION("""COMPUTED_VALUE"""),38.0)</f>
        <v>38</v>
      </c>
      <c r="B40" t="str">
        <f>IFERROR(__xludf.DUMMYFUNCTION("""COMPUTED_VALUE"""),"Canada")</f>
        <v>Canada</v>
      </c>
      <c r="C40">
        <f>IFERROR(__xludf.DUMMYFUNCTION("""COMPUTED_VALUE"""),3.9299105E7)</f>
        <v>39299105</v>
      </c>
      <c r="D40">
        <f>IFERROR(__xludf.DUMMYFUNCTION("""COMPUTED_VALUE"""),4.030707E7)</f>
        <v>40307070</v>
      </c>
    </row>
    <row r="41">
      <c r="A41">
        <f>IFERROR(__xludf.DUMMYFUNCTION("""COMPUTED_VALUE"""),39.0)</f>
        <v>39</v>
      </c>
      <c r="B41" t="str">
        <f>IFERROR(__xludf.DUMMYFUNCTION("""COMPUTED_VALUE"""),"Pologne")</f>
        <v>Pologne</v>
      </c>
      <c r="C41">
        <f>IFERROR(__xludf.DUMMYFUNCTION("""COMPUTED_VALUE"""),3.8762844E7)</f>
        <v>38762844</v>
      </c>
      <c r="D41">
        <f>IFERROR(__xludf.DUMMYFUNCTION("""COMPUTED_VALUE"""),3.7915155E7)</f>
        <v>37915155</v>
      </c>
    </row>
    <row r="42">
      <c r="A42">
        <f>IFERROR(__xludf.DUMMYFUNCTION("""COMPUTED_VALUE"""),40.0)</f>
        <v>40</v>
      </c>
      <c r="B42" t="str">
        <f>IFERROR(__xludf.DUMMYFUNCTION("""COMPUTED_VALUE"""),"Ukraine[h]")</f>
        <v>Ukraine[h]</v>
      </c>
      <c r="C42">
        <f>IFERROR(__xludf.DUMMYFUNCTION("""COMPUTED_VALUE"""),3.7732836E7)</f>
        <v>37732836</v>
      </c>
      <c r="D42">
        <f>IFERROR(__xludf.DUMMYFUNCTION("""COMPUTED_VALUE"""),3.968157E7)</f>
        <v>39681570</v>
      </c>
    </row>
    <row r="43">
      <c r="A43">
        <f>IFERROR(__xludf.DUMMYFUNCTION("""COMPUTED_VALUE"""),41.0)</f>
        <v>41</v>
      </c>
      <c r="B43" t="str">
        <f>IFERROR(__xludf.DUMMYFUNCTION("""COMPUTED_VALUE"""),"Maroc[i]")</f>
        <v>Maroc[i]</v>
      </c>
      <c r="C43">
        <f>IFERROR(__xludf.DUMMYFUNCTION("""COMPUTED_VALUE"""),3.7712505E7)</f>
        <v>37712505</v>
      </c>
      <c r="D43">
        <f>IFERROR(__xludf.DUMMYFUNCTION("""COMPUTED_VALUE"""),3.8600478E7)</f>
        <v>38600478</v>
      </c>
    </row>
    <row r="44">
      <c r="A44">
        <f>IFERROR(__xludf.DUMMYFUNCTION("""COMPUTED_VALUE"""),42.0)</f>
        <v>42</v>
      </c>
      <c r="B44" t="str">
        <f>IFERROR(__xludf.DUMMYFUNCTION("""COMPUTED_VALUE"""),"Angola")</f>
        <v>Angola</v>
      </c>
      <c r="C44">
        <f>IFERROR(__xludf.DUMMYFUNCTION("""COMPUTED_VALUE"""),3.6749906E7)</f>
        <v>36749906</v>
      </c>
      <c r="D44">
        <f>IFERROR(__xludf.DUMMYFUNCTION("""COMPUTED_VALUE"""),3.9621234E7)</f>
        <v>39621234</v>
      </c>
    </row>
    <row r="45">
      <c r="A45">
        <f>IFERROR(__xludf.DUMMYFUNCTION("""COMPUTED_VALUE"""),43.0)</f>
        <v>43</v>
      </c>
      <c r="B45" t="str">
        <f>IFERROR(__xludf.DUMMYFUNCTION("""COMPUTED_VALUE"""),"Ouzbékistan")</f>
        <v>Ouzbékistan</v>
      </c>
      <c r="C45">
        <f>IFERROR(__xludf.DUMMYFUNCTION("""COMPUTED_VALUE"""),3.5652307E7)</f>
        <v>35652307</v>
      </c>
      <c r="D45">
        <f>IFERROR(__xludf.DUMMYFUNCTION("""COMPUTED_VALUE"""),3.7393592E7)</f>
        <v>37393592</v>
      </c>
    </row>
    <row r="46">
      <c r="A46">
        <f>IFERROR(__xludf.DUMMYFUNCTION("""COMPUTED_VALUE"""),44.0)</f>
        <v>44</v>
      </c>
      <c r="B46" t="str">
        <f>IFERROR(__xludf.DUMMYFUNCTION("""COMPUTED_VALUE"""),"Malaisie")</f>
        <v>Malaisie</v>
      </c>
      <c r="C46">
        <f>IFERROR(__xludf.DUMMYFUNCTION("""COMPUTED_VALUE"""),3.5126298E7)</f>
        <v>35126298</v>
      </c>
      <c r="D46">
        <f>IFERROR(__xludf.DUMMYFUNCTION("""COMPUTED_VALUE"""),3.6184571E7)</f>
        <v>36184571</v>
      </c>
    </row>
    <row r="47">
      <c r="A47">
        <f>IFERROR(__xludf.DUMMYFUNCTION("""COMPUTED_VALUE"""),45.0)</f>
        <v>45</v>
      </c>
      <c r="B47" t="str">
        <f>IFERROR(__xludf.DUMMYFUNCTION("""COMPUTED_VALUE"""),"Pérou")</f>
        <v>Pérou</v>
      </c>
      <c r="C47">
        <f>IFERROR(__xludf.DUMMYFUNCTION("""COMPUTED_VALUE"""),3.3845617E7)</f>
        <v>33845617</v>
      </c>
      <c r="D47">
        <f>IFERROR(__xludf.DUMMYFUNCTION("""COMPUTED_VALUE"""),3.4752525E7)</f>
        <v>34752525</v>
      </c>
    </row>
    <row r="48">
      <c r="A48">
        <f>IFERROR(__xludf.DUMMYFUNCTION("""COMPUTED_VALUE"""),46.0)</f>
        <v>46</v>
      </c>
      <c r="B48" t="str">
        <f>IFERROR(__xludf.DUMMYFUNCTION("""COMPUTED_VALUE"""),"Ghana")</f>
        <v>Ghana</v>
      </c>
      <c r="C48">
        <f>IFERROR(__xludf.DUMMYFUNCTION("""COMPUTED_VALUE"""),3.3787914E7)</f>
        <v>33787914</v>
      </c>
      <c r="D48">
        <f>IFERROR(__xludf.DUMMYFUNCTION("""COMPUTED_VALUE"""),3.5382175E7)</f>
        <v>35382175</v>
      </c>
    </row>
    <row r="49">
      <c r="A49">
        <f>IFERROR(__xludf.DUMMYFUNCTION("""COMPUTED_VALUE"""),47.0)</f>
        <v>47</v>
      </c>
      <c r="B49" t="str">
        <f>IFERROR(__xludf.DUMMYFUNCTION("""COMPUTED_VALUE"""),"Mozambique")</f>
        <v>Mozambique</v>
      </c>
      <c r="C49">
        <f>IFERROR(__xludf.DUMMYFUNCTION("""COMPUTED_VALUE"""),3.363516E7)</f>
        <v>33635160</v>
      </c>
      <c r="D49">
        <f>IFERROR(__xludf.DUMMYFUNCTION("""COMPUTED_VALUE"""),3.6129468E7)</f>
        <v>36129468</v>
      </c>
    </row>
    <row r="50">
      <c r="A50">
        <f>IFERROR(__xludf.DUMMYFUNCTION("""COMPUTED_VALUE"""),48.0)</f>
        <v>48</v>
      </c>
      <c r="B50" t="str">
        <f>IFERROR(__xludf.DUMMYFUNCTION("""COMPUTED_VALUE"""),"Arabie saoudite")</f>
        <v>Arabie saoudite</v>
      </c>
      <c r="C50">
        <f>IFERROR(__xludf.DUMMYFUNCTION("""COMPUTED_VALUE"""),3.3264292E7)</f>
        <v>33264292</v>
      </c>
      <c r="D50">
        <f>IFERROR(__xludf.DUMMYFUNCTION("""COMPUTED_VALUE"""),3.4868384E7)</f>
        <v>34868384</v>
      </c>
    </row>
    <row r="51">
      <c r="A51">
        <f>IFERROR(__xludf.DUMMYFUNCTION("""COMPUTED_VALUE"""),49.0)</f>
        <v>49</v>
      </c>
      <c r="B51" t="str">
        <f>IFERROR(__xludf.DUMMYFUNCTION("""COMPUTED_VALUE"""),"Madagascar")</f>
        <v>Madagascar</v>
      </c>
      <c r="C51">
        <f>IFERROR(__xludf.DUMMYFUNCTION("""COMPUTED_VALUE"""),3.1195932E7)</f>
        <v>31195932</v>
      </c>
      <c r="D51">
        <f>IFERROR(__xludf.DUMMYFUNCTION("""COMPUTED_VALUE"""),3.3129834E7)</f>
        <v>33129834</v>
      </c>
    </row>
    <row r="52">
      <c r="A52">
        <f>IFERROR(__xludf.DUMMYFUNCTION("""COMPUTED_VALUE"""),50.0)</f>
        <v>50</v>
      </c>
      <c r="B52" t="str">
        <f>IFERROR(__xludf.DUMMYFUNCTION("""COMPUTED_VALUE"""),"Côte d'Ivoire")</f>
        <v>Côte d'Ivoire</v>
      </c>
      <c r="C52">
        <f>IFERROR(__xludf.DUMMYFUNCTION("""COMPUTED_VALUE"""),3.1165654E7)</f>
        <v>31165654</v>
      </c>
      <c r="D52">
        <f>IFERROR(__xludf.DUMMYFUNCTION("""COMPUTED_VALUE"""),3.3102421E7)</f>
        <v>33102421</v>
      </c>
    </row>
    <row r="53">
      <c r="A53">
        <f>IFERROR(__xludf.DUMMYFUNCTION("""COMPUTED_VALUE"""),51.0)</f>
        <v>51</v>
      </c>
      <c r="B53" t="str">
        <f>IFERROR(__xludf.DUMMYFUNCTION("""COMPUTED_VALUE"""),"Népal")</f>
        <v>Népal</v>
      </c>
      <c r="C53">
        <f>IFERROR(__xludf.DUMMYFUNCTION("""COMPUTED_VALUE"""),2.9694614E7)</f>
        <v>29694614</v>
      </c>
      <c r="D53">
        <f>IFERROR(__xludf.DUMMYFUNCTION("""COMPUTED_VALUE"""),2.9608076E7)</f>
        <v>29608076</v>
      </c>
    </row>
    <row r="54">
      <c r="A54">
        <f>IFERROR(__xludf.DUMMYFUNCTION("""COMPUTED_VALUE"""),52.0)</f>
        <v>52</v>
      </c>
      <c r="B54" t="str">
        <f>IFERROR(__xludf.DUMMYFUNCTION("""COMPUTED_VALUE"""),"Cameroun")</f>
        <v>Cameroun</v>
      </c>
      <c r="C54">
        <f>IFERROR(__xludf.DUMMYFUNCTION("""COMPUTED_VALUE"""),2.8372687E7)</f>
        <v>28372687</v>
      </c>
      <c r="D54">
        <f>IFERROR(__xludf.DUMMYFUNCTION("""COMPUTED_VALUE"""),3.0258728E7)</f>
        <v>30258728</v>
      </c>
    </row>
    <row r="55">
      <c r="A55">
        <f>IFERROR(__xludf.DUMMYFUNCTION("""COMPUTED_VALUE"""),53.0)</f>
        <v>53</v>
      </c>
      <c r="B55" t="str">
        <f>IFERROR(__xludf.DUMMYFUNCTION("""COMPUTED_VALUE"""),"Venezuela")</f>
        <v>Venezuela</v>
      </c>
      <c r="C55">
        <f>IFERROR(__xludf.DUMMYFUNCTION("""COMPUTED_VALUE"""),2.8300854E7)</f>
        <v>28300854</v>
      </c>
      <c r="D55">
        <f>IFERROR(__xludf.DUMMYFUNCTION("""COMPUTED_VALUE"""),2.8573631E7)</f>
        <v>28573631</v>
      </c>
    </row>
    <row r="56">
      <c r="A56">
        <f>IFERROR(__xludf.DUMMYFUNCTION("""COMPUTED_VALUE"""),54.0)</f>
        <v>54</v>
      </c>
      <c r="B56" t="str">
        <f>IFERROR(__xludf.DUMMYFUNCTION("""COMPUTED_VALUE"""),"Australie")</f>
        <v>Australie</v>
      </c>
      <c r="C56">
        <f>IFERROR(__xludf.DUMMYFUNCTION("""COMPUTED_VALUE"""),2.6451124E7)</f>
        <v>26451124</v>
      </c>
      <c r="D56">
        <f>IFERROR(__xludf.DUMMYFUNCTION("""COMPUTED_VALUE"""),2.7103088E7)</f>
        <v>27103088</v>
      </c>
    </row>
    <row r="57">
      <c r="A57">
        <f>IFERROR(__xludf.DUMMYFUNCTION("""COMPUTED_VALUE"""),55.0)</f>
        <v>55</v>
      </c>
      <c r="B57" t="str">
        <f>IFERROR(__xludf.DUMMYFUNCTION("""COMPUTED_VALUE"""),"Corée du Nord")</f>
        <v>Corée du Nord</v>
      </c>
      <c r="C57">
        <f>IFERROR(__xludf.DUMMYFUNCTION("""COMPUTED_VALUE"""),2.6418204E7)</f>
        <v>26418204</v>
      </c>
      <c r="D57">
        <f>IFERROR(__xludf.DUMMYFUNCTION("""COMPUTED_VALUE"""),2.6604741E7)</f>
        <v>26604741</v>
      </c>
    </row>
    <row r="58">
      <c r="A58">
        <f>IFERROR(__xludf.DUMMYFUNCTION("""COMPUTED_VALUE"""),56.0)</f>
        <v>56</v>
      </c>
      <c r="B58" t="str">
        <f>IFERROR(__xludf.DUMMYFUNCTION("""COMPUTED_VALUE"""),"Niger")</f>
        <v>Niger</v>
      </c>
      <c r="C58">
        <f>IFERROR(__xludf.DUMMYFUNCTION("""COMPUTED_VALUE"""),2.6159867E7)</f>
        <v>26159867</v>
      </c>
      <c r="D58">
        <f>IFERROR(__xludf.DUMMYFUNCTION("""COMPUTED_VALUE"""),2.8363276E7)</f>
        <v>28363276</v>
      </c>
    </row>
    <row r="59">
      <c r="A59">
        <f>IFERROR(__xludf.DUMMYFUNCTION("""COMPUTED_VALUE"""),57.0)</f>
        <v>57</v>
      </c>
      <c r="B59" t="str">
        <f>IFERROR(__xludf.DUMMYFUNCTION("""COMPUTED_VALUE"""),"Mali")</f>
        <v>Mali</v>
      </c>
      <c r="C59">
        <f>IFERROR(__xludf.DUMMYFUNCTION("""COMPUTED_VALUE"""),2.3769127E7)</f>
        <v>23769127</v>
      </c>
      <c r="D59">
        <f>IFERROR(__xludf.DUMMYFUNCTION("""COMPUTED_VALUE"""),2.5562798E7)</f>
        <v>25562798</v>
      </c>
    </row>
    <row r="60">
      <c r="A60">
        <f>IFERROR(__xludf.DUMMYFUNCTION("""COMPUTED_VALUE"""),58.0)</f>
        <v>58</v>
      </c>
      <c r="B60" t="str">
        <f>IFERROR(__xludf.DUMMYFUNCTION("""COMPUTED_VALUE"""),"Syrie[j]")</f>
        <v>Syrie[j]</v>
      </c>
      <c r="C60">
        <f>IFERROR(__xludf.DUMMYFUNCTION("""COMPUTED_VALUE"""),2.3594623E7)</f>
        <v>23594623</v>
      </c>
      <c r="D60">
        <f>IFERROR(__xludf.DUMMYFUNCTION("""COMPUTED_VALUE"""),2.6069962E7)</f>
        <v>26069962</v>
      </c>
    </row>
    <row r="61">
      <c r="A61">
        <f>IFERROR(__xludf.DUMMYFUNCTION("""COMPUTED_VALUE"""),59.0)</f>
        <v>59</v>
      </c>
      <c r="B61" t="str">
        <f>IFERROR(__xludf.DUMMYFUNCTION("""COMPUTED_VALUE"""),"Taïwan")</f>
        <v>Taïwan</v>
      </c>
      <c r="C61">
        <f>IFERROR(__xludf.DUMMYFUNCTION("""COMPUTED_VALUE"""),2.3317145E7)</f>
        <v>23317145</v>
      </c>
      <c r="D61">
        <f>IFERROR(__xludf.DUMMYFUNCTION("""COMPUTED_VALUE"""),2.306195E7)</f>
        <v>23061950</v>
      </c>
    </row>
    <row r="62">
      <c r="A62">
        <f>IFERROR(__xludf.DUMMYFUNCTION("""COMPUTED_VALUE"""),60.0)</f>
        <v>60</v>
      </c>
      <c r="B62" t="str">
        <f>IFERROR(__xludf.DUMMYFUNCTION("""COMPUTED_VALUE"""),"Burkina Faso")</f>
        <v>Burkina Faso</v>
      </c>
      <c r="C62">
        <f>IFERROR(__xludf.DUMMYFUNCTION("""COMPUTED_VALUE"""),2.3025776E7)</f>
        <v>23025776</v>
      </c>
      <c r="D62">
        <f>IFERROR(__xludf.DUMMYFUNCTION("""COMPUTED_VALUE"""),2.4337514E7)</f>
        <v>24337514</v>
      </c>
    </row>
    <row r="63">
      <c r="A63">
        <f>IFERROR(__xludf.DUMMYFUNCTION("""COMPUTED_VALUE"""),61.0)</f>
        <v>61</v>
      </c>
      <c r="B63" t="str">
        <f>IFERROR(__xludf.DUMMYFUNCTION("""COMPUTED_VALUE"""),"Sri Lanka")</f>
        <v>Sri Lanka</v>
      </c>
      <c r="C63">
        <f>IFERROR(__xludf.DUMMYFUNCTION("""COMPUTED_VALUE"""),2.2971617E7)</f>
        <v>22971617</v>
      </c>
      <c r="D63">
        <f>IFERROR(__xludf.DUMMYFUNCTION("""COMPUTED_VALUE"""),2.3290249E7)</f>
        <v>23290249</v>
      </c>
    </row>
    <row r="64">
      <c r="A64">
        <f>IFERROR(__xludf.DUMMYFUNCTION("""COMPUTED_VALUE"""),62.0)</f>
        <v>62</v>
      </c>
      <c r="B64" t="str">
        <f>IFERROR(__xludf.DUMMYFUNCTION("""COMPUTED_VALUE"""),"Malawi")</f>
        <v>Malawi</v>
      </c>
      <c r="C64">
        <f>IFERROR(__xludf.DUMMYFUNCTION("""COMPUTED_VALUE"""),2.1104482E7)</f>
        <v>21104482</v>
      </c>
      <c r="D64">
        <f>IFERROR(__xludf.DUMMYFUNCTION("""COMPUTED_VALUE"""),2.2497799E7)</f>
        <v>22497799</v>
      </c>
    </row>
    <row r="65">
      <c r="A65">
        <f>IFERROR(__xludf.DUMMYFUNCTION("""COMPUTED_VALUE"""),63.0)</f>
        <v>63</v>
      </c>
      <c r="B65" t="str">
        <f>IFERROR(__xludf.DUMMYFUNCTION("""COMPUTED_VALUE"""),"Zambie")</f>
        <v>Zambie</v>
      </c>
      <c r="C65">
        <f>IFERROR(__xludf.DUMMYFUNCTION("""COMPUTED_VALUE"""),2.0723965E7)</f>
        <v>20723965</v>
      </c>
      <c r="D65">
        <f>IFERROR(__xludf.DUMMYFUNCTION("""COMPUTED_VALUE"""),2.2215385E7)</f>
        <v>22215385</v>
      </c>
    </row>
    <row r="66">
      <c r="A66">
        <f>IFERROR(__xludf.DUMMYFUNCTION("""COMPUTED_VALUE"""),64.0)</f>
        <v>64</v>
      </c>
      <c r="B66" t="str">
        <f>IFERROR(__xludf.DUMMYFUNCTION("""COMPUTED_VALUE"""),"Kazakhstan")</f>
        <v>Kazakhstan</v>
      </c>
      <c r="C66">
        <f>IFERROR(__xludf.DUMMYFUNCTION("""COMPUTED_VALUE"""),2.0330104E7)</f>
        <v>20330104</v>
      </c>
      <c r="D66">
        <f>IFERROR(__xludf.DUMMYFUNCTION("""COMPUTED_VALUE"""),2.0966575E7)</f>
        <v>20966575</v>
      </c>
    </row>
    <row r="67">
      <c r="A67">
        <f>IFERROR(__xludf.DUMMYFUNCTION("""COMPUTED_VALUE"""),65.0)</f>
        <v>65</v>
      </c>
      <c r="B67" t="str">
        <f>IFERROR(__xludf.DUMMYFUNCTION("""COMPUTED_VALUE"""),"Chili")</f>
        <v>Chili</v>
      </c>
      <c r="C67">
        <f>IFERROR(__xludf.DUMMYFUNCTION("""COMPUTED_VALUE"""),1.9658835E7)</f>
        <v>19658835</v>
      </c>
      <c r="D67">
        <f>IFERROR(__xludf.DUMMYFUNCTION("""COMPUTED_VALUE"""),1.990473E7)</f>
        <v>19904730</v>
      </c>
    </row>
    <row r="68">
      <c r="A68">
        <f>IFERROR(__xludf.DUMMYFUNCTION("""COMPUTED_VALUE"""),66.0)</f>
        <v>66</v>
      </c>
      <c r="B68" t="str">
        <f>IFERROR(__xludf.DUMMYFUNCTION("""COMPUTED_VALUE"""),"Tchad")</f>
        <v>Tchad</v>
      </c>
      <c r="C68">
        <f>IFERROR(__xludf.DUMMYFUNCTION("""COMPUTED_VALUE"""),1.9319064E7)</f>
        <v>19319064</v>
      </c>
      <c r="D68">
        <f>IFERROR(__xludf.DUMMYFUNCTION("""COMPUTED_VALUE"""),2.1279608E7)</f>
        <v>21279608</v>
      </c>
    </row>
    <row r="69">
      <c r="A69">
        <f>IFERROR(__xludf.DUMMYFUNCTION("""COMPUTED_VALUE"""),67.0)</f>
        <v>67</v>
      </c>
      <c r="B69" t="str">
        <f>IFERROR(__xludf.DUMMYFUNCTION("""COMPUTED_VALUE"""),"Roumanie")</f>
        <v>Roumanie</v>
      </c>
      <c r="C69">
        <f>IFERROR(__xludf.DUMMYFUNCTION("""COMPUTED_VALUE"""),1.9118479E7)</f>
        <v>19118479</v>
      </c>
      <c r="D69">
        <f>IFERROR(__xludf.DUMMYFUNCTION("""COMPUTED_VALUE"""),1.8854963E7)</f>
        <v>18854963</v>
      </c>
    </row>
    <row r="70">
      <c r="A70">
        <f>IFERROR(__xludf.DUMMYFUNCTION("""COMPUTED_VALUE"""),68.0)</f>
        <v>68</v>
      </c>
      <c r="B70" t="str">
        <f>IFERROR(__xludf.DUMMYFUNCTION("""COMPUTED_VALUE"""),"Somalie[k]")</f>
        <v>Somalie[k]</v>
      </c>
      <c r="C70">
        <f>IFERROR(__xludf.DUMMYFUNCTION("""COMPUTED_VALUE"""),1.8358615E7)</f>
        <v>18358615</v>
      </c>
      <c r="D70">
        <f>IFERROR(__xludf.DUMMYFUNCTION("""COMPUTED_VALUE"""),1.9977002E7)</f>
        <v>19977002</v>
      </c>
    </row>
    <row r="71">
      <c r="A71">
        <f>IFERROR(__xludf.DUMMYFUNCTION("""COMPUTED_VALUE"""),69.0)</f>
        <v>69</v>
      </c>
      <c r="B71" t="str">
        <f>IFERROR(__xludf.DUMMYFUNCTION("""COMPUTED_VALUE"""),"Guatemala")</f>
        <v>Guatemala</v>
      </c>
      <c r="C71">
        <f>IFERROR(__xludf.DUMMYFUNCTION("""COMPUTED_VALUE"""),1.8124838E7)</f>
        <v>18124838</v>
      </c>
      <c r="D71">
        <f>IFERROR(__xludf.DUMMYFUNCTION("""COMPUTED_VALUE"""),1.8828237E7)</f>
        <v>18828237</v>
      </c>
    </row>
    <row r="72">
      <c r="A72">
        <f>IFERROR(__xludf.DUMMYFUNCTION("""COMPUTED_VALUE"""),70.0)</f>
        <v>70</v>
      </c>
      <c r="B72" t="str">
        <f>IFERROR(__xludf.DUMMYFUNCTION("""COMPUTED_VALUE"""),"Pays-Bas[l]")</f>
        <v>Pays-Bas[l]</v>
      </c>
      <c r="C72">
        <f>IFERROR(__xludf.DUMMYFUNCTION("""COMPUTED_VALUE"""),1.8092524E7)</f>
        <v>18092524</v>
      </c>
      <c r="D72">
        <f>IFERROR(__xludf.DUMMYFUNCTION("""COMPUTED_VALUE"""),1.8401709E7)</f>
        <v>18401709</v>
      </c>
    </row>
    <row r="73">
      <c r="A73">
        <f>IFERROR(__xludf.DUMMYFUNCTION("""COMPUTED_VALUE"""),71.0)</f>
        <v>71</v>
      </c>
      <c r="B73" t="str">
        <f>IFERROR(__xludf.DUMMYFUNCTION("""COMPUTED_VALUE"""),"Sénégal")</f>
        <v>Sénégal</v>
      </c>
      <c r="C73">
        <f>IFERROR(__xludf.DUMMYFUNCTION("""COMPUTED_VALUE"""),1.8077573E7)</f>
        <v>18077573</v>
      </c>
      <c r="D73">
        <f>IFERROR(__xludf.DUMMYFUNCTION("""COMPUTED_VALUE"""),1.9148038E7)</f>
        <v>19148038</v>
      </c>
    </row>
    <row r="74">
      <c r="A74">
        <f>IFERROR(__xludf.DUMMYFUNCTION("""COMPUTED_VALUE"""),72.0)</f>
        <v>72</v>
      </c>
      <c r="B74" t="str">
        <f>IFERROR(__xludf.DUMMYFUNCTION("""COMPUTED_VALUE"""),"Équateur")</f>
        <v>Équateur</v>
      </c>
      <c r="C74">
        <f>IFERROR(__xludf.DUMMYFUNCTION("""COMPUTED_VALUE"""),1.7980083E7)</f>
        <v>17980083</v>
      </c>
      <c r="D74">
        <f>IFERROR(__xludf.DUMMYFUNCTION("""COMPUTED_VALUE"""),1.8366994E7)</f>
        <v>18366994</v>
      </c>
    </row>
    <row r="75">
      <c r="A75">
        <f>IFERROR(__xludf.DUMMYFUNCTION("""COMPUTED_VALUE"""),73.0)</f>
        <v>73</v>
      </c>
      <c r="B75" t="str">
        <f>IFERROR(__xludf.DUMMYFUNCTION("""COMPUTED_VALUE"""),"Cambodge")</f>
        <v>Cambodge</v>
      </c>
      <c r="C75">
        <f>IFERROR(__xludf.DUMMYFUNCTION("""COMPUTED_VALUE"""),1.742388E7)</f>
        <v>17423880</v>
      </c>
      <c r="D75">
        <f>IFERROR(__xludf.DUMMYFUNCTION("""COMPUTED_VALUE"""),1.7951445E7)</f>
        <v>17951445</v>
      </c>
    </row>
    <row r="76">
      <c r="A76">
        <f>IFERROR(__xludf.DUMMYFUNCTION("""COMPUTED_VALUE"""),74.0)</f>
        <v>74</v>
      </c>
      <c r="B76" t="str">
        <f>IFERROR(__xludf.DUMMYFUNCTION("""COMPUTED_VALUE"""),"Zimbabwe")</f>
        <v>Zimbabwe</v>
      </c>
      <c r="C76">
        <f>IFERROR(__xludf.DUMMYFUNCTION("""COMPUTED_VALUE"""),1.6340822E7)</f>
        <v>16340822</v>
      </c>
      <c r="D76">
        <f>IFERROR(__xludf.DUMMYFUNCTION("""COMPUTED_VALUE"""),1.7111229E7)</f>
        <v>17111229</v>
      </c>
    </row>
    <row r="77">
      <c r="A77">
        <f>IFERROR(__xludf.DUMMYFUNCTION("""COMPUTED_VALUE"""),75.0)</f>
        <v>75</v>
      </c>
      <c r="B77" t="str">
        <f>IFERROR(__xludf.DUMMYFUNCTION("""COMPUTED_VALUE"""),"Guinée")</f>
        <v>Guinée</v>
      </c>
      <c r="C77">
        <f>IFERROR(__xludf.DUMMYFUNCTION("""COMPUTED_VALUE"""),1.4405468E7)</f>
        <v>14405468</v>
      </c>
      <c r="D77">
        <f>IFERROR(__xludf.DUMMYFUNCTION("""COMPUTED_VALUE"""),1.5271424E7)</f>
        <v>15271424</v>
      </c>
    </row>
    <row r="78">
      <c r="A78">
        <f>IFERROR(__xludf.DUMMYFUNCTION("""COMPUTED_VALUE"""),76.0)</f>
        <v>76</v>
      </c>
      <c r="B78" t="str">
        <f>IFERROR(__xludf.DUMMYFUNCTION("""COMPUTED_VALUE"""),"Bénin")</f>
        <v>Bénin</v>
      </c>
      <c r="C78">
        <f>IFERROR(__xludf.DUMMYFUNCTION("""COMPUTED_VALUE"""),1.4111034E7)</f>
        <v>14111034</v>
      </c>
      <c r="D78">
        <f>IFERROR(__xludf.DUMMYFUNCTION("""COMPUTED_VALUE"""),1.4991374E7)</f>
        <v>14991374</v>
      </c>
    </row>
    <row r="79">
      <c r="A79">
        <f>IFERROR(__xludf.DUMMYFUNCTION("""COMPUTED_VALUE"""),77.0)</f>
        <v>77</v>
      </c>
      <c r="B79" t="str">
        <f>IFERROR(__xludf.DUMMYFUNCTION("""COMPUTED_VALUE"""),"Rwanda")</f>
        <v>Rwanda</v>
      </c>
      <c r="C79">
        <f>IFERROR(__xludf.DUMMYFUNCTION("""COMPUTED_VALUE"""),1.3954471E7)</f>
        <v>13954471</v>
      </c>
      <c r="D79">
        <f>IFERROR(__xludf.DUMMYFUNCTION("""COMPUTED_VALUE"""),1.4731895E7)</f>
        <v>14731895</v>
      </c>
    </row>
    <row r="80">
      <c r="A80">
        <f>IFERROR(__xludf.DUMMYFUNCTION("""COMPUTED_VALUE"""),78.0)</f>
        <v>78</v>
      </c>
      <c r="B80" t="str">
        <f>IFERROR(__xludf.DUMMYFUNCTION("""COMPUTED_VALUE"""),"Burundi")</f>
        <v>Burundi</v>
      </c>
      <c r="C80">
        <f>IFERROR(__xludf.DUMMYFUNCTION("""COMPUTED_VALUE"""),1.368945E7)</f>
        <v>13689450</v>
      </c>
      <c r="D80">
        <f>IFERROR(__xludf.DUMMYFUNCTION("""COMPUTED_VALUE"""),1.4559334E7)</f>
        <v>14559334</v>
      </c>
    </row>
    <row r="81">
      <c r="A81">
        <f>IFERROR(__xludf.DUMMYFUNCTION("""COMPUTED_VALUE"""),79.0)</f>
        <v>79</v>
      </c>
      <c r="B81" t="str">
        <f>IFERROR(__xludf.DUMMYFUNCTION("""COMPUTED_VALUE"""),"Bolivie")</f>
        <v>Bolivie</v>
      </c>
      <c r="C81">
        <f>IFERROR(__xludf.DUMMYFUNCTION("""COMPUTED_VALUE"""),1.2244159E7)</f>
        <v>12244159</v>
      </c>
      <c r="D81">
        <f>IFERROR(__xludf.DUMMYFUNCTION("""COMPUTED_VALUE"""),1.2665879E7)</f>
        <v>12665879</v>
      </c>
    </row>
    <row r="82">
      <c r="A82">
        <f>IFERROR(__xludf.DUMMYFUNCTION("""COMPUTED_VALUE"""),80.0)</f>
        <v>80</v>
      </c>
      <c r="B82" t="str">
        <f>IFERROR(__xludf.DUMMYFUNCTION("""COMPUTED_VALUE"""),"Tunisie")</f>
        <v>Tunisie</v>
      </c>
      <c r="C82">
        <f>IFERROR(__xludf.DUMMYFUNCTION("""COMPUTED_VALUE"""),1.2200431E7)</f>
        <v>12200431</v>
      </c>
      <c r="D82">
        <f>IFERROR(__xludf.DUMMYFUNCTION("""COMPUTED_VALUE"""),1.2383188E7)</f>
        <v>12383188</v>
      </c>
    </row>
    <row r="83">
      <c r="A83">
        <f>IFERROR(__xludf.DUMMYFUNCTION("""COMPUTED_VALUE"""),81.0)</f>
        <v>81</v>
      </c>
      <c r="B83" t="str">
        <f>IFERROR(__xludf.DUMMYFUNCTION("""COMPUTED_VALUE"""),"Belgique")</f>
        <v>Belgique</v>
      </c>
      <c r="C83">
        <f>IFERROR(__xludf.DUMMYFUNCTION("""COMPUTED_VALUE"""),1.1712893E7)</f>
        <v>11712893</v>
      </c>
      <c r="D83">
        <f>IFERROR(__xludf.DUMMYFUNCTION("""COMPUTED_VALUE"""),1.1767361E7)</f>
        <v>11767361</v>
      </c>
    </row>
    <row r="84">
      <c r="A84">
        <f>IFERROR(__xludf.DUMMYFUNCTION("""COMPUTED_VALUE"""),82.0)</f>
        <v>82</v>
      </c>
      <c r="B84" t="str">
        <f>IFERROR(__xludf.DUMMYFUNCTION("""COMPUTED_VALUE"""),"Haïti")</f>
        <v>Haïti</v>
      </c>
      <c r="C84">
        <f>IFERROR(__xludf.DUMMYFUNCTION("""COMPUTED_VALUE"""),1.1637398E7)</f>
        <v>11637398</v>
      </c>
      <c r="D84">
        <f>IFERROR(__xludf.DUMMYFUNCTION("""COMPUTED_VALUE"""),1.1972272E7)</f>
        <v>11972272</v>
      </c>
    </row>
    <row r="85">
      <c r="A85">
        <f>IFERROR(__xludf.DUMMYFUNCTION("""COMPUTED_VALUE"""),83.0)</f>
        <v>83</v>
      </c>
      <c r="B85" t="str">
        <f>IFERROR(__xludf.DUMMYFUNCTION("""COMPUTED_VALUE"""),"Soudan du Sud")</f>
        <v>Soudan du Sud</v>
      </c>
      <c r="C85">
        <f>IFERROR(__xludf.DUMMYFUNCTION("""COMPUTED_VALUE"""),1.1483374E7)</f>
        <v>11483374</v>
      </c>
      <c r="D85">
        <f>IFERROR(__xludf.DUMMYFUNCTION("""COMPUTED_VALUE"""),1.2310612E7)</f>
        <v>12310612</v>
      </c>
    </row>
    <row r="86">
      <c r="A86">
        <f>IFERROR(__xludf.DUMMYFUNCTION("""COMPUTED_VALUE"""),84.0)</f>
        <v>84</v>
      </c>
      <c r="B86" t="str">
        <f>IFERROR(__xludf.DUMMYFUNCTION("""COMPUTED_VALUE"""),"Jordanie")</f>
        <v>Jordanie</v>
      </c>
      <c r="C86">
        <f>IFERROR(__xludf.DUMMYFUNCTION("""COMPUTED_VALUE"""),1.1439213E7)</f>
        <v>11439213</v>
      </c>
      <c r="D86">
        <f>IFERROR(__xludf.DUMMYFUNCTION("""COMPUTED_VALUE"""),1.146656E7)</f>
        <v>11466560</v>
      </c>
    </row>
    <row r="87">
      <c r="A87">
        <f>IFERROR(__xludf.DUMMYFUNCTION("""COMPUTED_VALUE"""),85.0)</f>
        <v>85</v>
      </c>
      <c r="B87" t="str">
        <f>IFERROR(__xludf.DUMMYFUNCTION("""COMPUTED_VALUE"""),"République dominicaine")</f>
        <v>République dominicaine</v>
      </c>
      <c r="C87">
        <f>IFERROR(__xludf.DUMMYFUNCTION("""COMPUTED_VALUE"""),1.1331265E7)</f>
        <v>11331265</v>
      </c>
      <c r="D87">
        <f>IFERROR(__xludf.DUMMYFUNCTION("""COMPUTED_VALUE"""),1.1565848E7)</f>
        <v>11565848</v>
      </c>
    </row>
    <row r="88">
      <c r="A88">
        <f>IFERROR(__xludf.DUMMYFUNCTION("""COMPUTED_VALUE"""),86.0)</f>
        <v>86</v>
      </c>
      <c r="B88" t="str">
        <f>IFERROR(__xludf.DUMMYFUNCTION("""COMPUTED_VALUE"""),"Cuba")</f>
        <v>Cuba</v>
      </c>
      <c r="C88">
        <f>IFERROR(__xludf.DUMMYFUNCTION("""COMPUTED_VALUE"""),1.1019931E7)</f>
        <v>11019931</v>
      </c>
      <c r="D88">
        <f>IFERROR(__xludf.DUMMYFUNCTION("""COMPUTED_VALUE"""),1.0915434E7)</f>
        <v>10915434</v>
      </c>
    </row>
    <row r="89">
      <c r="A89">
        <f>IFERROR(__xludf.DUMMYFUNCTION("""COMPUTED_VALUE"""),87.0)</f>
        <v>87</v>
      </c>
      <c r="B89" t="str">
        <f>IFERROR(__xludf.DUMMYFUNCTION("""COMPUTED_VALUE"""),"Tchéquie")</f>
        <v>Tchéquie</v>
      </c>
      <c r="C89">
        <f>IFERROR(__xludf.DUMMYFUNCTION("""COMPUTED_VALUE"""),1.0809716E7)</f>
        <v>10809716</v>
      </c>
      <c r="D89">
        <f>IFERROR(__xludf.DUMMYFUNCTION("""COMPUTED_VALUE"""),1.0538315E7)</f>
        <v>10538315</v>
      </c>
    </row>
    <row r="90">
      <c r="A90">
        <f>IFERROR(__xludf.DUMMYFUNCTION("""COMPUTED_VALUE"""),88.0)</f>
        <v>88</v>
      </c>
      <c r="B90" t="str">
        <f>IFERROR(__xludf.DUMMYFUNCTION("""COMPUTED_VALUE"""),"Honduras")</f>
        <v>Honduras</v>
      </c>
      <c r="C90">
        <f>IFERROR(__xludf.DUMMYFUNCTION("""COMPUTED_VALUE"""),1.0644851E7)</f>
        <v>10644851</v>
      </c>
      <c r="D90">
        <f>IFERROR(__xludf.DUMMYFUNCTION("""COMPUTED_VALUE"""),1.1095684E7)</f>
        <v>11095684</v>
      </c>
    </row>
    <row r="91">
      <c r="A91">
        <f>IFERROR(__xludf.DUMMYFUNCTION("""COMPUTED_VALUE"""),89.0)</f>
        <v>89</v>
      </c>
      <c r="B91" t="str">
        <f>IFERROR(__xludf.DUMMYFUNCTION("""COMPUTED_VALUE"""),"Émirats arabes unis")</f>
        <v>Émirats arabes unis</v>
      </c>
      <c r="C91">
        <f>IFERROR(__xludf.DUMMYFUNCTION("""COMPUTED_VALUE"""),1.0642081E7)</f>
        <v>10642081</v>
      </c>
      <c r="D91">
        <f>IFERROR(__xludf.DUMMYFUNCTION("""COMPUTED_VALUE"""),1.1476873E7)</f>
        <v>11476873</v>
      </c>
    </row>
    <row r="92">
      <c r="A92">
        <f>IFERROR(__xludf.DUMMYFUNCTION("""COMPUTED_VALUE"""),90.0)</f>
        <v>90</v>
      </c>
      <c r="B92" t="str">
        <f>IFERROR(__xludf.DUMMYFUNCTION("""COMPUTED_VALUE"""),"Suède")</f>
        <v>Suède</v>
      </c>
      <c r="C92">
        <f>IFERROR(__xludf.DUMMYFUNCTION("""COMPUTED_VALUE"""),1.0551494E7)</f>
        <v>10551494</v>
      </c>
      <c r="D92">
        <f>IFERROR(__xludf.DUMMYFUNCTION("""COMPUTED_VALUE"""),1.0680346E7)</f>
        <v>10680346</v>
      </c>
    </row>
    <row r="93">
      <c r="A93">
        <f>IFERROR(__xludf.DUMMYFUNCTION("""COMPUTED_VALUE"""),91.0)</f>
        <v>91</v>
      </c>
      <c r="B93" t="str">
        <f>IFERROR(__xludf.DUMMYFUNCTION("""COMPUTED_VALUE"""),"Portugal")</f>
        <v>Portugal</v>
      </c>
      <c r="C93">
        <f>IFERROR(__xludf.DUMMYFUNCTION("""COMPUTED_VALUE"""),1.0430738E7)</f>
        <v>10430738</v>
      </c>
      <c r="D93">
        <f>IFERROR(__xludf.DUMMYFUNCTION("""COMPUTED_VALUE"""),1.0403733E7)</f>
        <v>10403733</v>
      </c>
    </row>
    <row r="94">
      <c r="A94">
        <f>IFERROR(__xludf.DUMMYFUNCTION("""COMPUTED_VALUE"""),92.0)</f>
        <v>92</v>
      </c>
      <c r="B94" t="str">
        <f>IFERROR(__xludf.DUMMYFUNCTION("""COMPUTED_VALUE"""),"Tadjikistan")</f>
        <v>Tadjikistan</v>
      </c>
      <c r="C94">
        <f>IFERROR(__xludf.DUMMYFUNCTION("""COMPUTED_VALUE"""),1.0389799E7)</f>
        <v>10389799</v>
      </c>
      <c r="D94">
        <f>IFERROR(__xludf.DUMMYFUNCTION("""COMPUTED_VALUE"""),1.0883318E7)</f>
        <v>10883318</v>
      </c>
    </row>
    <row r="95">
      <c r="A95">
        <f>IFERROR(__xludf.DUMMYFUNCTION("""COMPUTED_VALUE"""),93.0)</f>
        <v>93</v>
      </c>
      <c r="B95" t="str">
        <f>IFERROR(__xludf.DUMMYFUNCTION("""COMPUTED_VALUE"""),"Papouasie-Nouvelle-Guinée")</f>
        <v>Papouasie-Nouvelle-Guinée</v>
      </c>
      <c r="C95">
        <f>IFERROR(__xludf.DUMMYFUNCTION("""COMPUTED_VALUE"""),1.0389635E7)</f>
        <v>10389635</v>
      </c>
      <c r="D95">
        <f>IFERROR(__xludf.DUMMYFUNCTION("""COMPUTED_VALUE"""),1.0855692E7)</f>
        <v>10855692</v>
      </c>
    </row>
    <row r="96">
      <c r="A96">
        <f>IFERROR(__xludf.DUMMYFUNCTION("""COMPUTED_VALUE"""),94.0)</f>
        <v>94</v>
      </c>
      <c r="B96" t="str">
        <f>IFERROR(__xludf.DUMMYFUNCTION("""COMPUTED_VALUE"""),"Azerbaïdjan[m]")</f>
        <v>Azerbaïdjan[m]</v>
      </c>
      <c r="C96">
        <f>IFERROR(__xludf.DUMMYFUNCTION("""COMPUTED_VALUE"""),1.0318207E7)</f>
        <v>10318207</v>
      </c>
      <c r="D96">
        <f>IFERROR(__xludf.DUMMYFUNCTION("""COMPUTED_VALUE"""),1.042706E7)</f>
        <v>10427060</v>
      </c>
    </row>
    <row r="97">
      <c r="A97">
        <f>IFERROR(__xludf.DUMMYFUNCTION("""COMPUTED_VALUE"""),95.0)</f>
        <v>95</v>
      </c>
      <c r="B97" t="str">
        <f>IFERROR(__xludf.DUMMYFUNCTION("""COMPUTED_VALUE"""),"Grèce")</f>
        <v>Grèce</v>
      </c>
      <c r="C97">
        <f>IFERROR(__xludf.DUMMYFUNCTION("""COMPUTED_VALUE"""),1.0242908E7)</f>
        <v>10242908</v>
      </c>
      <c r="D97">
        <f>IFERROR(__xludf.DUMMYFUNCTION("""COMPUTED_VALUE"""),9918577.0)</f>
        <v>9918577</v>
      </c>
    </row>
    <row r="98">
      <c r="A98">
        <f>IFERROR(__xludf.DUMMYFUNCTION("""COMPUTED_VALUE"""),96.0)</f>
        <v>96</v>
      </c>
      <c r="B98" t="str">
        <f>IFERROR(__xludf.DUMMYFUNCTION("""COMPUTED_VALUE"""),"Hongrie")</f>
        <v>Hongrie</v>
      </c>
      <c r="C98">
        <f>IFERROR(__xludf.DUMMYFUNCTION("""COMPUTED_VALUE"""),9686463.0)</f>
        <v>9686463</v>
      </c>
      <c r="D98">
        <f>IFERROR(__xludf.DUMMYFUNCTION("""COMPUTED_VALUE"""),9602027.0)</f>
        <v>9602027</v>
      </c>
    </row>
    <row r="99">
      <c r="A99">
        <f>IFERROR(__xludf.DUMMYFUNCTION("""COMPUTED_VALUE"""),97.0)</f>
        <v>97</v>
      </c>
      <c r="B99" t="str">
        <f>IFERROR(__xludf.DUMMYFUNCTION("""COMPUTED_VALUE"""),"Togo")</f>
        <v>Togo</v>
      </c>
      <c r="C99">
        <f>IFERROR(__xludf.DUMMYFUNCTION("""COMPUTED_VALUE"""),9304337.0)</f>
        <v>9304337</v>
      </c>
      <c r="D99">
        <f>IFERROR(__xludf.DUMMYFUNCTION("""COMPUTED_VALUE"""),9825136.0)</f>
        <v>9825136</v>
      </c>
    </row>
    <row r="100">
      <c r="A100">
        <f>IFERROR(__xludf.DUMMYFUNCTION("""COMPUTED_VALUE"""),98.0)</f>
        <v>98</v>
      </c>
      <c r="B100" t="str">
        <f>IFERROR(__xludf.DUMMYFUNCTION("""COMPUTED_VALUE"""),"Israël[n]")</f>
        <v>Israël[n]</v>
      </c>
      <c r="C100">
        <f>IFERROR(__xludf.DUMMYFUNCTION("""COMPUTED_VALUE"""),9256314.0)</f>
        <v>9256314</v>
      </c>
      <c r="D100">
        <f>IFERROR(__xludf.DUMMYFUNCTION("""COMPUTED_VALUE"""),9582136.0)</f>
        <v>9582136</v>
      </c>
    </row>
    <row r="101">
      <c r="A101">
        <f>IFERROR(__xludf.DUMMYFUNCTION("""COMPUTED_VALUE"""),99.0)</f>
        <v>99</v>
      </c>
      <c r="B101" t="str">
        <f>IFERROR(__xludf.DUMMYFUNCTION("""COMPUTED_VALUE"""),"Autriche")</f>
        <v>Autriche</v>
      </c>
      <c r="C101">
        <f>IFERROR(__xludf.DUMMYFUNCTION("""COMPUTED_VALUE"""),9130429.0)</f>
        <v>9130429</v>
      </c>
      <c r="D101">
        <f>IFERROR(__xludf.DUMMYFUNCTION("""COMPUTED_VALUE"""),9110277.0)</f>
        <v>9110277</v>
      </c>
    </row>
    <row r="102">
      <c r="A102">
        <f>IFERROR(__xludf.DUMMYFUNCTION("""COMPUTED_VALUE"""),100.0)</f>
        <v>100</v>
      </c>
      <c r="B102" t="str">
        <f>IFERROR(__xludf.DUMMYFUNCTION("""COMPUTED_VALUE"""),"Biélorussie")</f>
        <v>Biélorussie</v>
      </c>
      <c r="C102">
        <f>IFERROR(__xludf.DUMMYFUNCTION("""COMPUTED_VALUE"""),9115680.0)</f>
        <v>9115680</v>
      </c>
      <c r="D102">
        <f>IFERROR(__xludf.DUMMYFUNCTION("""COMPUTED_VALUE"""),8967712.0)</f>
        <v>8967712</v>
      </c>
    </row>
    <row r="103">
      <c r="A103">
        <f>IFERROR(__xludf.DUMMYFUNCTION("""COMPUTED_VALUE"""),101.0)</f>
        <v>101</v>
      </c>
      <c r="B103" t="str">
        <f>IFERROR(__xludf.DUMMYFUNCTION("""COMPUTED_VALUE"""),"Suisse")</f>
        <v>Suisse</v>
      </c>
      <c r="C103">
        <f>IFERROR(__xludf.DUMMYFUNCTION("""COMPUTED_VALUE"""),8870561.0)</f>
        <v>8870561</v>
      </c>
      <c r="D103">
        <f>IFERROR(__xludf.DUMMYFUNCTION("""COMPUTED_VALUE"""),8988922.0)</f>
        <v>8988922</v>
      </c>
    </row>
    <row r="104">
      <c r="A104">
        <f>IFERROR(__xludf.DUMMYFUNCTION("""COMPUTED_VALUE"""),102.0)</f>
        <v>102</v>
      </c>
      <c r="B104" t="str">
        <f>IFERROR(__xludf.DUMMYFUNCTION("""COMPUTED_VALUE"""),"Sierra Leone")</f>
        <v>Sierra Leone</v>
      </c>
      <c r="C104">
        <f>IFERROR(__xludf.DUMMYFUNCTION("""COMPUTED_VALUE"""),8460512.0)</f>
        <v>8460512</v>
      </c>
      <c r="D104">
        <f>IFERROR(__xludf.DUMMYFUNCTION("""COMPUTED_VALUE"""),8908448.0)</f>
        <v>8908448</v>
      </c>
    </row>
    <row r="105">
      <c r="A105">
        <f>IFERROR(__xludf.DUMMYFUNCTION("""COMPUTED_VALUE"""),103.0)</f>
        <v>103</v>
      </c>
      <c r="B105" t="str">
        <f>IFERROR(__xludf.DUMMYFUNCTION("""COMPUTED_VALUE"""),"Laos")</f>
        <v>Laos</v>
      </c>
      <c r="C105">
        <f>IFERROR(__xludf.DUMMYFUNCTION("""COMPUTED_VALUE"""),7664993.0)</f>
        <v>7664993</v>
      </c>
      <c r="D105">
        <f>IFERROR(__xludf.DUMMYFUNCTION("""COMPUTED_VALUE"""),7924127.0)</f>
        <v>7924127</v>
      </c>
    </row>
    <row r="106">
      <c r="A106" t="str">
        <f>IFERROR(__xludf.DUMMYFUNCTION("""COMPUTED_VALUE"""),"-")</f>
        <v>-</v>
      </c>
      <c r="B106" t="str">
        <f>IFERROR(__xludf.DUMMYFUNCTION("""COMPUTED_VALUE"""),"*Hong Kong*")</f>
        <v>*Hong Kong*</v>
      </c>
      <c r="C106" t="str">
        <f>IFERROR(__xludf.DUMMYFUNCTION("""COMPUTED_VALUE"""),"*7 442 734*")</f>
        <v>*7 442 734*</v>
      </c>
      <c r="D106" t="str">
        <f>IFERROR(__xludf.DUMMYFUNCTION("""COMPUTED_VALUE"""),"*7 395 411*")</f>
        <v>*7 395 411*</v>
      </c>
    </row>
    <row r="107">
      <c r="A107">
        <f>IFERROR(__xludf.DUMMYFUNCTION("""COMPUTED_VALUE"""),104.0)</f>
        <v>104</v>
      </c>
      <c r="B107" t="str">
        <f>IFERROR(__xludf.DUMMYFUNCTION("""COMPUTED_VALUE"""),"Turkménistan")</f>
        <v>Turkménistan</v>
      </c>
      <c r="C107">
        <f>IFERROR(__xludf.DUMMYFUNCTION("""COMPUTED_VALUE"""),7364438.0)</f>
        <v>7364438</v>
      </c>
      <c r="D107">
        <f>IFERROR(__xludf.DUMMYFUNCTION("""COMPUTED_VALUE"""),7679401.0)</f>
        <v>7679401</v>
      </c>
    </row>
    <row r="108">
      <c r="A108">
        <f>IFERROR(__xludf.DUMMYFUNCTION("""COMPUTED_VALUE"""),105.0)</f>
        <v>105</v>
      </c>
      <c r="B108" t="str">
        <f>IFERROR(__xludf.DUMMYFUNCTION("""COMPUTED_VALUE"""),"Libye")</f>
        <v>Libye</v>
      </c>
      <c r="C108">
        <f>IFERROR(__xludf.DUMMYFUNCTION("""COMPUTED_VALUE"""),7305659.0)</f>
        <v>7305659</v>
      </c>
      <c r="D108">
        <f>IFERROR(__xludf.DUMMYFUNCTION("""COMPUTED_VALUE"""),7497603.0)</f>
        <v>7497603</v>
      </c>
    </row>
    <row r="109">
      <c r="A109">
        <f>IFERROR(__xludf.DUMMYFUNCTION("""COMPUTED_VALUE"""),106.0)</f>
        <v>106</v>
      </c>
      <c r="B109" t="str">
        <f>IFERROR(__xludf.DUMMYFUNCTION("""COMPUTED_VALUE"""),"Kirghizistan")</f>
        <v>Kirghizistan</v>
      </c>
      <c r="C109">
        <f>IFERROR(__xludf.DUMMYFUNCTION("""COMPUTED_VALUE"""),7073516.0)</f>
        <v>7073516</v>
      </c>
      <c r="D109">
        <f>IFERROR(__xludf.DUMMYFUNCTION("""COMPUTED_VALUE"""),7348645.0)</f>
        <v>7348645</v>
      </c>
    </row>
    <row r="110">
      <c r="A110">
        <f>IFERROR(__xludf.DUMMYFUNCTION("""COMPUTED_VALUE"""),107.0)</f>
        <v>107</v>
      </c>
      <c r="B110" t="str">
        <f>IFERROR(__xludf.DUMMYFUNCTION("""COMPUTED_VALUE"""),"Paraguay")</f>
        <v>Paraguay</v>
      </c>
      <c r="C110">
        <f>IFERROR(__xludf.DUMMYFUNCTION("""COMPUTED_VALUE"""),6844146.0)</f>
        <v>6844146</v>
      </c>
      <c r="D110">
        <f>IFERROR(__xludf.DUMMYFUNCTION("""COMPUTED_VALUE"""),7054615.0)</f>
        <v>7054615</v>
      </c>
    </row>
    <row r="111">
      <c r="A111">
        <f>IFERROR(__xludf.DUMMYFUNCTION("""COMPUTED_VALUE"""),108.0)</f>
        <v>108</v>
      </c>
      <c r="B111" t="str">
        <f>IFERROR(__xludf.DUMMYFUNCTION("""COMPUTED_VALUE"""),"Nicaragua")</f>
        <v>Nicaragua</v>
      </c>
      <c r="C111">
        <f>IFERROR(__xludf.DUMMYFUNCTION("""COMPUTED_VALUE"""),6823613.0)</f>
        <v>6823613</v>
      </c>
      <c r="D111">
        <f>IFERROR(__xludf.DUMMYFUNCTION("""COMPUTED_VALUE"""),7052795.0)</f>
        <v>7052795</v>
      </c>
    </row>
    <row r="112">
      <c r="A112">
        <f>IFERROR(__xludf.DUMMYFUNCTION("""COMPUTED_VALUE"""),109.0)</f>
        <v>109</v>
      </c>
      <c r="B112" t="str">
        <f>IFERROR(__xludf.DUMMYFUNCTION("""COMPUTED_VALUE"""),"Bulgarie")</f>
        <v>Bulgarie</v>
      </c>
      <c r="C112">
        <f>IFERROR(__xludf.DUMMYFUNCTION("""COMPUTED_VALUE"""),6795803.0)</f>
        <v>6795803</v>
      </c>
      <c r="D112">
        <f>IFERROR(__xludf.DUMMYFUNCTION("""COMPUTED_VALUE"""),6691964.0)</f>
        <v>6691964</v>
      </c>
    </row>
    <row r="113">
      <c r="A113">
        <f>IFERROR(__xludf.DUMMYFUNCTION("""COMPUTED_VALUE"""),110.0)</f>
        <v>110</v>
      </c>
      <c r="B113" t="str">
        <f>IFERROR(__xludf.DUMMYFUNCTION("""COMPUTED_VALUE"""),"Serbie[o]")</f>
        <v>Serbie[o]</v>
      </c>
      <c r="C113">
        <f>IFERROR(__xludf.DUMMYFUNCTION("""COMPUTED_VALUE"""),6773201.0)</f>
        <v>6773201</v>
      </c>
      <c r="D113">
        <f>IFERROR(__xludf.DUMMYFUNCTION("""COMPUTED_VALUE"""),6663980.0)</f>
        <v>6663980</v>
      </c>
    </row>
    <row r="114">
      <c r="A114">
        <f>IFERROR(__xludf.DUMMYFUNCTION("""COMPUTED_VALUE"""),111.0)</f>
        <v>111</v>
      </c>
      <c r="B114" t="str">
        <f>IFERROR(__xludf.DUMMYFUNCTION("""COMPUTED_VALUE"""),"Salvador")</f>
        <v>Salvador</v>
      </c>
      <c r="C114">
        <f>IFERROR(__xludf.DUMMYFUNCTION("""COMPUTED_VALUE"""),6309624.0)</f>
        <v>6309624</v>
      </c>
      <c r="D114">
        <f>IFERROR(__xludf.DUMMYFUNCTION("""COMPUTED_VALUE"""),6378605.0)</f>
        <v>6378605</v>
      </c>
    </row>
    <row r="115">
      <c r="A115">
        <f>IFERROR(__xludf.DUMMYFUNCTION("""COMPUTED_VALUE"""),112.0)</f>
        <v>112</v>
      </c>
      <c r="B115" t="str">
        <f>IFERROR(__xludf.DUMMYFUNCTION("""COMPUTED_VALUE"""),"République du Congo")</f>
        <v>République du Congo</v>
      </c>
      <c r="C115">
        <f>IFERROR(__xludf.DUMMYFUNCTION("""COMPUTED_VALUE"""),6182885.0)</f>
        <v>6182885</v>
      </c>
      <c r="D115">
        <f>IFERROR(__xludf.DUMMYFUNCTION("""COMPUTED_VALUE"""),6560580.0)</f>
        <v>6560580</v>
      </c>
    </row>
    <row r="116">
      <c r="A116">
        <f>IFERROR(__xludf.DUMMYFUNCTION("""COMPUTED_VALUE"""),113.0)</f>
        <v>113</v>
      </c>
      <c r="B116" t="str">
        <f>IFERROR(__xludf.DUMMYFUNCTION("""COMPUTED_VALUE"""),"Danemark[p]")</f>
        <v>Danemark[p]</v>
      </c>
      <c r="C116">
        <f>IFERROR(__xludf.DUMMYFUNCTION("""COMPUTED_VALUE"""),5948136.0)</f>
        <v>5948136</v>
      </c>
      <c r="D116">
        <f>IFERROR(__xludf.DUMMYFUNCTION("""COMPUTED_VALUE"""),6014093.0)</f>
        <v>6014093</v>
      </c>
    </row>
    <row r="117">
      <c r="A117">
        <f>IFERROR(__xludf.DUMMYFUNCTION("""COMPUTED_VALUE"""),114.0)</f>
        <v>114</v>
      </c>
      <c r="B117" t="str">
        <f>IFERROR(__xludf.DUMMYFUNCTION("""COMPUTED_VALUE"""),"Singapour")</f>
        <v>Singapour</v>
      </c>
      <c r="C117">
        <f>IFERROR(__xludf.DUMMYFUNCTION("""COMPUTED_VALUE"""),5789090.0)</f>
        <v>5789090</v>
      </c>
      <c r="D117">
        <f>IFERROR(__xludf.DUMMYFUNCTION("""COMPUTED_VALUE"""),5889187.0)</f>
        <v>5889187</v>
      </c>
    </row>
    <row r="118">
      <c r="A118">
        <f>IFERROR(__xludf.DUMMYFUNCTION("""COMPUTED_VALUE"""),115.0)</f>
        <v>115</v>
      </c>
      <c r="B118" t="str">
        <f>IFERROR(__xludf.DUMMYFUNCTION("""COMPUTED_VALUE"""),"Liban")</f>
        <v>Liban</v>
      </c>
      <c r="C118">
        <f>IFERROR(__xludf.DUMMYFUNCTION("""COMPUTED_VALUE"""),5773493.0)</f>
        <v>5773493</v>
      </c>
      <c r="D118">
        <f>IFERROR(__xludf.DUMMYFUNCTION("""COMPUTED_VALUE"""),5872709.0)</f>
        <v>5872709</v>
      </c>
    </row>
    <row r="119">
      <c r="A119">
        <f>IFERROR(__xludf.DUMMYFUNCTION("""COMPUTED_VALUE"""),116.0)</f>
        <v>116</v>
      </c>
      <c r="B119" t="str">
        <f>IFERROR(__xludf.DUMMYFUNCTION("""COMPUTED_VALUE"""),"Finlande[q]")</f>
        <v>Finlande[q]</v>
      </c>
      <c r="C119">
        <f>IFERROR(__xludf.DUMMYFUNCTION("""COMPUTED_VALUE"""),5601185.0)</f>
        <v>5601185</v>
      </c>
      <c r="D119">
        <f>IFERROR(__xludf.DUMMYFUNCTION("""COMPUTED_VALUE"""),5624082.0)</f>
        <v>5624082</v>
      </c>
    </row>
    <row r="120">
      <c r="A120">
        <f>IFERROR(__xludf.DUMMYFUNCTION("""COMPUTED_VALUE"""),117.0)</f>
        <v>117</v>
      </c>
      <c r="B120" t="str">
        <f>IFERROR(__xludf.DUMMYFUNCTION("""COMPUTED_VALUE"""),"Norvège")</f>
        <v>Norvège</v>
      </c>
      <c r="C120">
        <f>IFERROR(__xludf.DUMMYFUNCTION("""COMPUTED_VALUE"""),5519167.0)</f>
        <v>5519167</v>
      </c>
      <c r="D120">
        <f>IFERROR(__xludf.DUMMYFUNCTION("""COMPUTED_VALUE"""),5642601.0)</f>
        <v>5642601</v>
      </c>
    </row>
    <row r="121">
      <c r="A121">
        <f>IFERROR(__xludf.DUMMYFUNCTION("""COMPUTED_VALUE"""),118.0)</f>
        <v>118</v>
      </c>
      <c r="B121" t="str">
        <f>IFERROR(__xludf.DUMMYFUNCTION("""COMPUTED_VALUE"""),"Slovaquie")</f>
        <v>Slovaquie</v>
      </c>
      <c r="C121">
        <f>IFERROR(__xludf.DUMMYFUNCTION("""COMPUTED_VALUE"""),5518055.0)</f>
        <v>5518055</v>
      </c>
      <c r="D121">
        <f>IFERROR(__xludf.DUMMYFUNCTION("""COMPUTED_VALUE"""),5455816.0)</f>
        <v>5455816</v>
      </c>
    </row>
    <row r="122">
      <c r="A122">
        <f>IFERROR(__xludf.DUMMYFUNCTION("""COMPUTED_VALUE"""),119.0)</f>
        <v>119</v>
      </c>
      <c r="B122" t="str">
        <f>IFERROR(__xludf.DUMMYFUNCTION("""COMPUTED_VALUE"""),"Liberia")</f>
        <v>Liberia</v>
      </c>
      <c r="C122">
        <f>IFERROR(__xludf.DUMMYFUNCTION("""COMPUTED_VALUE"""),5493031.0)</f>
        <v>5493031</v>
      </c>
      <c r="D122">
        <f>IFERROR(__xludf.DUMMYFUNCTION("""COMPUTED_VALUE"""),5790170.0)</f>
        <v>5790170</v>
      </c>
    </row>
    <row r="123">
      <c r="A123">
        <f>IFERROR(__xludf.DUMMYFUNCTION("""COMPUTED_VALUE"""),120.0)</f>
        <v>120</v>
      </c>
      <c r="B123" t="str">
        <f>IFERROR(__xludf.DUMMYFUNCTION("""COMPUTED_VALUE"""),"Palestine[r]")</f>
        <v>Palestine[r]</v>
      </c>
      <c r="C123">
        <f>IFERROR(__xludf.DUMMYFUNCTION("""COMPUTED_VALUE"""),5409202.0)</f>
        <v>5409202</v>
      </c>
      <c r="D123">
        <f>IFERROR(__xludf.DUMMYFUNCTION("""COMPUTED_VALUE"""),5638786.0)</f>
        <v>5638786</v>
      </c>
    </row>
    <row r="124">
      <c r="A124">
        <f>IFERROR(__xludf.DUMMYFUNCTION("""COMPUTED_VALUE"""),121.0)</f>
        <v>121</v>
      </c>
      <c r="B124" t="str">
        <f>IFERROR(__xludf.DUMMYFUNCTION("""COMPUTED_VALUE"""),"Irlande")</f>
        <v>Irlande</v>
      </c>
      <c r="C124">
        <f>IFERROR(__xludf.DUMMYFUNCTION("""COMPUTED_VALUE"""),5196630.0)</f>
        <v>5196630</v>
      </c>
      <c r="D124">
        <f>IFERROR(__xludf.DUMMYFUNCTION("""COMPUTED_VALUE"""),5333468.0)</f>
        <v>5333468</v>
      </c>
    </row>
    <row r="125">
      <c r="A125">
        <f>IFERROR(__xludf.DUMMYFUNCTION("""COMPUTED_VALUE"""),122.0)</f>
        <v>122</v>
      </c>
      <c r="B125" t="str">
        <f>IFERROR(__xludf.DUMMYFUNCTION("""COMPUTED_VALUE"""),"Nouvelle-Zélande[s]")</f>
        <v>Nouvelle-Zélande[s]</v>
      </c>
      <c r="C125">
        <f>IFERROR(__xludf.DUMMYFUNCTION("""COMPUTED_VALUE"""),5172836.0)</f>
        <v>5172836</v>
      </c>
      <c r="D125">
        <f>IFERROR(__xludf.DUMMYFUNCTION("""COMPUTED_VALUE"""),5270225.0)</f>
        <v>5270225</v>
      </c>
    </row>
    <row r="126">
      <c r="A126">
        <f>IFERROR(__xludf.DUMMYFUNCTION("""COMPUTED_VALUE"""),123.0)</f>
        <v>123</v>
      </c>
      <c r="B126" t="str">
        <f>IFERROR(__xludf.DUMMYFUNCTION("""COMPUTED_VALUE"""),"République centrafricaine")</f>
        <v>République centrafricaine</v>
      </c>
      <c r="C126">
        <f>IFERROR(__xludf.DUMMYFUNCTION("""COMPUTED_VALUE"""),5152421.0)</f>
        <v>5152421</v>
      </c>
      <c r="D126">
        <f>IFERROR(__xludf.DUMMYFUNCTION("""COMPUTED_VALUE"""),5605434.0)</f>
        <v>5605434</v>
      </c>
    </row>
    <row r="127">
      <c r="A127">
        <f>IFERROR(__xludf.DUMMYFUNCTION("""COMPUTED_VALUE"""),124.0)</f>
        <v>124</v>
      </c>
      <c r="B127" t="str">
        <f>IFERROR(__xludf.DUMMYFUNCTION("""COMPUTED_VALUE"""),"Costa Rica")</f>
        <v>Costa Rica</v>
      </c>
      <c r="C127">
        <f>IFERROR(__xludf.DUMMYFUNCTION("""COMPUTED_VALUE"""),5105525.0)</f>
        <v>5105525</v>
      </c>
      <c r="D127">
        <f>IFERROR(__xludf.DUMMYFUNCTION("""COMPUTED_VALUE"""),5164155.0)</f>
        <v>5164155</v>
      </c>
    </row>
    <row r="128">
      <c r="A128">
        <f>IFERROR(__xludf.DUMMYFUNCTION("""COMPUTED_VALUE"""),125.0)</f>
        <v>125</v>
      </c>
      <c r="B128" t="str">
        <f>IFERROR(__xludf.DUMMYFUNCTION("""COMPUTED_VALUE"""),"Oman")</f>
        <v>Oman</v>
      </c>
      <c r="C128">
        <f>IFERROR(__xludf.DUMMYFUNCTION("""COMPUTED_VALUE"""),5049269.0)</f>
        <v>5049269</v>
      </c>
      <c r="D128">
        <f>IFERROR(__xludf.DUMMYFUNCTION("""COMPUTED_VALUE"""),5591450.0)</f>
        <v>5591450</v>
      </c>
    </row>
    <row r="129">
      <c r="A129">
        <f>IFERROR(__xludf.DUMMYFUNCTION("""COMPUTED_VALUE"""),126.0)</f>
        <v>126</v>
      </c>
      <c r="B129" t="str">
        <f>IFERROR(__xludf.DUMMYFUNCTION("""COMPUTED_VALUE"""),"Mauritanie")</f>
        <v>Mauritanie</v>
      </c>
      <c r="C129">
        <f>IFERROR(__xludf.DUMMYFUNCTION("""COMPUTED_VALUE"""),5022441.0)</f>
        <v>5022441</v>
      </c>
      <c r="D129">
        <f>IFERROR(__xludf.DUMMYFUNCTION("""COMPUTED_VALUE"""),5387859.0)</f>
        <v>5387859</v>
      </c>
    </row>
    <row r="130">
      <c r="A130">
        <f>IFERROR(__xludf.DUMMYFUNCTION("""COMPUTED_VALUE"""),127.0)</f>
        <v>127</v>
      </c>
      <c r="B130" t="str">
        <f>IFERROR(__xludf.DUMMYFUNCTION("""COMPUTED_VALUE"""),"Koweït")</f>
        <v>Koweït</v>
      </c>
      <c r="C130">
        <f>IFERROR(__xludf.DUMMYFUNCTION("""COMPUTED_VALUE"""),4838782.0)</f>
        <v>4838782</v>
      </c>
      <c r="D130">
        <f>IFERROR(__xludf.DUMMYFUNCTION("""COMPUTED_VALUE"""),5067283.0)</f>
        <v>5067283</v>
      </c>
    </row>
    <row r="131">
      <c r="A131">
        <f>IFERROR(__xludf.DUMMYFUNCTION("""COMPUTED_VALUE"""),128.0)</f>
        <v>128</v>
      </c>
      <c r="B131" t="str">
        <f>IFERROR(__xludf.DUMMYFUNCTION("""COMPUTED_VALUE"""),"Panama")</f>
        <v>Panama</v>
      </c>
      <c r="C131">
        <f>IFERROR(__xludf.DUMMYFUNCTION("""COMPUTED_VALUE"""),4458759.0)</f>
        <v>4458759</v>
      </c>
      <c r="D131">
        <f>IFERROR(__xludf.DUMMYFUNCTION("""COMPUTED_VALUE"""),4598712.0)</f>
        <v>4598712</v>
      </c>
    </row>
    <row r="132">
      <c r="A132">
        <f>IFERROR(__xludf.DUMMYFUNCTION("""COMPUTED_VALUE"""),129.0)</f>
        <v>129</v>
      </c>
      <c r="B132" t="str">
        <f>IFERROR(__xludf.DUMMYFUNCTION("""COMPUTED_VALUE"""),"Croatie")</f>
        <v>Croatie</v>
      </c>
      <c r="C132">
        <f>IFERROR(__xludf.DUMMYFUNCTION("""COMPUTED_VALUE"""),3896023.0)</f>
        <v>3896023</v>
      </c>
      <c r="D132">
        <f>IFERROR(__xludf.DUMMYFUNCTION("""COMPUTED_VALUE"""),3835005.0)</f>
        <v>3835005</v>
      </c>
    </row>
    <row r="133">
      <c r="A133">
        <f>IFERROR(__xludf.DUMMYFUNCTION("""COMPUTED_VALUE"""),130.0)</f>
        <v>130</v>
      </c>
      <c r="B133" t="str">
        <f>IFERROR(__xludf.DUMMYFUNCTION("""COMPUTED_VALUE"""),"Géorgie[t]")</f>
        <v>Géorgie[t]</v>
      </c>
      <c r="C133">
        <f>IFERROR(__xludf.DUMMYFUNCTION("""COMPUTED_VALUE"""),3807492.0)</f>
        <v>3807492</v>
      </c>
      <c r="D133">
        <f>IFERROR(__xludf.DUMMYFUNCTION("""COMPUTED_VALUE"""),3805841.0)</f>
        <v>3805841</v>
      </c>
    </row>
    <row r="134">
      <c r="A134">
        <f>IFERROR(__xludf.DUMMYFUNCTION("""COMPUTED_VALUE"""),131.0)</f>
        <v>131</v>
      </c>
      <c r="B134" t="str">
        <f>IFERROR(__xludf.DUMMYFUNCTION("""COMPUTED_VALUE"""),"Érythrée")</f>
        <v>Érythrée</v>
      </c>
      <c r="C134">
        <f>IFERROR(__xludf.DUMMYFUNCTION("""COMPUTED_VALUE"""),3470390.0)</f>
        <v>3470390</v>
      </c>
      <c r="D134">
        <f>IFERROR(__xludf.DUMMYFUNCTION("""COMPUTED_VALUE"""),3644580.0)</f>
        <v>3644580</v>
      </c>
    </row>
    <row r="135">
      <c r="A135">
        <f>IFERROR(__xludf.DUMMYFUNCTION("""COMPUTED_VALUE"""),132.0)</f>
        <v>132</v>
      </c>
      <c r="B135" t="str">
        <f>IFERROR(__xludf.DUMMYFUNCTION("""COMPUTED_VALUE"""),"Mongolie")</f>
        <v>Mongolie</v>
      </c>
      <c r="C135">
        <f>IFERROR(__xludf.DUMMYFUNCTION("""COMPUTED_VALUE"""),3431932.0)</f>
        <v>3431932</v>
      </c>
      <c r="D135">
        <f>IFERROR(__xludf.DUMMYFUNCTION("""COMPUTED_VALUE"""),3537390.0)</f>
        <v>3537390</v>
      </c>
    </row>
    <row r="136">
      <c r="A136">
        <f>IFERROR(__xludf.DUMMYFUNCTION("""COMPUTED_VALUE"""),133.0)</f>
        <v>133</v>
      </c>
      <c r="B136" t="str">
        <f>IFERROR(__xludf.DUMMYFUNCTION("""COMPUTED_VALUE"""),"Uruguay")</f>
        <v>Uruguay</v>
      </c>
      <c r="C136">
        <f>IFERROR(__xludf.DUMMYFUNCTION("""COMPUTED_VALUE"""),3388081.0)</f>
        <v>3388081</v>
      </c>
      <c r="D136">
        <f>IFERROR(__xludf.DUMMYFUNCTION("""COMPUTED_VALUE"""),3383680.0)</f>
        <v>3383680</v>
      </c>
    </row>
    <row r="137">
      <c r="A137" t="str">
        <f>IFERROR(__xludf.DUMMYFUNCTION("""COMPUTED_VALUE"""),"-")</f>
        <v>-</v>
      </c>
      <c r="B137" t="str">
        <f>IFERROR(__xludf.DUMMYFUNCTION("""COMPUTED_VALUE"""),"*Porto Rico*")</f>
        <v>*Porto Rico*</v>
      </c>
      <c r="C137" t="str">
        <f>IFERROR(__xludf.DUMMYFUNCTION("""COMPUTED_VALUE"""),"*3 242 023*")</f>
        <v>*3 242 023*</v>
      </c>
      <c r="D137" t="str">
        <f>IFERROR(__xludf.DUMMYFUNCTION("""COMPUTED_VALUE"""),"*3 230 204*")</f>
        <v>*3 230 204*</v>
      </c>
    </row>
    <row r="138">
      <c r="A138">
        <f>IFERROR(__xludf.DUMMYFUNCTION("""COMPUTED_VALUE"""),134.0)</f>
        <v>134</v>
      </c>
      <c r="B138" t="str">
        <f>IFERROR(__xludf.DUMMYFUNCTION("""COMPUTED_VALUE"""),"Bosnie-Herzégovine")</f>
        <v>Bosnie-Herzégovine</v>
      </c>
      <c r="C138">
        <f>IFERROR(__xludf.DUMMYFUNCTION("""COMPUTED_VALUE"""),3185073.0)</f>
        <v>3185073</v>
      </c>
      <c r="D138">
        <f>IFERROR(__xludf.DUMMYFUNCTION("""COMPUTED_VALUE"""),3127365.0)</f>
        <v>3127365</v>
      </c>
    </row>
    <row r="139">
      <c r="A139">
        <f>IFERROR(__xludf.DUMMYFUNCTION("""COMPUTED_VALUE"""),135.0)</f>
        <v>135</v>
      </c>
      <c r="B139" t="str">
        <f>IFERROR(__xludf.DUMMYFUNCTION("""COMPUTED_VALUE"""),"Moldavie[u]")</f>
        <v>Moldavie[u]</v>
      </c>
      <c r="C139">
        <f>IFERROR(__xludf.DUMMYFUNCTION("""COMPUTED_VALUE"""),3067070.0)</f>
        <v>3067070</v>
      </c>
      <c r="D139">
        <f>IFERROR(__xludf.DUMMYFUNCTION("""COMPUTED_VALUE"""),2975706.0)</f>
        <v>2975706</v>
      </c>
    </row>
    <row r="140">
      <c r="A140">
        <f>IFERROR(__xludf.DUMMYFUNCTION("""COMPUTED_VALUE"""),136.0)</f>
        <v>136</v>
      </c>
      <c r="B140" t="str">
        <f>IFERROR(__xludf.DUMMYFUNCTION("""COMPUTED_VALUE"""),"Qatar")</f>
        <v>Qatar</v>
      </c>
      <c r="C140">
        <f>IFERROR(__xludf.DUMMYFUNCTION("""COMPUTED_VALUE"""),2979082.0)</f>
        <v>2979082</v>
      </c>
      <c r="D140">
        <f>IFERROR(__xludf.DUMMYFUNCTION("""COMPUTED_VALUE"""),3147383.0)</f>
        <v>3147383</v>
      </c>
    </row>
    <row r="141">
      <c r="A141">
        <f>IFERROR(__xludf.DUMMYFUNCTION("""COMPUTED_VALUE"""),137.0)</f>
        <v>137</v>
      </c>
      <c r="B141" t="str">
        <f>IFERROR(__xludf.DUMMYFUNCTION("""COMPUTED_VALUE"""),"Namibie")</f>
        <v>Namibie</v>
      </c>
      <c r="C141">
        <f>IFERROR(__xludf.DUMMYFUNCTION("""COMPUTED_VALUE"""),2963095.0)</f>
        <v>2963095</v>
      </c>
      <c r="D141">
        <f>IFERROR(__xludf.DUMMYFUNCTION("""COMPUTED_VALUE"""),3123524.0)</f>
        <v>3123524</v>
      </c>
    </row>
    <row r="142">
      <c r="A142">
        <f>IFERROR(__xludf.DUMMYFUNCTION("""COMPUTED_VALUE"""),138.0)</f>
        <v>138</v>
      </c>
      <c r="B142" t="str">
        <f>IFERROR(__xludf.DUMMYFUNCTION("""COMPUTED_VALUE"""),"Arménie")</f>
        <v>Arménie</v>
      </c>
      <c r="C142">
        <f>IFERROR(__xludf.DUMMYFUNCTION("""COMPUTED_VALUE"""),2943393.0)</f>
        <v>2943393</v>
      </c>
      <c r="D142">
        <f>IFERROR(__xludf.DUMMYFUNCTION("""COMPUTED_VALUE"""),2941486.0)</f>
        <v>2941486</v>
      </c>
    </row>
    <row r="143">
      <c r="A143">
        <f>IFERROR(__xludf.DUMMYFUNCTION("""COMPUTED_VALUE"""),139.0)</f>
        <v>139</v>
      </c>
      <c r="B143" t="str">
        <f>IFERROR(__xludf.DUMMYFUNCTION("""COMPUTED_VALUE"""),"Lituanie")</f>
        <v>Lituanie</v>
      </c>
      <c r="C143">
        <f>IFERROR(__xludf.DUMMYFUNCTION("""COMPUTED_VALUE"""),2854099.0)</f>
        <v>2854099</v>
      </c>
      <c r="D143">
        <f>IFERROR(__xludf.DUMMYFUNCTION("""COMPUTED_VALUE"""),2808883.0)</f>
        <v>2808883</v>
      </c>
    </row>
    <row r="144">
      <c r="A144">
        <f>IFERROR(__xludf.DUMMYFUNCTION("""COMPUTED_VALUE"""),140.0)</f>
        <v>140</v>
      </c>
      <c r="B144" t="str">
        <f>IFERROR(__xludf.DUMMYFUNCTION("""COMPUTED_VALUE"""),"Jamaïque")</f>
        <v>Jamaïque</v>
      </c>
      <c r="C144">
        <f>IFERROR(__xludf.DUMMYFUNCTION("""COMPUTED_VALUE"""),2839786.0)</f>
        <v>2839786</v>
      </c>
      <c r="D144">
        <f>IFERROR(__xludf.DUMMYFUNCTION("""COMPUTED_VALUE"""),2835627.0)</f>
        <v>2835627</v>
      </c>
    </row>
    <row r="145">
      <c r="A145">
        <f>IFERROR(__xludf.DUMMYFUNCTION("""COMPUTED_VALUE"""),141.0)</f>
        <v>141</v>
      </c>
      <c r="B145" t="str">
        <f>IFERROR(__xludf.DUMMYFUNCTION("""COMPUTED_VALUE"""),"Albanie")</f>
        <v>Albanie</v>
      </c>
      <c r="C145">
        <f>IFERROR(__xludf.DUMMYFUNCTION("""COMPUTED_VALUE"""),2811655.0)</f>
        <v>2811655</v>
      </c>
      <c r="D145">
        <f>IFERROR(__xludf.DUMMYFUNCTION("""COMPUTED_VALUE"""),2761147.0)</f>
        <v>2761147</v>
      </c>
    </row>
    <row r="146">
      <c r="A146">
        <f>IFERROR(__xludf.DUMMYFUNCTION("""COMPUTED_VALUE"""),142.0)</f>
        <v>142</v>
      </c>
      <c r="B146" t="str">
        <f>IFERROR(__xludf.DUMMYFUNCTION("""COMPUTED_VALUE"""),"Gambie")</f>
        <v>Gambie</v>
      </c>
      <c r="C146">
        <f>IFERROR(__xludf.DUMMYFUNCTION("""COMPUTED_VALUE"""),2697845.0)</f>
        <v>2697845</v>
      </c>
      <c r="D146">
        <f>IFERROR(__xludf.DUMMYFUNCTION("""COMPUTED_VALUE"""),2853116.0)</f>
        <v>2853116</v>
      </c>
    </row>
    <row r="147">
      <c r="A147">
        <f>IFERROR(__xludf.DUMMYFUNCTION("""COMPUTED_VALUE"""),143.0)</f>
        <v>143</v>
      </c>
      <c r="B147" t="str">
        <f>IFERROR(__xludf.DUMMYFUNCTION("""COMPUTED_VALUE"""),"Gabon")</f>
        <v>Gabon</v>
      </c>
      <c r="C147">
        <f>IFERROR(__xludf.DUMMYFUNCTION("""COMPUTED_VALUE"""),2484789.0)</f>
        <v>2484789</v>
      </c>
      <c r="D147">
        <f>IFERROR(__xludf.DUMMYFUNCTION("""COMPUTED_VALUE"""),2620218.0)</f>
        <v>2620218</v>
      </c>
    </row>
    <row r="148">
      <c r="A148">
        <f>IFERROR(__xludf.DUMMYFUNCTION("""COMPUTED_VALUE"""),144.0)</f>
        <v>144</v>
      </c>
      <c r="B148" t="str">
        <f>IFERROR(__xludf.DUMMYFUNCTION("""COMPUTED_VALUE"""),"Botswana")</f>
        <v>Botswana</v>
      </c>
      <c r="C148">
        <f>IFERROR(__xludf.DUMMYFUNCTION("""COMPUTED_VALUE"""),2480244.0)</f>
        <v>2480244</v>
      </c>
      <c r="D148">
        <f>IFERROR(__xludf.DUMMYFUNCTION("""COMPUTED_VALUE"""),2582518.0)</f>
        <v>2582518</v>
      </c>
    </row>
    <row r="149">
      <c r="A149">
        <f>IFERROR(__xludf.DUMMYFUNCTION("""COMPUTED_VALUE"""),145.0)</f>
        <v>145</v>
      </c>
      <c r="B149" t="str">
        <f>IFERROR(__xludf.DUMMYFUNCTION("""COMPUTED_VALUE"""),"Lesotho")</f>
        <v>Lesotho</v>
      </c>
      <c r="C149">
        <f>IFERROR(__xludf.DUMMYFUNCTION("""COMPUTED_VALUE"""),2311472.0)</f>
        <v>2311472</v>
      </c>
      <c r="D149">
        <f>IFERROR(__xludf.DUMMYFUNCTION("""COMPUTED_VALUE"""),2376252.0)</f>
        <v>2376252</v>
      </c>
    </row>
    <row r="150">
      <c r="A150">
        <f>IFERROR(__xludf.DUMMYFUNCTION("""COMPUTED_VALUE"""),146.0)</f>
        <v>146</v>
      </c>
      <c r="B150" t="str">
        <f>IFERROR(__xludf.DUMMYFUNCTION("""COMPUTED_VALUE"""),"Guinée-Bissau")</f>
        <v>Guinée-Bissau</v>
      </c>
      <c r="C150">
        <f>IFERROR(__xludf.DUMMYFUNCTION("""COMPUTED_VALUE"""),2153339.0)</f>
        <v>2153339</v>
      </c>
      <c r="D150">
        <f>IFERROR(__xludf.DUMMYFUNCTION("""COMPUTED_VALUE"""),2273714.0)</f>
        <v>2273714</v>
      </c>
    </row>
    <row r="151">
      <c r="A151">
        <f>IFERROR(__xludf.DUMMYFUNCTION("""COMPUTED_VALUE"""),147.0)</f>
        <v>147</v>
      </c>
      <c r="B151" t="str">
        <f>IFERROR(__xludf.DUMMYFUNCTION("""COMPUTED_VALUE"""),"Slovénie")</f>
        <v>Slovénie</v>
      </c>
      <c r="C151">
        <f>IFERROR(__xludf.DUMMYFUNCTION("""COMPUTED_VALUE"""),2118396.0)</f>
        <v>2118396</v>
      </c>
      <c r="D151">
        <f>IFERROR(__xludf.DUMMYFUNCTION("""COMPUTED_VALUE"""),2115975.0)</f>
        <v>2115975</v>
      </c>
    </row>
    <row r="152">
      <c r="A152">
        <f>IFERROR(__xludf.DUMMYFUNCTION("""COMPUTED_VALUE"""),148.0)</f>
        <v>148</v>
      </c>
      <c r="B152" t="str">
        <f>IFERROR(__xludf.DUMMYFUNCTION("""COMPUTED_VALUE"""),"Lettonie")</f>
        <v>Lettonie</v>
      </c>
      <c r="C152">
        <f>IFERROR(__xludf.DUMMYFUNCTION("""COMPUTED_VALUE"""),1882396.0)</f>
        <v>1882396</v>
      </c>
      <c r="D152">
        <f>IFERROR(__xludf.DUMMYFUNCTION("""COMPUTED_VALUE"""),1843068.0)</f>
        <v>1843068</v>
      </c>
    </row>
    <row r="153">
      <c r="A153">
        <f>IFERROR(__xludf.DUMMYFUNCTION("""COMPUTED_VALUE"""),149.0)</f>
        <v>149</v>
      </c>
      <c r="B153" t="str">
        <f>IFERROR(__xludf.DUMMYFUNCTION("""COMPUTED_VALUE"""),"Guinée équatoriale")</f>
        <v>Guinée équatoriale</v>
      </c>
      <c r="C153">
        <f>IFERROR(__xludf.DUMMYFUNCTION("""COMPUTED_VALUE"""),1847549.0)</f>
        <v>1847549</v>
      </c>
      <c r="D153">
        <f>IFERROR(__xludf.DUMMYFUNCTION("""COMPUTED_VALUE"""),1961447.0)</f>
        <v>1961447</v>
      </c>
    </row>
    <row r="154">
      <c r="A154">
        <f>IFERROR(__xludf.DUMMYFUNCTION("""COMPUTED_VALUE"""),150.0)</f>
        <v>150</v>
      </c>
      <c r="B154" t="str">
        <f>IFERROR(__xludf.DUMMYFUNCTION("""COMPUTED_VALUE"""),"Macédoine du Nord")</f>
        <v>Macédoine du Nord</v>
      </c>
      <c r="C154">
        <f>IFERROR(__xludf.DUMMYFUNCTION("""COMPUTED_VALUE"""),1831802.0)</f>
        <v>1831802</v>
      </c>
      <c r="D154">
        <f>IFERROR(__xludf.DUMMYFUNCTION("""COMPUTED_VALUE"""),1809076.0)</f>
        <v>1809076</v>
      </c>
    </row>
    <row r="155">
      <c r="A155">
        <f>IFERROR(__xludf.DUMMYFUNCTION("""COMPUTED_VALUE"""),151.0)</f>
        <v>151</v>
      </c>
      <c r="B155" t="str">
        <f>IFERROR(__xludf.DUMMYFUNCTION("""COMPUTED_VALUE"""),"Kosovo")</f>
        <v>Kosovo</v>
      </c>
      <c r="C155">
        <f>IFERROR(__xludf.DUMMYFUNCTION("""COMPUTED_VALUE"""),1700031.0)</f>
        <v>1700031</v>
      </c>
      <c r="D155">
        <f>IFERROR(__xludf.DUMMYFUNCTION("""COMPUTED_VALUE"""),1669591.0)</f>
        <v>1669591</v>
      </c>
    </row>
    <row r="156">
      <c r="A156">
        <f>IFERROR(__xludf.DUMMYFUNCTION("""COMPUTED_VALUE"""),152.0)</f>
        <v>152</v>
      </c>
      <c r="B156" t="str">
        <f>IFERROR(__xludf.DUMMYFUNCTION("""COMPUTED_VALUE"""),"Bahreïn")</f>
        <v>Bahreïn</v>
      </c>
      <c r="C156">
        <f>IFERROR(__xludf.DUMMYFUNCTION("""COMPUTED_VALUE"""),1569666.0)</f>
        <v>1569666</v>
      </c>
      <c r="D156">
        <f>IFERROR(__xludf.DUMMYFUNCTION("""COMPUTED_VALUE"""),1660370.0)</f>
        <v>1660370</v>
      </c>
    </row>
    <row r="157">
      <c r="A157">
        <f>IFERROR(__xludf.DUMMYFUNCTION("""COMPUTED_VALUE"""),153.0)</f>
        <v>153</v>
      </c>
      <c r="B157" t="str">
        <f>IFERROR(__xludf.DUMMYFUNCTION("""COMPUTED_VALUE"""),"Trinité-et-Tobago")</f>
        <v>Trinité-et-Tobago</v>
      </c>
      <c r="C157">
        <f>IFERROR(__xludf.DUMMYFUNCTION("""COMPUTED_VALUE"""),1502932.0)</f>
        <v>1502932</v>
      </c>
      <c r="D157">
        <f>IFERROR(__xludf.DUMMYFUNCTION("""COMPUTED_VALUE"""),1512502.0)</f>
        <v>1512502</v>
      </c>
    </row>
    <row r="158">
      <c r="A158">
        <f>IFERROR(__xludf.DUMMYFUNCTION("""COMPUTED_VALUE"""),154.0)</f>
        <v>154</v>
      </c>
      <c r="B158" t="str">
        <f>IFERROR(__xludf.DUMMYFUNCTION("""COMPUTED_VALUE"""),"Timor oriental")</f>
        <v>Timor oriental</v>
      </c>
      <c r="C158">
        <f>IFERROR(__xludf.DUMMYFUNCTION("""COMPUTED_VALUE"""),1384286.0)</f>
        <v>1384286</v>
      </c>
      <c r="D158">
        <f>IFERROR(__xludf.DUMMYFUNCTION("""COMPUTED_VALUE"""),1427484.0)</f>
        <v>1427484</v>
      </c>
    </row>
    <row r="159">
      <c r="A159">
        <f>IFERROR(__xludf.DUMMYFUNCTION("""COMPUTED_VALUE"""),155.0)</f>
        <v>155</v>
      </c>
      <c r="B159" t="str">
        <f>IFERROR(__xludf.DUMMYFUNCTION("""COMPUTED_VALUE"""),"Estonie")</f>
        <v>Estonie</v>
      </c>
      <c r="C159">
        <f>IFERROR(__xludf.DUMMYFUNCTION("""COMPUTED_VALUE"""),1367196.0)</f>
        <v>1367196</v>
      </c>
      <c r="D159">
        <f>IFERROR(__xludf.DUMMYFUNCTION("""COMPUTED_VALUE"""),1334598.0)</f>
        <v>1334598</v>
      </c>
    </row>
    <row r="160">
      <c r="A160">
        <f>IFERROR(__xludf.DUMMYFUNCTION("""COMPUTED_VALUE"""),156.0)</f>
        <v>156</v>
      </c>
      <c r="B160" t="str">
        <f>IFERROR(__xludf.DUMMYFUNCTION("""COMPUTED_VALUE"""),"Chypre[v]")</f>
        <v>Chypre[v]</v>
      </c>
      <c r="C160">
        <f>IFERROR(__xludf.DUMMYFUNCTION("""COMPUTED_VALUE"""),1344976.0)</f>
        <v>1344976</v>
      </c>
      <c r="D160">
        <f>IFERROR(__xludf.DUMMYFUNCTION("""COMPUTED_VALUE"""),1376781.0)</f>
        <v>1376781</v>
      </c>
    </row>
    <row r="161">
      <c r="A161">
        <f>IFERROR(__xludf.DUMMYFUNCTION("""COMPUTED_VALUE"""),157.0)</f>
        <v>157</v>
      </c>
      <c r="B161" t="str">
        <f>IFERROR(__xludf.DUMMYFUNCTION("""COMPUTED_VALUE"""),"Maurice")</f>
        <v>Maurice</v>
      </c>
      <c r="C161">
        <f>IFERROR(__xludf.DUMMYFUNCTION("""COMPUTED_VALUE"""),1273588.0)</f>
        <v>1273588</v>
      </c>
      <c r="D161">
        <f>IFERROR(__xludf.DUMMYFUNCTION("""COMPUTED_VALUE"""),1266738.0)</f>
        <v>1266738</v>
      </c>
    </row>
    <row r="162">
      <c r="A162">
        <f>IFERROR(__xludf.DUMMYFUNCTION("""COMPUTED_VALUE"""),158.0)</f>
        <v>158</v>
      </c>
      <c r="B162" t="str">
        <f>IFERROR(__xludf.DUMMYFUNCTION("""COMPUTED_VALUE"""),"Eswatini")</f>
        <v>Eswatini</v>
      </c>
      <c r="C162">
        <f>IFERROR(__xludf.DUMMYFUNCTION("""COMPUTED_VALUE"""),1230506.0)</f>
        <v>1230506</v>
      </c>
      <c r="D162">
        <f>IFERROR(__xludf.DUMMYFUNCTION("""COMPUTED_VALUE"""),1263011.0)</f>
        <v>1263011</v>
      </c>
    </row>
    <row r="163">
      <c r="A163">
        <f>IFERROR(__xludf.DUMMYFUNCTION("""COMPUTED_VALUE"""),159.0)</f>
        <v>159</v>
      </c>
      <c r="B163" t="str">
        <f>IFERROR(__xludf.DUMMYFUNCTION("""COMPUTED_VALUE"""),"Djibouti")</f>
        <v>Djibouti</v>
      </c>
      <c r="C163">
        <f>IFERROR(__xludf.DUMMYFUNCTION("""COMPUTED_VALUE"""),1152944.0)</f>
        <v>1152944</v>
      </c>
      <c r="D163">
        <f>IFERROR(__xludf.DUMMYFUNCTION("""COMPUTED_VALUE"""),1191581.0)</f>
        <v>1191581</v>
      </c>
    </row>
    <row r="164">
      <c r="A164">
        <f>IFERROR(__xludf.DUMMYFUNCTION("""COMPUTED_VALUE"""),160.0)</f>
        <v>160</v>
      </c>
      <c r="B164" t="str">
        <f>IFERROR(__xludf.DUMMYFUNCTION("""COMPUTED_VALUE"""),"Fidji")</f>
        <v>Fidji</v>
      </c>
      <c r="C164">
        <f>IFERROR(__xludf.DUMMYFUNCTION("""COMPUTED_VALUE"""),924145.0)</f>
        <v>924145</v>
      </c>
      <c r="D164">
        <f>IFERROR(__xludf.DUMMYFUNCTION("""COMPUTED_VALUE"""),935285.0)</f>
        <v>935285</v>
      </c>
    </row>
    <row r="165">
      <c r="A165" t="str">
        <f>IFERROR(__xludf.DUMMYFUNCTION("""COMPUTED_VALUE"""),"-")</f>
        <v>-</v>
      </c>
      <c r="B165" t="str">
        <f>IFERROR(__xludf.DUMMYFUNCTION("""COMPUTED_VALUE"""),"*La Réunion*")</f>
        <v>*La Réunion*</v>
      </c>
      <c r="C165" t="str">
        <f>IFERROR(__xludf.DUMMYFUNCTION("""COMPUTED_VALUE"""),"*874 883*")</f>
        <v>*874 883*</v>
      </c>
      <c r="D165" t="str">
        <f>IFERROR(__xludf.DUMMYFUNCTION("""COMPUTED_VALUE"""),"*884 305*")</f>
        <v>*884 305*</v>
      </c>
    </row>
    <row r="166">
      <c r="A166">
        <f>IFERROR(__xludf.DUMMYFUNCTION("""COMPUTED_VALUE"""),161.0)</f>
        <v>161</v>
      </c>
      <c r="B166" t="str">
        <f>IFERROR(__xludf.DUMMYFUNCTION("""COMPUTED_VALUE"""),"Comores")</f>
        <v>Comores</v>
      </c>
      <c r="C166">
        <f>IFERROR(__xludf.DUMMYFUNCTION("""COMPUTED_VALUE"""),850387.0)</f>
        <v>850387</v>
      </c>
      <c r="D166">
        <f>IFERROR(__xludf.DUMMYFUNCTION("""COMPUTED_VALUE"""),890946.0)</f>
        <v>890946</v>
      </c>
    </row>
    <row r="167">
      <c r="A167">
        <f>IFERROR(__xludf.DUMMYFUNCTION("""COMPUTED_VALUE"""),162.0)</f>
        <v>162</v>
      </c>
      <c r="B167" t="str">
        <f>IFERROR(__xludf.DUMMYFUNCTION("""COMPUTED_VALUE"""),"Guyana")</f>
        <v>Guyana</v>
      </c>
      <c r="C167">
        <f>IFERROR(__xludf.DUMMYFUNCTION("""COMPUTED_VALUE"""),826353.0)</f>
        <v>826353</v>
      </c>
      <c r="D167">
        <f>IFERROR(__xludf.DUMMYFUNCTION("""COMPUTED_VALUE"""),838431.0)</f>
        <v>838431</v>
      </c>
    </row>
    <row r="168">
      <c r="A168">
        <f>IFERROR(__xludf.DUMMYFUNCTION("""COMPUTED_VALUE"""),163.0)</f>
        <v>163</v>
      </c>
      <c r="B168" t="str">
        <f>IFERROR(__xludf.DUMMYFUNCTION("""COMPUTED_VALUE"""),"Îles Salomon")</f>
        <v>Îles Salomon</v>
      </c>
      <c r="C168">
        <f>IFERROR(__xludf.DUMMYFUNCTION("""COMPUTED_VALUE"""),800005.0)</f>
        <v>800005</v>
      </c>
      <c r="D168">
        <f>IFERROR(__xludf.DUMMYFUNCTION("""COMPUTED_VALUE"""),848434.0)</f>
        <v>848434</v>
      </c>
    </row>
    <row r="169">
      <c r="A169">
        <f>IFERROR(__xludf.DUMMYFUNCTION("""COMPUTED_VALUE"""),164.0)</f>
        <v>164</v>
      </c>
      <c r="B169" t="str">
        <f>IFERROR(__xludf.DUMMYFUNCTION("""COMPUTED_VALUE"""),"Bhoutan")</f>
        <v>Bhoutan</v>
      </c>
      <c r="C169">
        <f>IFERROR(__xludf.DUMMYFUNCTION("""COMPUTED_VALUE"""),786385.0)</f>
        <v>786385</v>
      </c>
      <c r="D169">
        <f>IFERROR(__xludf.DUMMYFUNCTION("""COMPUTED_VALUE"""),799420.0)</f>
        <v>799420</v>
      </c>
    </row>
    <row r="170">
      <c r="A170" t="str">
        <f>IFERROR(__xludf.DUMMYFUNCTION("""COMPUTED_VALUE"""),"-")</f>
        <v>-</v>
      </c>
      <c r="B170" t="str">
        <f>IFERROR(__xludf.DUMMYFUNCTION("""COMPUTED_VALUE"""),"*Macao*")</f>
        <v>*Macao*</v>
      </c>
      <c r="C170" t="str">
        <f>IFERROR(__xludf.DUMMYFUNCTION("""COMPUTED_VALUE"""),"*713 912*")</f>
        <v>*713 912*</v>
      </c>
      <c r="D170" t="str">
        <f>IFERROR(__xludf.DUMMYFUNCTION("""COMPUTED_VALUE"""),"*722 357*")</f>
        <v>*722 357*</v>
      </c>
    </row>
    <row r="171">
      <c r="A171">
        <f>IFERROR(__xludf.DUMMYFUNCTION("""COMPUTED_VALUE"""),165.0)</f>
        <v>165</v>
      </c>
      <c r="B171" t="str">
        <f>IFERROR(__xludf.DUMMYFUNCTION("""COMPUTED_VALUE"""),"Luxembourg")</f>
        <v>Luxembourg</v>
      </c>
      <c r="C171">
        <f>IFERROR(__xludf.DUMMYFUNCTION("""COMPUTED_VALUE"""),665098.0)</f>
        <v>665098</v>
      </c>
      <c r="D171">
        <f>IFERROR(__xludf.DUMMYFUNCTION("""COMPUTED_VALUE"""),684039.0)</f>
        <v>684039</v>
      </c>
    </row>
    <row r="172">
      <c r="A172">
        <f>IFERROR(__xludf.DUMMYFUNCTION("""COMPUTED_VALUE"""),166.0)</f>
        <v>166</v>
      </c>
      <c r="B172" t="str">
        <f>IFERROR(__xludf.DUMMYFUNCTION("""COMPUTED_VALUE"""),"Monténégro")</f>
        <v>Monténégro</v>
      </c>
      <c r="C172">
        <f>IFERROR(__xludf.DUMMYFUNCTION("""COMPUTED_VALUE"""),633552.0)</f>
        <v>633552</v>
      </c>
      <c r="D172">
        <f>IFERROR(__xludf.DUMMYFUNCTION("""COMPUTED_VALUE"""),627936.0)</f>
        <v>627936</v>
      </c>
    </row>
    <row r="173">
      <c r="A173">
        <f>IFERROR(__xludf.DUMMYFUNCTION("""COMPUTED_VALUE"""),167.0)</f>
        <v>167</v>
      </c>
      <c r="B173" t="str">
        <f>IFERROR(__xludf.DUMMYFUNCTION("""COMPUTED_VALUE"""),"Suriname")</f>
        <v>Suriname</v>
      </c>
      <c r="C173">
        <f>IFERROR(__xludf.DUMMYFUNCTION("""COMPUTED_VALUE"""),628886.0)</f>
        <v>628886</v>
      </c>
      <c r="D173">
        <f>IFERROR(__xludf.DUMMYFUNCTION("""COMPUTED_VALUE"""),642582.0)</f>
        <v>642582</v>
      </c>
    </row>
    <row r="174">
      <c r="A174">
        <f>IFERROR(__xludf.DUMMYFUNCTION("""COMPUTED_VALUE"""),168.0)</f>
        <v>168</v>
      </c>
      <c r="B174" t="str">
        <f>IFERROR(__xludf.DUMMYFUNCTION("""COMPUTED_VALUE"""),"Sahara occidental[w]")</f>
        <v>Sahara occidental[w]</v>
      </c>
      <c r="C174">
        <f>IFERROR(__xludf.DUMMYFUNCTION("""COMPUTED_VALUE"""),579729.0)</f>
        <v>579729</v>
      </c>
      <c r="D174">
        <f>IFERROR(__xludf.DUMMYFUNCTION("""COMPUTED_VALUE"""),605978.0)</f>
        <v>605978</v>
      </c>
    </row>
    <row r="175">
      <c r="A175">
        <f>IFERROR(__xludf.DUMMYFUNCTION("""COMPUTED_VALUE"""),169.0)</f>
        <v>169</v>
      </c>
      <c r="B175" t="str">
        <f>IFERROR(__xludf.DUMMYFUNCTION("""COMPUTED_VALUE"""),"Malte")</f>
        <v>Malte</v>
      </c>
      <c r="C175">
        <f>IFERROR(__xludf.DUMMYFUNCTION("""COMPUTED_VALUE"""),532956.0)</f>
        <v>532956</v>
      </c>
      <c r="D175">
        <f>IFERROR(__xludf.DUMMYFUNCTION("""COMPUTED_VALUE"""),547990.0)</f>
        <v>547990</v>
      </c>
    </row>
    <row r="176">
      <c r="A176">
        <f>IFERROR(__xludf.DUMMYFUNCTION("""COMPUTED_VALUE"""),170.0)</f>
        <v>170</v>
      </c>
      <c r="B176" t="str">
        <f>IFERROR(__xludf.DUMMYFUNCTION("""COMPUTED_VALUE"""),"Maldives")</f>
        <v>Maldives</v>
      </c>
      <c r="C176">
        <f>IFERROR(__xludf.DUMMYFUNCTION("""COMPUTED_VALUE"""),525994.0)</f>
        <v>525994</v>
      </c>
      <c r="D176">
        <f>IFERROR(__xludf.DUMMYFUNCTION("""COMPUTED_VALUE"""),530598.0)</f>
        <v>530598</v>
      </c>
    </row>
    <row r="177">
      <c r="A177">
        <f>IFERROR(__xludf.DUMMYFUNCTION("""COMPUTED_VALUE"""),171.0)</f>
        <v>171</v>
      </c>
      <c r="B177" t="str">
        <f>IFERROR(__xludf.DUMMYFUNCTION("""COMPUTED_VALUE"""),"Cap-Vert")</f>
        <v>Cap-Vert</v>
      </c>
      <c r="C177">
        <f>IFERROR(__xludf.DUMMYFUNCTION("""COMPUTED_VALUE"""),522331.0)</f>
        <v>522331</v>
      </c>
      <c r="D177">
        <f>IFERROR(__xludf.DUMMYFUNCTION("""COMPUTED_VALUE"""),528511.0)</f>
        <v>528511</v>
      </c>
    </row>
    <row r="178">
      <c r="A178">
        <f>IFERROR(__xludf.DUMMYFUNCTION("""COMPUTED_VALUE"""),172.0)</f>
        <v>172</v>
      </c>
      <c r="B178" t="str">
        <f>IFERROR(__xludf.DUMMYFUNCTION("""COMPUTED_VALUE"""),"Brunei")</f>
        <v>Brunei</v>
      </c>
      <c r="C178">
        <f>IFERROR(__xludf.DUMMYFUNCTION("""COMPUTED_VALUE"""),458949.0)</f>
        <v>458949</v>
      </c>
      <c r="D178">
        <f>IFERROR(__xludf.DUMMYFUNCTION("""COMPUTED_VALUE"""),468087.0)</f>
        <v>468087</v>
      </c>
    </row>
    <row r="179">
      <c r="A179">
        <f>IFERROR(__xludf.DUMMYFUNCTION("""COMPUTED_VALUE"""),173.0)</f>
        <v>173</v>
      </c>
      <c r="B179" t="str">
        <f>IFERROR(__xludf.DUMMYFUNCTION("""COMPUTED_VALUE"""),"Belize")</f>
        <v>Belize</v>
      </c>
      <c r="C179">
        <f>IFERROR(__xludf.DUMMYFUNCTION("""COMPUTED_VALUE"""),411106.0)</f>
        <v>411106</v>
      </c>
      <c r="D179">
        <f>IFERROR(__xludf.DUMMYFUNCTION("""COMPUTED_VALUE"""),425802.0)</f>
        <v>425802</v>
      </c>
    </row>
    <row r="180">
      <c r="A180">
        <f>IFERROR(__xludf.DUMMYFUNCTION("""COMPUTED_VALUE"""),174.0)</f>
        <v>174</v>
      </c>
      <c r="B180" t="str">
        <f>IFERROR(__xludf.DUMMYFUNCTION("""COMPUTED_VALUE"""),"Bahamas")</f>
        <v>Bahamas</v>
      </c>
      <c r="C180">
        <f>IFERROR(__xludf.DUMMYFUNCTION("""COMPUTED_VALUE"""),399440.0)</f>
        <v>399440</v>
      </c>
      <c r="D180">
        <f>IFERROR(__xludf.DUMMYFUNCTION("""COMPUTED_VALUE"""),403865.0)</f>
        <v>403865</v>
      </c>
    </row>
    <row r="181">
      <c r="A181">
        <f>IFERROR(__xludf.DUMMYFUNCTION("""COMPUTED_VALUE"""),175.0)</f>
        <v>175</v>
      </c>
      <c r="B181" t="str">
        <f>IFERROR(__xludf.DUMMYFUNCTION("""COMPUTED_VALUE"""),"Islande")</f>
        <v>Islande</v>
      </c>
      <c r="C181">
        <f>IFERROR(__xludf.DUMMYFUNCTION("""COMPUTED_VALUE"""),387558.0)</f>
        <v>387558</v>
      </c>
      <c r="D181">
        <f>IFERROR(__xludf.DUMMYFUNCTION("""COMPUTED_VALUE"""),400481.0)</f>
        <v>400481</v>
      </c>
    </row>
    <row r="182">
      <c r="A182" t="str">
        <f>IFERROR(__xludf.DUMMYFUNCTION("""COMPUTED_VALUE"""),"-")</f>
        <v>-</v>
      </c>
      <c r="B182" t="str">
        <f>IFERROR(__xludf.DUMMYFUNCTION("""COMPUTED_VALUE"""),"*Guadeloupe*")</f>
        <v>*Guadeloupe*</v>
      </c>
      <c r="C182" t="str">
        <f>IFERROR(__xludf.DUMMYFUNCTION("""COMPUTED_VALUE"""),"*376 517*")</f>
        <v>*376 517*</v>
      </c>
      <c r="D182" t="str">
        <f>IFERROR(__xludf.DUMMYFUNCTION("""COMPUTED_VALUE"""),"*373 126*")</f>
        <v>*373 126*</v>
      </c>
    </row>
    <row r="183">
      <c r="A183" t="str">
        <f>IFERROR(__xludf.DUMMYFUNCTION("""COMPUTED_VALUE"""),"-")</f>
        <v>-</v>
      </c>
      <c r="B183" t="str">
        <f>IFERROR(__xludf.DUMMYFUNCTION("""COMPUTED_VALUE"""),"*Martinique*")</f>
        <v>*Martinique*</v>
      </c>
      <c r="C183" t="str">
        <f>IFERROR(__xludf.DUMMYFUNCTION("""COMPUTED_VALUE"""),"*346 002*")</f>
        <v>*346 002*</v>
      </c>
      <c r="D183" t="str">
        <f>IFERROR(__xludf.DUMMYFUNCTION("""COMPUTED_VALUE"""),"*339 065*")</f>
        <v>*339 065*</v>
      </c>
    </row>
    <row r="184">
      <c r="A184">
        <f>IFERROR(__xludf.DUMMYFUNCTION("""COMPUTED_VALUE"""),176.0)</f>
        <v>176</v>
      </c>
      <c r="B184" t="str">
        <f>IFERROR(__xludf.DUMMYFUNCTION("""COMPUTED_VALUE"""),"Vanuatu")</f>
        <v>Vanuatu</v>
      </c>
      <c r="C184">
        <f>IFERROR(__xludf.DUMMYFUNCTION("""COMPUTED_VALUE"""),320409.0)</f>
        <v>320409</v>
      </c>
      <c r="D184">
        <f>IFERROR(__xludf.DUMMYFUNCTION("""COMPUTED_VALUE"""),338868.0)</f>
        <v>338868</v>
      </c>
    </row>
    <row r="185">
      <c r="A185" t="str">
        <f>IFERROR(__xludf.DUMMYFUNCTION("""COMPUTED_VALUE"""),"-")</f>
        <v>-</v>
      </c>
      <c r="B185" t="str">
        <f>IFERROR(__xludf.DUMMYFUNCTION("""COMPUTED_VALUE"""),"*Mayotte*")</f>
        <v>*Mayotte*</v>
      </c>
      <c r="C185" t="str">
        <f>IFERROR(__xludf.DUMMYFUNCTION("""COMPUTED_VALUE"""),"*316 015*")</f>
        <v>*316 015*</v>
      </c>
      <c r="D185" t="str">
        <f>IFERROR(__xludf.DUMMYFUNCTION("""COMPUTED_VALUE"""),"*342 263*")</f>
        <v>*342 263*</v>
      </c>
    </row>
    <row r="186">
      <c r="A186" t="str">
        <f>IFERROR(__xludf.DUMMYFUNCTION("""COMPUTED_VALUE"""),"-")</f>
        <v>-</v>
      </c>
      <c r="B186" t="str">
        <f>IFERROR(__xludf.DUMMYFUNCTION("""COMPUTED_VALUE"""),"*Guyane*")</f>
        <v>*Guyane*</v>
      </c>
      <c r="C186" t="str">
        <f>IFERROR(__xludf.DUMMYFUNCTION("""COMPUTED_VALUE"""),"*303 402*")</f>
        <v>*303 402*</v>
      </c>
      <c r="D186" t="str">
        <f>IFERROR(__xludf.DUMMYFUNCTION("""COMPUTED_VALUE"""),"*316 247*")</f>
        <v>*316 247*</v>
      </c>
    </row>
    <row r="187">
      <c r="A187" t="str">
        <f>IFERROR(__xludf.DUMMYFUNCTION("""COMPUTED_VALUE"""),"-")</f>
        <v>-</v>
      </c>
      <c r="B187" t="str">
        <f>IFERROR(__xludf.DUMMYFUNCTION("""COMPUTED_VALUE"""),"*Nouvelle-Calédonie*")</f>
        <v>*Nouvelle-Calédonie*</v>
      </c>
      <c r="C187" t="str">
        <f>IFERROR(__xludf.DUMMYFUNCTION("""COMPUTED_VALUE"""),"*289 870*")</f>
        <v>*289 870*</v>
      </c>
      <c r="D187" t="str">
        <f>IFERROR(__xludf.DUMMYFUNCTION("""COMPUTED_VALUE"""),"*296 656*")</f>
        <v>*296 656*</v>
      </c>
    </row>
    <row r="188">
      <c r="A188">
        <f>IFERROR(__xludf.DUMMYFUNCTION("""COMPUTED_VALUE"""),177.0)</f>
        <v>177</v>
      </c>
      <c r="B188" t="str">
        <f>IFERROR(__xludf.DUMMYFUNCTION("""COMPUTED_VALUE"""),"Barbade")</f>
        <v>Barbade</v>
      </c>
      <c r="C188">
        <f>IFERROR(__xludf.DUMMYFUNCTION("""COMPUTED_VALUE"""),282336.0)</f>
        <v>282336</v>
      </c>
      <c r="D188">
        <f>IFERROR(__xludf.DUMMYFUNCTION("""COMPUTED_VALUE"""),282688.0)</f>
        <v>282688</v>
      </c>
    </row>
    <row r="189">
      <c r="A189" t="str">
        <f>IFERROR(__xludf.DUMMYFUNCTION("""COMPUTED_VALUE"""),"-")</f>
        <v>-</v>
      </c>
      <c r="B189" t="str">
        <f>IFERROR(__xludf.DUMMYFUNCTION("""COMPUTED_VALUE"""),"*Polynésie française*")</f>
        <v>*Polynésie française*</v>
      </c>
      <c r="C189" t="str">
        <f>IFERROR(__xludf.DUMMYFUNCTION("""COMPUTED_VALUE"""),"*281 118*")</f>
        <v>*281 118*</v>
      </c>
      <c r="D189" t="str">
        <f>IFERROR(__xludf.DUMMYFUNCTION("""COMPUTED_VALUE"""),"*282 783*")</f>
        <v>*282 783*</v>
      </c>
    </row>
    <row r="190">
      <c r="A190">
        <f>IFERROR(__xludf.DUMMYFUNCTION("""COMPUTED_VALUE"""),178.0)</f>
        <v>178</v>
      </c>
      <c r="B190" t="str">
        <f>IFERROR(__xludf.DUMMYFUNCTION("""COMPUTED_VALUE"""),"Sao Tomé-et-Principe")</f>
        <v>Sao Tomé-et-Principe</v>
      </c>
      <c r="C190">
        <f>IFERROR(__xludf.DUMMYFUNCTION("""COMPUTED_VALUE"""),230871.0)</f>
        <v>230871</v>
      </c>
      <c r="D190">
        <f>IFERROR(__xludf.DUMMYFUNCTION("""COMPUTED_VALUE"""),242620.0)</f>
        <v>242620</v>
      </c>
    </row>
    <row r="191">
      <c r="A191">
        <f>IFERROR(__xludf.DUMMYFUNCTION("""COMPUTED_VALUE"""),179.0)</f>
        <v>179</v>
      </c>
      <c r="B191" t="str">
        <f>IFERROR(__xludf.DUMMYFUNCTION("""COMPUTED_VALUE"""),"Samoa")</f>
        <v>Samoa</v>
      </c>
      <c r="C191">
        <f>IFERROR(__xludf.DUMMYFUNCTION("""COMPUTED_VALUE"""),216663.0)</f>
        <v>216663</v>
      </c>
      <c r="D191">
        <f>IFERROR(__xludf.DUMMYFUNCTION("""COMPUTED_VALUE"""),219916.0)</f>
        <v>219916</v>
      </c>
    </row>
    <row r="192">
      <c r="A192" t="str">
        <f>IFERROR(__xludf.DUMMYFUNCTION("""COMPUTED_VALUE"""),"-")</f>
        <v>-</v>
      </c>
      <c r="B192" t="str">
        <f>IFERROR(__xludf.DUMMYFUNCTION("""COMPUTED_VALUE"""),"*Curaçao*")</f>
        <v>*Curaçao*</v>
      </c>
      <c r="C192" t="str">
        <f>IFERROR(__xludf.DUMMYFUNCTION("""COMPUTED_VALUE"""),"*185 427*")</f>
        <v>*185 427*</v>
      </c>
      <c r="D192" t="str">
        <f>IFERROR(__xludf.DUMMYFUNCTION("""COMPUTED_VALUE"""),"*185 471*")</f>
        <v>*185 471*</v>
      </c>
    </row>
    <row r="193">
      <c r="A193">
        <f>IFERROR(__xludf.DUMMYFUNCTION("""COMPUTED_VALUE"""),180.0)</f>
        <v>180</v>
      </c>
      <c r="B193" t="str">
        <f>IFERROR(__xludf.DUMMYFUNCTION("""COMPUTED_VALUE"""),"Sainte-Lucie")</f>
        <v>Sainte-Lucie</v>
      </c>
      <c r="C193">
        <f>IFERROR(__xludf.DUMMYFUNCTION("""COMPUTED_VALUE"""),179285.0)</f>
        <v>179285</v>
      </c>
      <c r="D193">
        <f>IFERROR(__xludf.DUMMYFUNCTION("""COMPUTED_VALUE"""),180334.0)</f>
        <v>180334</v>
      </c>
    </row>
    <row r="194">
      <c r="A194" t="str">
        <f>IFERROR(__xludf.DUMMYFUNCTION("""COMPUTED_VALUE"""),"-")</f>
        <v>-</v>
      </c>
      <c r="B194" t="str">
        <f>IFERROR(__xludf.DUMMYFUNCTION("""COMPUTED_VALUE"""),"*Guam*")</f>
        <v>*Guam*</v>
      </c>
      <c r="C194" t="str">
        <f>IFERROR(__xludf.DUMMYFUNCTION("""COMPUTED_VALUE"""),"*166 506*")</f>
        <v>*166 506*</v>
      </c>
      <c r="D194" t="str">
        <f>IFERROR(__xludf.DUMMYFUNCTION("""COMPUTED_VALUE"""),"*169 598*")</f>
        <v>*169 598*</v>
      </c>
    </row>
    <row r="195">
      <c r="A195">
        <f>IFERROR(__xludf.DUMMYFUNCTION("""COMPUTED_VALUE"""),181.0)</f>
        <v>181</v>
      </c>
      <c r="B195" t="str">
        <f>IFERROR(__xludf.DUMMYFUNCTION("""COMPUTED_VALUE"""),"Kiribati")</f>
        <v>Kiribati</v>
      </c>
      <c r="C195">
        <f>IFERROR(__xludf.DUMMYFUNCTION("""COMPUTED_VALUE"""),132530.0)</f>
        <v>132530</v>
      </c>
      <c r="D195">
        <f>IFERROR(__xludf.DUMMYFUNCTION("""COMPUTED_VALUE"""),137468.0)</f>
        <v>137468</v>
      </c>
    </row>
    <row r="196">
      <c r="A196">
        <f>IFERROR(__xludf.DUMMYFUNCTION("""COMPUTED_VALUE"""),182.0)</f>
        <v>182</v>
      </c>
      <c r="B196" t="str">
        <f>IFERROR(__xludf.DUMMYFUNCTION("""COMPUTED_VALUE"""),"Seychelles")</f>
        <v>Seychelles</v>
      </c>
      <c r="C196">
        <f>IFERROR(__xludf.DUMMYFUNCTION("""COMPUTED_VALUE"""),127951.0)</f>
        <v>127951</v>
      </c>
      <c r="D196">
        <f>IFERROR(__xludf.DUMMYFUNCTION("""COMPUTED_VALUE"""),133927.0)</f>
        <v>133927</v>
      </c>
    </row>
    <row r="197">
      <c r="A197">
        <f>IFERROR(__xludf.DUMMYFUNCTION("""COMPUTED_VALUE"""),183.0)</f>
        <v>183</v>
      </c>
      <c r="B197" t="str">
        <f>IFERROR(__xludf.DUMMYFUNCTION("""COMPUTED_VALUE"""),"Grenade")</f>
        <v>Grenade</v>
      </c>
      <c r="C197">
        <f>IFERROR(__xludf.DUMMYFUNCTION("""COMPUTED_VALUE"""),117081.0)</f>
        <v>117081</v>
      </c>
      <c r="D197">
        <f>IFERROR(__xludf.DUMMYFUNCTION("""COMPUTED_VALUE"""),117347.0)</f>
        <v>117347</v>
      </c>
    </row>
    <row r="198">
      <c r="A198">
        <f>IFERROR(__xludf.DUMMYFUNCTION("""COMPUTED_VALUE"""),184.0)</f>
        <v>184</v>
      </c>
      <c r="B198" t="str">
        <f>IFERROR(__xludf.DUMMYFUNCTION("""COMPUTED_VALUE"""),"États fédérés de Micronésie")</f>
        <v>États fédérés de Micronésie</v>
      </c>
      <c r="C198">
        <f>IFERROR(__xludf.DUMMYFUNCTION("""COMPUTED_VALUE"""),112630.0)</f>
        <v>112630</v>
      </c>
      <c r="D198">
        <f>IFERROR(__xludf.DUMMYFUNCTION("""COMPUTED_VALUE"""),113938.0)</f>
        <v>113938</v>
      </c>
    </row>
    <row r="199">
      <c r="A199" t="str">
        <f>IFERROR(__xludf.DUMMYFUNCTION("""COMPUTED_VALUE"""),"-")</f>
        <v>-</v>
      </c>
      <c r="B199" t="str">
        <f>IFERROR(__xludf.DUMMYFUNCTION("""COMPUTED_VALUE"""),"*Aruba*")</f>
        <v>*Aruba*</v>
      </c>
      <c r="C199" t="str">
        <f>IFERROR(__xludf.DUMMYFUNCTION("""COMPUTED_VALUE"""),"*107 939*")</f>
        <v>*107 939*</v>
      </c>
      <c r="D199" t="str">
        <f>IFERROR(__xludf.DUMMYFUNCTION("""COMPUTED_VALUE"""),"*108 173*")</f>
        <v>*108 173*</v>
      </c>
    </row>
    <row r="200">
      <c r="A200">
        <f>IFERROR(__xludf.DUMMYFUNCTION("""COMPUTED_VALUE"""),185.0)</f>
        <v>185</v>
      </c>
      <c r="B200" t="str">
        <f>IFERROR(__xludf.DUMMYFUNCTION("""COMPUTED_VALUE"""),"Tonga")</f>
        <v>Tonga</v>
      </c>
      <c r="C200">
        <f>IFERROR(__xludf.DUMMYFUNCTION("""COMPUTED_VALUE"""),104597.0)</f>
        <v>104597</v>
      </c>
      <c r="D200">
        <f>IFERROR(__xludf.DUMMYFUNCTION("""COMPUTED_VALUE"""),103512.0)</f>
        <v>103512</v>
      </c>
    </row>
    <row r="201">
      <c r="A201" t="str">
        <f>IFERROR(__xludf.DUMMYFUNCTION("""COMPUTED_VALUE"""),"-")</f>
        <v>-</v>
      </c>
      <c r="B201" t="str">
        <f>IFERROR(__xludf.DUMMYFUNCTION("""COMPUTED_VALUE"""),"*Jersey*")</f>
        <v>*Jersey*</v>
      </c>
      <c r="C201" t="str">
        <f>IFERROR(__xludf.DUMMYFUNCTION("""COMPUTED_VALUE"""),"*103 674*")</f>
        <v>*103 674*</v>
      </c>
      <c r="D201" t="str">
        <f>IFERROR(__xludf.DUMMYFUNCTION("""COMPUTED_VALUE"""),"*104 052*")</f>
        <v>*104 052*</v>
      </c>
    </row>
    <row r="202">
      <c r="A202">
        <f>IFERROR(__xludf.DUMMYFUNCTION("""COMPUTED_VALUE"""),186.0)</f>
        <v>186</v>
      </c>
      <c r="B202" t="str">
        <f>IFERROR(__xludf.DUMMYFUNCTION("""COMPUTED_VALUE"""),"Saint-Vincent-et-les-Grenadines")</f>
        <v>Saint-Vincent-et-les-Grenadines</v>
      </c>
      <c r="C202">
        <f>IFERROR(__xludf.DUMMYFUNCTION("""COMPUTED_VALUE"""),101323.0)</f>
        <v>101323</v>
      </c>
      <c r="D202">
        <f>IFERROR(__xludf.DUMMYFUNCTION("""COMPUTED_VALUE"""),99583.0)</f>
        <v>99583</v>
      </c>
    </row>
    <row r="203">
      <c r="A203">
        <f>IFERROR(__xludf.DUMMYFUNCTION("""COMPUTED_VALUE"""),187.0)</f>
        <v>187</v>
      </c>
      <c r="B203" t="str">
        <f>IFERROR(__xludf.DUMMYFUNCTION("""COMPUTED_VALUE"""),"Antigua-et-Barbuda")</f>
        <v>Antigua-et-Barbuda</v>
      </c>
      <c r="C203">
        <f>IFERROR(__xludf.DUMMYFUNCTION("""COMPUTED_VALUE"""),93316.0)</f>
        <v>93316</v>
      </c>
      <c r="D203">
        <f>IFERROR(__xludf.DUMMYFUNCTION("""COMPUTED_VALUE"""),94423.0)</f>
        <v>94423</v>
      </c>
    </row>
    <row r="204">
      <c r="A204" t="str">
        <f>IFERROR(__xludf.DUMMYFUNCTION("""COMPUTED_VALUE"""),"-")</f>
        <v>-</v>
      </c>
      <c r="B204" t="str">
        <f>IFERROR(__xludf.DUMMYFUNCTION("""COMPUTED_VALUE"""),"*Îles Vierges des États-Unis*")</f>
        <v>*Îles Vierges des États-Unis*</v>
      </c>
      <c r="C204" t="str">
        <f>IFERROR(__xludf.DUMMYFUNCTION("""COMPUTED_VALUE"""),"*85 701*")</f>
        <v>*85 701*</v>
      </c>
      <c r="D204" t="str">
        <f>IFERROR(__xludf.DUMMYFUNCTION("""COMPUTED_VALUE"""),"*83 770*")</f>
        <v>*83 770*</v>
      </c>
    </row>
    <row r="205">
      <c r="A205" t="str">
        <f>IFERROR(__xludf.DUMMYFUNCTION("""COMPUTED_VALUE"""),"-")</f>
        <v>-</v>
      </c>
      <c r="B205" t="str">
        <f>IFERROR(__xludf.DUMMYFUNCTION("""COMPUTED_VALUE"""),"*Île de Man*")</f>
        <v>*Île de Man*</v>
      </c>
      <c r="C205" t="str">
        <f>IFERROR(__xludf.DUMMYFUNCTION("""COMPUTED_VALUE"""),"*84 165*")</f>
        <v>*84 165*</v>
      </c>
      <c r="D205" t="str">
        <f>IFERROR(__xludf.DUMMYFUNCTION("""COMPUTED_VALUE"""),"*84 089*")</f>
        <v>*84 089*</v>
      </c>
    </row>
    <row r="206">
      <c r="A206">
        <f>IFERROR(__xludf.DUMMYFUNCTION("""COMPUTED_VALUE"""),188.0)</f>
        <v>188</v>
      </c>
      <c r="B206" t="str">
        <f>IFERROR(__xludf.DUMMYFUNCTION("""COMPUTED_VALUE"""),"Andorre")</f>
        <v>Andorre</v>
      </c>
      <c r="C206">
        <f>IFERROR(__xludf.DUMMYFUNCTION("""COMPUTED_VALUE"""),80856.0)</f>
        <v>80856</v>
      </c>
      <c r="D206">
        <f>IFERROR(__xludf.DUMMYFUNCTION("""COMPUTED_VALUE"""),83352.0)</f>
        <v>83352</v>
      </c>
    </row>
    <row r="207">
      <c r="A207" t="str">
        <f>IFERROR(__xludf.DUMMYFUNCTION("""COMPUTED_VALUE"""),"-")</f>
        <v>-</v>
      </c>
      <c r="B207" t="str">
        <f>IFERROR(__xludf.DUMMYFUNCTION("""COMPUTED_VALUE"""),"*Îles Caïmans*")</f>
        <v>*Îles Caïmans*</v>
      </c>
      <c r="C207" t="str">
        <f>IFERROR(__xludf.DUMMYFUNCTION("""COMPUTED_VALUE"""),"*73 038*")</f>
        <v>*73 038*</v>
      </c>
      <c r="D207" t="str">
        <f>IFERROR(__xludf.DUMMYFUNCTION("""COMPUTED_VALUE"""),"*76 528*")</f>
        <v>*76 528*</v>
      </c>
    </row>
    <row r="208">
      <c r="A208">
        <f>IFERROR(__xludf.DUMMYFUNCTION("""COMPUTED_VALUE"""),189.0)</f>
        <v>189</v>
      </c>
      <c r="B208" t="str">
        <f>IFERROR(__xludf.DUMMYFUNCTION("""COMPUTED_VALUE"""),"Dominique")</f>
        <v>Dominique</v>
      </c>
      <c r="C208">
        <f>IFERROR(__xludf.DUMMYFUNCTION("""COMPUTED_VALUE"""),66510.0)</f>
        <v>66510</v>
      </c>
      <c r="D208">
        <f>IFERROR(__xludf.DUMMYFUNCTION("""COMPUTED_VALUE"""),65686.0)</f>
        <v>65686</v>
      </c>
    </row>
    <row r="209">
      <c r="A209" t="str">
        <f>IFERROR(__xludf.DUMMYFUNCTION("""COMPUTED_VALUE"""),"-")</f>
        <v>-</v>
      </c>
      <c r="B209" t="str">
        <f>IFERROR(__xludf.DUMMYFUNCTION("""COMPUTED_VALUE"""),"*Bermudes*")</f>
        <v>*Bermudes*</v>
      </c>
      <c r="C209" t="str">
        <f>IFERROR(__xludf.DUMMYFUNCTION("""COMPUTED_VALUE"""),"*64 698*")</f>
        <v>*64 698*</v>
      </c>
      <c r="D209" t="str">
        <f>IFERROR(__xludf.DUMMYFUNCTION("""COMPUTED_VALUE"""),"*64 508*")</f>
        <v>*64 508*</v>
      </c>
    </row>
    <row r="210">
      <c r="A210" t="str">
        <f>IFERROR(__xludf.DUMMYFUNCTION("""COMPUTED_VALUE"""),"-")</f>
        <v>-</v>
      </c>
      <c r="B210" t="str">
        <f>IFERROR(__xludf.DUMMYFUNCTION("""COMPUTED_VALUE"""),"*Guernesey*")</f>
        <v>*Guernesey*</v>
      </c>
      <c r="C210" t="str">
        <f>IFERROR(__xludf.DUMMYFUNCTION("""COMPUTED_VALUE"""),"*64 017*")</f>
        <v>*64 017*</v>
      </c>
      <c r="D210" t="str">
        <f>IFERROR(__xludf.DUMMYFUNCTION("""COMPUTED_VALUE"""),"*64 562*")</f>
        <v>*64 562*</v>
      </c>
    </row>
    <row r="211">
      <c r="A211" t="str">
        <f>IFERROR(__xludf.DUMMYFUNCTION("""COMPUTED_VALUE"""),"-")</f>
        <v>-</v>
      </c>
      <c r="B211" t="str">
        <f>IFERROR(__xludf.DUMMYFUNCTION("""COMPUTED_VALUE"""),"*Groenland*")</f>
        <v>*Groenland*</v>
      </c>
      <c r="C211" t="str">
        <f>IFERROR(__xludf.DUMMYFUNCTION("""COMPUTED_VALUE"""),"*55 922*")</f>
        <v>*55 922*</v>
      </c>
      <c r="D211" t="str">
        <f>IFERROR(__xludf.DUMMYFUNCTION("""COMPUTED_VALUE"""),"*55 693*")</f>
        <v>*55 693*</v>
      </c>
    </row>
    <row r="212">
      <c r="A212" t="str">
        <f>IFERROR(__xludf.DUMMYFUNCTION("""COMPUTED_VALUE"""),"-")</f>
        <v>-</v>
      </c>
      <c r="B212" t="str">
        <f>IFERROR(__xludf.DUMMYFUNCTION("""COMPUTED_VALUE"""),"*Îles Féroé*")</f>
        <v>*Îles Féroé*</v>
      </c>
      <c r="C212" t="str">
        <f>IFERROR(__xludf.DUMMYFUNCTION("""COMPUTED_VALUE"""),"*54 714*")</f>
        <v>*54 714*</v>
      </c>
      <c r="D212" t="str">
        <f>IFERROR(__xludf.DUMMYFUNCTION("""COMPUTED_VALUE"""),"*56 281*")</f>
        <v>*56 281*</v>
      </c>
    </row>
    <row r="213">
      <c r="A213" t="str">
        <f>IFERROR(__xludf.DUMMYFUNCTION("""COMPUTED_VALUE"""),"-")</f>
        <v>-</v>
      </c>
      <c r="B213" t="str">
        <f>IFERROR(__xludf.DUMMYFUNCTION("""COMPUTED_VALUE"""),"*Samoa américaines*")</f>
        <v>*Samoa américaines*</v>
      </c>
      <c r="C213" t="str">
        <f>IFERROR(__xludf.DUMMYFUNCTION("""COMPUTED_VALUE"""),"*47 521*")</f>
        <v>*47 521*</v>
      </c>
      <c r="D213" t="str">
        <f>IFERROR(__xludf.DUMMYFUNCTION("""COMPUTED_VALUE"""),"*45 668*")</f>
        <v>*45 668*</v>
      </c>
    </row>
    <row r="214">
      <c r="A214">
        <f>IFERROR(__xludf.DUMMYFUNCTION("""COMPUTED_VALUE"""),190.0)</f>
        <v>190</v>
      </c>
      <c r="B214" t="str">
        <f>IFERROR(__xludf.DUMMYFUNCTION("""COMPUTED_VALUE"""),"Saint-Christophe-et-Niévès")</f>
        <v>Saint-Christophe-et-Niévès</v>
      </c>
      <c r="C214">
        <f>IFERROR(__xludf.DUMMYFUNCTION("""COMPUTED_VALUE"""),46758.0)</f>
        <v>46758</v>
      </c>
      <c r="D214">
        <f>IFERROR(__xludf.DUMMYFUNCTION("""COMPUTED_VALUE"""),46960.0)</f>
        <v>46960</v>
      </c>
    </row>
    <row r="215">
      <c r="A215" t="str">
        <f>IFERROR(__xludf.DUMMYFUNCTION("""COMPUTED_VALUE"""),"-")</f>
        <v>-</v>
      </c>
      <c r="B215" t="str">
        <f>IFERROR(__xludf.DUMMYFUNCTION("""COMPUTED_VALUE"""),"*Îles Turques-et-Caïques*")</f>
        <v>*Îles Turques-et-Caïques*</v>
      </c>
      <c r="C215" t="str">
        <f>IFERROR(__xludf.DUMMYFUNCTION("""COMPUTED_VALUE"""),"*46 198*")</f>
        <v>*46 198*</v>
      </c>
      <c r="D215" t="str">
        <f>IFERROR(__xludf.DUMMYFUNCTION("""COMPUTED_VALUE"""),"*47 010*")</f>
        <v>*47 010*</v>
      </c>
    </row>
    <row r="216">
      <c r="A216" t="str">
        <f>IFERROR(__xludf.DUMMYFUNCTION("""COMPUTED_VALUE"""),"-")</f>
        <v>-</v>
      </c>
      <c r="B216" t="str">
        <f>IFERROR(__xludf.DUMMYFUNCTION("""COMPUTED_VALUE"""),"*Îles Mariannes du Nord*")</f>
        <v>*Îles Mariannes du Nord*</v>
      </c>
      <c r="C216" t="str">
        <f>IFERROR(__xludf.DUMMYFUNCTION("""COMPUTED_VALUE"""),"*45 143*")</f>
        <v>*45 143*</v>
      </c>
      <c r="D216" t="str">
        <f>IFERROR(__xludf.DUMMYFUNCTION("""COMPUTED_VALUE"""),"*43 194*")</f>
        <v>*43 194*</v>
      </c>
    </row>
    <row r="217">
      <c r="A217" t="str">
        <f>IFERROR(__xludf.DUMMYFUNCTION("""COMPUTED_VALUE"""),"-")</f>
        <v>-</v>
      </c>
      <c r="B217" t="str">
        <f>IFERROR(__xludf.DUMMYFUNCTION("""COMPUTED_VALUE"""),"*Saint-Martin*")</f>
        <v>*Saint-Martin*</v>
      </c>
      <c r="C217" t="str">
        <f>IFERROR(__xludf.DUMMYFUNCTION("""COMPUTED_VALUE"""),"*42 749*")</f>
        <v>*42 749*</v>
      </c>
      <c r="D217" t="str">
        <f>IFERROR(__xludf.DUMMYFUNCTION("""COMPUTED_VALUE"""),"*44 201*")</f>
        <v>*44 201*</v>
      </c>
    </row>
    <row r="218">
      <c r="A218">
        <f>IFERROR(__xludf.DUMMYFUNCTION("""COMPUTED_VALUE"""),191.0)</f>
        <v>191</v>
      </c>
      <c r="B218" t="str">
        <f>IFERROR(__xludf.DUMMYFUNCTION("""COMPUTED_VALUE"""),"Liechtenstein")</f>
        <v>Liechtenstein</v>
      </c>
      <c r="C218">
        <f>IFERROR(__xludf.DUMMYFUNCTION("""COMPUTED_VALUE"""),39598.0)</f>
        <v>39598</v>
      </c>
      <c r="D218">
        <f>IFERROR(__xludf.DUMMYFUNCTION("""COMPUTED_VALUE"""),40252.0)</f>
        <v>40252</v>
      </c>
    </row>
    <row r="219">
      <c r="A219" t="str">
        <f>IFERROR(__xludf.DUMMYFUNCTION("""COMPUTED_VALUE"""),"-")</f>
        <v>-</v>
      </c>
      <c r="B219" t="str">
        <f>IFERROR(__xludf.DUMMYFUNCTION("""COMPUTED_VALUE"""),"*Îles Vierges britanniques*")</f>
        <v>*Îles Vierges britanniques*</v>
      </c>
      <c r="C219" t="str">
        <f>IFERROR(__xludf.DUMMYFUNCTION("""COMPUTED_VALUE"""),"*38 985*")</f>
        <v>*38 985*</v>
      </c>
      <c r="D219" t="str">
        <f>IFERROR(__xludf.DUMMYFUNCTION("""COMPUTED_VALUE"""),"*39 849*")</f>
        <v>*39 849*</v>
      </c>
    </row>
    <row r="220">
      <c r="A220">
        <f>IFERROR(__xludf.DUMMYFUNCTION("""COMPUTED_VALUE"""),192.0)</f>
        <v>192</v>
      </c>
      <c r="B220" t="str">
        <f>IFERROR(__xludf.DUMMYFUNCTION("""COMPUTED_VALUE"""),"Monaco")</f>
        <v>Monaco</v>
      </c>
      <c r="C220">
        <f>IFERROR(__xludf.DUMMYFUNCTION("""COMPUTED_VALUE"""),38956.0)</f>
        <v>38956</v>
      </c>
      <c r="D220">
        <f>IFERROR(__xludf.DUMMYFUNCTION("""COMPUTED_VALUE"""),38197.0)</f>
        <v>38197</v>
      </c>
    </row>
    <row r="221">
      <c r="A221">
        <f>IFERROR(__xludf.DUMMYFUNCTION("""COMPUTED_VALUE"""),193.0)</f>
        <v>193</v>
      </c>
      <c r="B221" t="str">
        <f>IFERROR(__xludf.DUMMYFUNCTION("""COMPUTED_VALUE"""),"Îles Marshall")</f>
        <v>Îles Marshall</v>
      </c>
      <c r="C221">
        <f>IFERROR(__xludf.DUMMYFUNCTION("""COMPUTED_VALUE"""),38827.0)</f>
        <v>38827</v>
      </c>
      <c r="D221">
        <f>IFERROR(__xludf.DUMMYFUNCTION("""COMPUTED_VALUE"""),35650.0)</f>
        <v>35650</v>
      </c>
    </row>
    <row r="222">
      <c r="A222" t="str">
        <f>IFERROR(__xludf.DUMMYFUNCTION("""COMPUTED_VALUE"""),"-")</f>
        <v>-</v>
      </c>
      <c r="B222" t="str">
        <f>IFERROR(__xludf.DUMMYFUNCTION("""COMPUTED_VALUE"""),"*Gibraltar*")</f>
        <v>*Gibraltar*</v>
      </c>
      <c r="C222" t="str">
        <f>IFERROR(__xludf.DUMMYFUNCTION("""COMPUTED_VALUE"""),"*38 471*")</f>
        <v>*38 471*</v>
      </c>
      <c r="D222" t="str">
        <f>IFERROR(__xludf.DUMMYFUNCTION("""COMPUTED_VALUE"""),"*40 513*")</f>
        <v>*40 513*</v>
      </c>
    </row>
    <row r="223">
      <c r="A223">
        <f>IFERROR(__xludf.DUMMYFUNCTION("""COMPUTED_VALUE"""),194.0)</f>
        <v>194</v>
      </c>
      <c r="B223" t="str">
        <f>IFERROR(__xludf.DUMMYFUNCTION("""COMPUTED_VALUE"""),"Saint-Marin")</f>
        <v>Saint-Marin</v>
      </c>
      <c r="C223">
        <f>IFERROR(__xludf.DUMMYFUNCTION("""COMPUTED_VALUE"""),33733.0)</f>
        <v>33733</v>
      </c>
      <c r="D223">
        <f>IFERROR(__xludf.DUMMYFUNCTION("""COMPUTED_VALUE"""),33590.0)</f>
        <v>33590</v>
      </c>
    </row>
    <row r="224">
      <c r="A224" t="str">
        <f>IFERROR(__xludf.DUMMYFUNCTION("""COMPUTED_VALUE"""),"-")</f>
        <v>-</v>
      </c>
      <c r="B224" t="str">
        <f>IFERROR(__xludf.DUMMYFUNCTION("""COMPUTED_VALUE"""),"*Pays-Bas caribéens*")</f>
        <v>*Pays-Bas caribéens*</v>
      </c>
      <c r="C224" t="str">
        <f>IFERROR(__xludf.DUMMYFUNCTION("""COMPUTED_VALUE"""),"*29 898*")</f>
        <v>*29 898*</v>
      </c>
      <c r="D224" t="str">
        <f>IFERROR(__xludf.DUMMYFUNCTION("""COMPUTED_VALUE"""),"*31 650*")</f>
        <v>*31 650*</v>
      </c>
    </row>
    <row r="225">
      <c r="A225" t="str">
        <f>IFERROR(__xludf.DUMMYFUNCTION("""COMPUTED_VALUE"""),"-")</f>
        <v>-</v>
      </c>
      <c r="B225" t="str">
        <f>IFERROR(__xludf.DUMMYFUNCTION("""COMPUTED_VALUE"""),"*Saint-Martin*")</f>
        <v>*Saint-Martin*</v>
      </c>
      <c r="C225" t="str">
        <f>IFERROR(__xludf.DUMMYFUNCTION("""COMPUTED_VALUE"""),"*27 515*")</f>
        <v>*27 515*</v>
      </c>
      <c r="D225" t="str">
        <f>IFERROR(__xludf.DUMMYFUNCTION("""COMPUTED_VALUE"""),"*24 395*")</f>
        <v>*24 395*</v>
      </c>
    </row>
    <row r="226">
      <c r="A226">
        <f>IFERROR(__xludf.DUMMYFUNCTION("""COMPUTED_VALUE"""),195.0)</f>
        <v>195</v>
      </c>
      <c r="B226" t="str">
        <f>IFERROR(__xludf.DUMMYFUNCTION("""COMPUTED_VALUE"""),"Palaos")</f>
        <v>Palaos</v>
      </c>
      <c r="C226">
        <f>IFERROR(__xludf.DUMMYFUNCTION("""COMPUTED_VALUE"""),17727.0)</f>
        <v>17727</v>
      </c>
      <c r="D226">
        <f>IFERROR(__xludf.DUMMYFUNCTION("""COMPUTED_VALUE"""),17641.0)</f>
        <v>17641</v>
      </c>
    </row>
    <row r="227">
      <c r="A227" t="str">
        <f>IFERROR(__xludf.DUMMYFUNCTION("""COMPUTED_VALUE"""),"-")</f>
        <v>-</v>
      </c>
      <c r="B227" t="str">
        <f>IFERROR(__xludf.DUMMYFUNCTION("""COMPUTED_VALUE"""),"*Anguilla*")</f>
        <v>*Anguilla*</v>
      </c>
      <c r="C227" t="str">
        <f>IFERROR(__xludf.DUMMYFUNCTION("""COMPUTED_VALUE"""),"*14 410*")</f>
        <v>*14 410*</v>
      </c>
      <c r="D227" t="str">
        <f>IFERROR(__xludf.DUMMYFUNCTION("""COMPUTED_VALUE"""),"*14 782*")</f>
        <v>*14 782*</v>
      </c>
    </row>
    <row r="228">
      <c r="A228">
        <f>IFERROR(__xludf.DUMMYFUNCTION("""COMPUTED_VALUE"""),196.0)</f>
        <v>196</v>
      </c>
      <c r="B228" t="str">
        <f>IFERROR(__xludf.DUMMYFUNCTION("""COMPUTED_VALUE"""),"Îles Cook")</f>
        <v>Îles Cook</v>
      </c>
      <c r="C228">
        <f>IFERROR(__xludf.DUMMYFUNCTION("""COMPUTED_VALUE"""),14222.0)</f>
        <v>14222</v>
      </c>
      <c r="D228">
        <f>IFERROR(__xludf.DUMMYFUNCTION("""COMPUTED_VALUE"""),13035.0)</f>
        <v>13035</v>
      </c>
    </row>
    <row r="229">
      <c r="A229">
        <f>IFERROR(__xludf.DUMMYFUNCTION("""COMPUTED_VALUE"""),197.0)</f>
        <v>197</v>
      </c>
      <c r="B229" t="str">
        <f>IFERROR(__xludf.DUMMYFUNCTION("""COMPUTED_VALUE"""),"Nauru")</f>
        <v>Nauru</v>
      </c>
      <c r="C229">
        <f>IFERROR(__xludf.DUMMYFUNCTION("""COMPUTED_VALUE"""),11875.0)</f>
        <v>11875</v>
      </c>
      <c r="D229">
        <f>IFERROR(__xludf.DUMMYFUNCTION("""COMPUTED_VALUE"""),12063.0)</f>
        <v>12063</v>
      </c>
    </row>
    <row r="230">
      <c r="A230" t="str">
        <f>IFERROR(__xludf.DUMMYFUNCTION("""COMPUTED_VALUE"""),"-")</f>
        <v>-</v>
      </c>
      <c r="B230" t="str">
        <f>IFERROR(__xludf.DUMMYFUNCTION("""COMPUTED_VALUE"""),"*Wallis-et-Futuna*")</f>
        <v>*Wallis-et-Futuna*</v>
      </c>
      <c r="C230" t="str">
        <f>IFERROR(__xludf.DUMMYFUNCTION("""COMPUTED_VALUE"""),"*11 370*")</f>
        <v>*11 370*</v>
      </c>
      <c r="D230" t="str">
        <f>IFERROR(__xludf.DUMMYFUNCTION("""COMPUTED_VALUE"""),"*11 153*")</f>
        <v>*11 153*</v>
      </c>
    </row>
    <row r="231">
      <c r="A231" t="str">
        <f>IFERROR(__xludf.DUMMYFUNCTION("""COMPUTED_VALUE"""),"-")</f>
        <v>-</v>
      </c>
      <c r="B231" t="str">
        <f>IFERROR(__xludf.DUMMYFUNCTION("""COMPUTED_VALUE"""),"*Saint-Barthélemy*")</f>
        <v>*Saint-Barthélemy*</v>
      </c>
      <c r="C231" t="str">
        <f>IFERROR(__xludf.DUMMYFUNCTION("""COMPUTED_VALUE"""),"*11 085*")</f>
        <v>*11 085*</v>
      </c>
      <c r="D231" t="str">
        <f>IFERROR(__xludf.DUMMYFUNCTION("""COMPUTED_VALUE"""),"*11 489*")</f>
        <v>*11 489*</v>
      </c>
    </row>
    <row r="232">
      <c r="A232">
        <f>IFERROR(__xludf.DUMMYFUNCTION("""COMPUTED_VALUE"""),198.0)</f>
        <v>198</v>
      </c>
      <c r="B232" t="str">
        <f>IFERROR(__xludf.DUMMYFUNCTION("""COMPUTED_VALUE"""),"Tuvalu")</f>
        <v>Tuvalu</v>
      </c>
      <c r="C232">
        <f>IFERROR(__xludf.DUMMYFUNCTION("""COMPUTED_VALUE"""),9816.0)</f>
        <v>9816</v>
      </c>
      <c r="D232">
        <f>IFERROR(__xludf.DUMMYFUNCTION("""COMPUTED_VALUE"""),9420.0)</f>
        <v>9420</v>
      </c>
    </row>
    <row r="233">
      <c r="A233" t="str">
        <f>IFERROR(__xludf.DUMMYFUNCTION("""COMPUTED_VALUE"""),"-")</f>
        <v>-</v>
      </c>
      <c r="B233" t="str">
        <f>IFERROR(__xludf.DUMMYFUNCTION("""COMPUTED_VALUE"""),"*Saint-Pierre-et-Miquelon*")</f>
        <v>*Saint-Pierre-et-Miquelon*</v>
      </c>
      <c r="C233" t="str">
        <f>IFERROR(__xludf.DUMMYFUNCTION("""COMPUTED_VALUE"""),"*5 681*")</f>
        <v>*5 681*</v>
      </c>
      <c r="D233" t="str">
        <f>IFERROR(__xludf.DUMMYFUNCTION("""COMPUTED_VALUE"""),"*5 545*")</f>
        <v>*5 545*</v>
      </c>
    </row>
    <row r="234">
      <c r="A234" t="str">
        <f>IFERROR(__xludf.DUMMYFUNCTION("""COMPUTED_VALUE"""),"-")</f>
        <v>-</v>
      </c>
      <c r="B234" t="str">
        <f>IFERROR(__xludf.DUMMYFUNCTION("""COMPUTED_VALUE"""),"*Sainte-Hélène, Ascension et Tristan da Cunha*")</f>
        <v>*Sainte-Hélène, Ascension et Tristan da Cunha*</v>
      </c>
      <c r="C234" t="str">
        <f>IFERROR(__xludf.DUMMYFUNCTION("""COMPUTED_VALUE"""),"*5 289*")</f>
        <v>*5 289*</v>
      </c>
      <c r="D234" t="str">
        <f>IFERROR(__xludf.DUMMYFUNCTION("""COMPUTED_VALUE"""),"*5 177*")</f>
        <v>*5 177*</v>
      </c>
    </row>
    <row r="235">
      <c r="A235" t="str">
        <f>IFERROR(__xludf.DUMMYFUNCTION("""COMPUTED_VALUE"""),"-")</f>
        <v>-</v>
      </c>
      <c r="B235" t="str">
        <f>IFERROR(__xludf.DUMMYFUNCTION("""COMPUTED_VALUE"""),"*Montserrat*")</f>
        <v>*Montserrat*</v>
      </c>
      <c r="C235" t="str">
        <f>IFERROR(__xludf.DUMMYFUNCTION("""COMPUTED_VALUE"""),"*4 420*")</f>
        <v>*4 420*</v>
      </c>
      <c r="D235" t="str">
        <f>IFERROR(__xludf.DUMMYFUNCTION("""COMPUTED_VALUE"""),"*4 346*")</f>
        <v>*4 346*</v>
      </c>
    </row>
    <row r="236">
      <c r="A236" t="str">
        <f>IFERROR(__xludf.DUMMYFUNCTION("""COMPUTED_VALUE"""),"-")</f>
        <v>-</v>
      </c>
      <c r="B236" t="str">
        <f>IFERROR(__xludf.DUMMYFUNCTION("""COMPUTED_VALUE"""),"*Îles Malouines*")</f>
        <v>*Îles Malouines*</v>
      </c>
      <c r="C236" t="str">
        <f>IFERROR(__xludf.DUMMYFUNCTION("""COMPUTED_VALUE"""),"*3 477*")</f>
        <v>*3 477*</v>
      </c>
      <c r="D236" t="str">
        <f>IFERROR(__xludf.DUMMYFUNCTION("""COMPUTED_VALUE"""),"*3 467*")</f>
        <v>*3 467*</v>
      </c>
    </row>
    <row r="237">
      <c r="A237" t="str">
        <f>IFERROR(__xludf.DUMMYFUNCTION("""COMPUTED_VALUE"""),"-")</f>
        <v>-</v>
      </c>
      <c r="B237" t="str">
        <f>IFERROR(__xludf.DUMMYFUNCTION("""COMPUTED_VALUE"""),"*Tokelau*")</f>
        <v>*Tokelau*</v>
      </c>
      <c r="C237" t="str">
        <f>IFERROR(__xludf.DUMMYFUNCTION("""COMPUTED_VALUE"""),"*2 397*")</f>
        <v>*2 397*</v>
      </c>
      <c r="D237" t="str">
        <f>IFERROR(__xludf.DUMMYFUNCTION("""COMPUTED_VALUE"""),"*2 656*")</f>
        <v>*2 656*</v>
      </c>
    </row>
    <row r="238">
      <c r="A238">
        <f>IFERROR(__xludf.DUMMYFUNCTION("""COMPUTED_VALUE"""),199.0)</f>
        <v>199</v>
      </c>
      <c r="B238" t="str">
        <f>IFERROR(__xludf.DUMMYFUNCTION("""COMPUTED_VALUE"""),"Niue")</f>
        <v>Niue</v>
      </c>
      <c r="C238">
        <f>IFERROR(__xludf.DUMMYFUNCTION("""COMPUTED_VALUE"""),1817.0)</f>
        <v>1817</v>
      </c>
      <c r="D238">
        <f>IFERROR(__xludf.DUMMYFUNCTION("""COMPUTED_VALUE"""),1819.0)</f>
        <v>1819</v>
      </c>
    </row>
    <row r="239">
      <c r="A239">
        <f>IFERROR(__xludf.DUMMYFUNCTION("""COMPUTED_VALUE"""),200.0)</f>
        <v>200</v>
      </c>
      <c r="B239" t="str">
        <f>IFERROR(__xludf.DUMMYFUNCTION("""COMPUTED_VALUE"""),"Vatican")</f>
        <v>Vatican</v>
      </c>
      <c r="C239">
        <f>IFERROR(__xludf.DUMMYFUNCTION("""COMPUTED_VALUE"""),496.0)</f>
        <v>496</v>
      </c>
      <c r="D239">
        <f>IFERROR(__xludf.DUMMYFUNCTION("""COMPUTED_VALUE"""),503.0)</f>
        <v>503</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4.38"/>
    <col customWidth="1" min="3" max="3" width="19.0"/>
    <col customWidth="1" min="4" max="4" width="31.5"/>
    <col customWidth="1" min="5" max="5" width="47.0"/>
  </cols>
  <sheetData>
    <row r="1">
      <c r="A1" t="str">
        <f>IFERROR(__xludf.DUMMYFUNCTION("IMPORThTML(""https://fr.wikipedia.org/wiki/Liste_des_jeux_vid%C3%A9o_les_plus_vendus"",""table"",2)"),"Rang")</f>
        <v>Rang</v>
      </c>
      <c r="B1" t="str">
        <f>IFERROR(__xludf.DUMMYFUNCTION("""COMPUTED_VALUE"""),"Titre")</f>
        <v>Titre</v>
      </c>
      <c r="C1" t="str">
        <f>IFERROR(__xludf.DUMMYFUNCTION("""COMPUTED_VALUE"""),"Date de sortie")</f>
        <v>Date de sortie</v>
      </c>
      <c r="D1" t="str">
        <f>IFERROR(__xludf.DUMMYFUNCTION("""COMPUTED_VALUE"""),"Exemplaires vendus")</f>
        <v>Exemplaires vendus</v>
      </c>
      <c r="E1" t="str">
        <f>IFERROR(__xludf.DUMMYFUNCTION("""COMPUTED_VALUE"""),"Commentaires")</f>
        <v>Commentaires</v>
      </c>
    </row>
    <row r="2">
      <c r="A2">
        <f>IFERROR(__xludf.DUMMYFUNCTION("""COMPUTED_VALUE"""),1.0)</f>
        <v>1</v>
      </c>
      <c r="B2" t="str">
        <f>IFERROR(__xludf.DUMMYFUNCTION("""COMPUTED_VALUE"""),"*Pac-Man*")</f>
        <v>*Pac-Man*</v>
      </c>
      <c r="C2" s="11">
        <f>IFERROR(__xludf.DUMMYFUNCTION("""COMPUTED_VALUE"""),30011.0)</f>
        <v>30011</v>
      </c>
      <c r="D2" t="str">
        <f>IFERROR(__xludf.DUMMYFUNCTION("""COMPUTED_VALUE"""),"7,7 millions[58]")</f>
        <v>7,7 millions[58]</v>
      </c>
      <c r="E2" t="str">
        <f>IFERROR(__xludf.DUMMYFUNCTION("""COMPUTED_VALUE"""),"Produit à 12 millions d'exemplaires par Atari.")</f>
        <v>Produit à 12 millions d'exemplaires par Atari.</v>
      </c>
    </row>
    <row r="3">
      <c r="A3">
        <f>IFERROR(__xludf.DUMMYFUNCTION("""COMPUTED_VALUE"""),2.0)</f>
        <v>2</v>
      </c>
      <c r="B3" t="str">
        <f>IFERROR(__xludf.DUMMYFUNCTION("""COMPUTED_VALUE"""),"*Donkey Kong*")</f>
        <v>*Donkey Kong*</v>
      </c>
      <c r="C3" s="11">
        <f>IFERROR(__xludf.DUMMYFUNCTION("""COMPUTED_VALUE"""),30133.0)</f>
        <v>30133</v>
      </c>
      <c r="D3" t="str">
        <f>IFERROR(__xludf.DUMMYFUNCTION("""COMPUTED_VALUE"""),"4 millions[59]")</f>
        <v>4 millions[59]</v>
      </c>
      <c r="E3" t="str">
        <f>IFERROR(__xludf.DUMMYFUNCTION("""COMPUTED_VALUE"""),"Édité par Coleco à la suite d'un accord avec Nintendo.")</f>
        <v>Édité par Coleco à la suite d'un accord avec Nintendo.</v>
      </c>
    </row>
    <row r="4">
      <c r="B4" t="str">
        <f>IFERROR(__xludf.DUMMYFUNCTION("""COMPUTED_VALUE"""),"*Pitfall!*")</f>
        <v>*Pitfall!*</v>
      </c>
      <c r="C4" s="11">
        <f>IFERROR(__xludf.DUMMYFUNCTION("""COMPUTED_VALUE"""),30195.0)</f>
        <v>30195</v>
      </c>
      <c r="D4" t="str">
        <f>IFERROR(__xludf.DUMMYFUNCTION("""COMPUTED_VALUE"""),"4 millions[60]")</f>
        <v>4 millions[60]</v>
      </c>
    </row>
    <row r="5">
      <c r="A5">
        <f>IFERROR(__xludf.DUMMYFUNCTION("""COMPUTED_VALUE"""),4.0)</f>
        <v>4</v>
      </c>
      <c r="B5" t="str">
        <f>IFERROR(__xludf.DUMMYFUNCTION("""COMPUTED_VALUE"""),"*Asteroids*")</f>
        <v>*Asteroids*</v>
      </c>
      <c r="C5" s="11">
        <f>IFERROR(__xludf.DUMMYFUNCTION("""COMPUTED_VALUE"""),29768.0)</f>
        <v>29768</v>
      </c>
      <c r="D5" t="str">
        <f>IFERROR(__xludf.DUMMYFUNCTION("""COMPUTED_VALUE"""),"3,8 millions[58]")</f>
        <v>3,8 millions[58]</v>
      </c>
      <c r="E5" t="str">
        <f>IFERROR(__xludf.DUMMYFUNCTION("""COMPUTED_VALUE"""),"Meilleure vente de l'Atari 2600 avant la sortie de *Pac-Man*.")</f>
        <v>Meilleure vente de l'Atari 2600 avant la sortie de *Pac-Man*.</v>
      </c>
    </row>
    <row r="6">
      <c r="A6">
        <f>IFERROR(__xludf.DUMMYFUNCTION("""COMPUTED_VALUE"""),5.0)</f>
        <v>5</v>
      </c>
      <c r="B6" t="str">
        <f>IFERROR(__xludf.DUMMYFUNCTION("""COMPUTED_VALUE"""),"*Defender*")</f>
        <v>*Defender*</v>
      </c>
      <c r="C6" s="11">
        <f>IFERROR(__xludf.DUMMYFUNCTION("""COMPUTED_VALUE"""),30103.0)</f>
        <v>30103</v>
      </c>
      <c r="D6" t="str">
        <f>IFERROR(__xludf.DUMMYFUNCTION("""COMPUTED_VALUE"""),"3 millions[61]")</f>
        <v>3 millions[61]</v>
      </c>
    </row>
    <row r="7">
      <c r="A7">
        <f>IFERROR(__xludf.DUMMYFUNCTION("""COMPUTED_VALUE"""),6.0)</f>
        <v>6</v>
      </c>
      <c r="B7" t="str">
        <f>IFERROR(__xludf.DUMMYFUNCTION("""COMPUTED_VALUE"""),"*Missile Command*")</f>
        <v>*Missile Command*</v>
      </c>
      <c r="C7" s="11">
        <f>IFERROR(__xludf.DUMMYFUNCTION("""COMPUTED_VALUE"""),29677.0)</f>
        <v>29677</v>
      </c>
      <c r="D7" t="str">
        <f>IFERROR(__xludf.DUMMYFUNCTION("""COMPUTED_VALUE"""),"2,5 millions[62]")</f>
        <v>2,5 millions[62]</v>
      </c>
    </row>
    <row r="8">
      <c r="A8">
        <f>IFERROR(__xludf.DUMMYFUNCTION("""COMPUTED_VALUE"""),7.0)</f>
        <v>7</v>
      </c>
      <c r="B8" t="str">
        <f>IFERROR(__xludf.DUMMYFUNCTION("""COMPUTED_VALUE"""),"*Space Invaders*")</f>
        <v>*Space Invaders*</v>
      </c>
      <c r="C8" s="11">
        <f>IFERROR(__xludf.DUMMYFUNCTION("""COMPUTED_VALUE"""),29281.0)</f>
        <v>29281</v>
      </c>
      <c r="D8" t="str">
        <f>IFERROR(__xludf.DUMMYFUNCTION("""COMPUTED_VALUE"""),"2 millions[63]")</f>
        <v>2 millions[63]</v>
      </c>
      <c r="E8" t="str">
        <f>IFERROR(__xludf.DUMMYFUNCTION("""COMPUTED_VALUE"""),"Premier jeu à avoir atteint le million de cartouches vendues[64].")</f>
        <v>Premier jeu à avoir atteint le million de cartouches vendues[64].</v>
      </c>
    </row>
    <row r="9">
      <c r="B9" t="str">
        <f>IFERROR(__xludf.DUMMYFUNCTION("""COMPUTED_VALUE"""),"*Demon Attack*")</f>
        <v>*Demon Attack*</v>
      </c>
      <c r="C9" s="11">
        <f>IFERROR(__xludf.DUMMYFUNCTION("""COMPUTED_VALUE"""),30011.0)</f>
        <v>30011</v>
      </c>
      <c r="D9" t="str">
        <f>IFERROR(__xludf.DUMMYFUNCTION("""COMPUTED_VALUE"""),"2 millions[62]")</f>
        <v>2 millions[62]</v>
      </c>
    </row>
    <row r="10">
      <c r="A10">
        <f>IFERROR(__xludf.DUMMYFUNCTION("""COMPUTED_VALUE"""),9.0)</f>
        <v>9</v>
      </c>
      <c r="B10" t="str">
        <f>IFERROR(__xludf.DUMMYFUNCTION("""COMPUTED_VALUE"""),"*E.T. the Extra-Terrestrial*")</f>
        <v>*E.T. the Extra-Terrestrial*</v>
      </c>
      <c r="C10" s="11">
        <f>IFERROR(__xludf.DUMMYFUNCTION("""COMPUTED_VALUE"""),30286.0)</f>
        <v>30286</v>
      </c>
      <c r="D10" t="str">
        <f>IFERROR(__xludf.DUMMYFUNCTION("""COMPUTED_VALUE"""),"1,5 million[65]")</f>
        <v>1,5 million[65]</v>
      </c>
    </row>
    <row r="11">
      <c r="A11">
        <f>IFERROR(__xludf.DUMMYFUNCTION("""COMPUTED_VALUE"""),10.0)</f>
        <v>10</v>
      </c>
      <c r="B11" t="str">
        <f>IFERROR(__xludf.DUMMYFUNCTION("""COMPUTED_VALUE"""),"*Adventure*")</f>
        <v>*Adventure*</v>
      </c>
      <c r="C11" s="11">
        <f>IFERROR(__xludf.DUMMYFUNCTION("""COMPUTED_VALUE"""),29465.0)</f>
        <v>29465</v>
      </c>
      <c r="D11" t="str">
        <f>IFERROR(__xludf.DUMMYFUNCTION("""COMPUTED_VALUE"""),"1 million[66]")</f>
        <v>1 million[66]</v>
      </c>
    </row>
    <row r="12">
      <c r="B12" t="str">
        <f>IFERROR(__xludf.DUMMYFUNCTION("""COMPUTED_VALUE"""),"*Atlantis*")</f>
        <v>*Atlantis*</v>
      </c>
      <c r="C12" s="11">
        <f>IFERROR(__xludf.DUMMYFUNCTION("""COMPUTED_VALUE"""),30164.0)</f>
        <v>30164</v>
      </c>
      <c r="D12" t="str">
        <f>IFERROR(__xludf.DUMMYFUNCTION("""COMPUTED_VALUE"""),"1 million[67]")</f>
        <v>1 million[67]</v>
      </c>
    </row>
    <row r="13">
      <c r="B13" t="str">
        <f>IFERROR(__xludf.DUMMYFUNCTION("""COMPUTED_VALUE"""),"*Cosmic Ark (en)*")</f>
        <v>*Cosmic Ark (en)*</v>
      </c>
      <c r="C13" s="11">
        <f>IFERROR(__xludf.DUMMYFUNCTION("""COMPUTED_VALUE"""),30133.0)</f>
        <v>30133</v>
      </c>
      <c r="D13" t="str">
        <f>IFERROR(__xludf.DUMMYFUNCTION("""COMPUTED_VALUE"""),"1 million[62]")</f>
        <v>1 million[62]</v>
      </c>
    </row>
    <row r="14">
      <c r="B14" t="str">
        <f>IFERROR(__xludf.DUMMYFUNCTION("""COMPUTED_VALUE"""),"*Kaboom!*")</f>
        <v>*Kaboom!*</v>
      </c>
      <c r="C14" s="11">
        <f>IFERROR(__xludf.DUMMYFUNCTION("""COMPUTED_VALUE"""),29768.0)</f>
        <v>29768</v>
      </c>
      <c r="D14" t="str">
        <f>IFERROR(__xludf.DUMMYFUNCTION("""COMPUTED_VALUE"""),"1 million[68]")</f>
        <v>1 million[68]</v>
      </c>
    </row>
    <row r="15">
      <c r="B15" t="str">
        <f>IFERROR(__xludf.DUMMYFUNCTION("""COMPUTED_VALUE"""),"*Megamania*")</f>
        <v>*Megamania*</v>
      </c>
      <c r="C15" s="11">
        <f>IFERROR(__xludf.DUMMYFUNCTION("""COMPUTED_VALUE"""),30195.0)</f>
        <v>30195</v>
      </c>
      <c r="D15" t="str">
        <f>IFERROR(__xludf.DUMMYFUNCTION("""COMPUTED_VALUE"""),"1 million[67]")</f>
        <v>1 million[67]</v>
      </c>
    </row>
    <row r="16">
      <c r="B16" t="str">
        <f>IFERROR(__xludf.DUMMYFUNCTION("""COMPUTED_VALUE"""),"*Yars' Revenge*")</f>
        <v>*Yars' Revenge*</v>
      </c>
      <c r="C16" s="11">
        <f>IFERROR(__xludf.DUMMYFUNCTION("""COMPUTED_VALUE"""),30072.0)</f>
        <v>30072</v>
      </c>
      <c r="D16" t="str">
        <f>IFERROR(__xludf.DUMMYFUNCTION("""COMPUTED_VALUE"""),"1 million[69]")</f>
        <v>1 million[69]</v>
      </c>
    </row>
    <row r="17">
      <c r="B17" t="str">
        <f>IFERROR(__xludf.DUMMYFUNCTION("""COMPUTED_VALUE"""),"*Raiders of the Lost Ark*")</f>
        <v>*Raiders of the Lost Ark*</v>
      </c>
      <c r="C17" s="11">
        <f>IFERROR(__xludf.DUMMYFUNCTION("""COMPUTED_VALUE"""),30256.0)</f>
        <v>30256</v>
      </c>
      <c r="D17" t="str">
        <f>IFERROR(__xludf.DUMMYFUNCTION("""COMPUTED_VALUE"""),"1 million[69]")</f>
        <v>1 million[69]</v>
      </c>
    </row>
    <row r="18">
      <c r="B18" t="str">
        <f>IFERROR(__xludf.DUMMYFUNCTION("""COMPUTED_VALUE"""),"*River Raid*")</f>
        <v>*River Raid*</v>
      </c>
      <c r="C18" s="11">
        <f>IFERROR(__xludf.DUMMYFUNCTION("""COMPUTED_VALUE"""),30286.0)</f>
        <v>30286</v>
      </c>
      <c r="D18" t="str">
        <f>IFERROR(__xludf.DUMMYFUNCTION("""COMPUTED_VALUE"""),"1 million[68]")</f>
        <v>1 million[68]</v>
      </c>
    </row>
    <row r="19">
      <c r="B19" t="str">
        <f>IFERROR(__xludf.DUMMYFUNCTION("""COMPUTED_VALUE"""),"*Laser Blast (en)*")</f>
        <v>*Laser Blast (en)*</v>
      </c>
      <c r="C19" s="11">
        <f>IFERROR(__xludf.DUMMYFUNCTION("""COMPUTED_VALUE"""),29646.0)</f>
        <v>29646</v>
      </c>
      <c r="D19" t="str">
        <f>IFERROR(__xludf.DUMMYFUNCTION("""COMPUTED_VALUE"""),"1 million[68]")</f>
        <v>1 million[68]</v>
      </c>
    </row>
    <row r="20">
      <c r="B20" t="str">
        <f>IFERROR(__xludf.DUMMYFUNCTION("""COMPUTED_VALUE"""),"*Freeway (en)*")</f>
        <v>*Freeway (en)*</v>
      </c>
      <c r="C20" s="11">
        <f>IFERROR(__xludf.DUMMYFUNCTION("""COMPUTED_VALUE"""),29768.0)</f>
        <v>29768</v>
      </c>
      <c r="D20" t="str">
        <f>IFERROR(__xludf.DUMMYFUNCTION("""COMPUTED_VALUE"""),"1 million[68]")</f>
        <v>1 million[68]</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63"/>
    <col customWidth="1" min="5" max="5" width="25.88"/>
  </cols>
  <sheetData>
    <row r="1">
      <c r="A1">
        <v>1.0</v>
      </c>
      <c r="B1" t="s">
        <v>244</v>
      </c>
      <c r="C1">
        <v>1984.0</v>
      </c>
      <c r="D1" t="s">
        <v>245</v>
      </c>
      <c r="E1" t="s">
        <v>246</v>
      </c>
    </row>
    <row r="2">
      <c r="A2">
        <v>2.0</v>
      </c>
      <c r="B2" t="s">
        <v>247</v>
      </c>
      <c r="C2">
        <v>2009.0</v>
      </c>
      <c r="D2" t="s">
        <v>248</v>
      </c>
      <c r="E2" s="1">
        <v>144.0</v>
      </c>
    </row>
    <row r="3">
      <c r="A3">
        <v>3.0</v>
      </c>
      <c r="B3" t="s">
        <v>249</v>
      </c>
      <c r="C3">
        <v>2013.0</v>
      </c>
      <c r="D3" t="s">
        <v>250</v>
      </c>
      <c r="E3" t="s">
        <v>251</v>
      </c>
    </row>
    <row r="4">
      <c r="A4">
        <v>4.0</v>
      </c>
      <c r="B4" t="s">
        <v>252</v>
      </c>
      <c r="C4">
        <v>2006.0</v>
      </c>
      <c r="D4" t="s">
        <v>253</v>
      </c>
      <c r="E4" t="s">
        <v>254</v>
      </c>
    </row>
    <row r="5">
      <c r="A5">
        <v>5.0</v>
      </c>
      <c r="B5" t="s">
        <v>255</v>
      </c>
      <c r="C5">
        <v>1971.0</v>
      </c>
      <c r="D5" t="s">
        <v>256</v>
      </c>
      <c r="E5" t="s">
        <v>257</v>
      </c>
    </row>
    <row r="6">
      <c r="A6">
        <v>6.0</v>
      </c>
      <c r="B6" t="s">
        <v>258</v>
      </c>
      <c r="C6">
        <v>1985.0</v>
      </c>
      <c r="D6" t="s">
        <v>259</v>
      </c>
      <c r="E6" t="s">
        <v>260</v>
      </c>
    </row>
    <row r="7">
      <c r="A7">
        <v>7.0</v>
      </c>
      <c r="B7" t="s">
        <v>261</v>
      </c>
      <c r="C7">
        <v>2008.0</v>
      </c>
      <c r="D7" t="s">
        <v>253</v>
      </c>
      <c r="E7" t="s">
        <v>262</v>
      </c>
    </row>
    <row r="8">
      <c r="A8">
        <v>8.0</v>
      </c>
      <c r="B8" t="s">
        <v>263</v>
      </c>
      <c r="C8">
        <v>2016.0</v>
      </c>
      <c r="D8" t="s">
        <v>264</v>
      </c>
      <c r="E8" t="s">
        <v>265</v>
      </c>
    </row>
    <row r="9">
      <c r="A9">
        <v>9.0</v>
      </c>
      <c r="B9" t="s">
        <v>266</v>
      </c>
      <c r="C9">
        <v>2009.0</v>
      </c>
      <c r="D9" t="s">
        <v>253</v>
      </c>
      <c r="E9" t="s">
        <v>267</v>
      </c>
    </row>
    <row r="10">
      <c r="A10">
        <v>10.0</v>
      </c>
      <c r="B10" t="s">
        <v>268</v>
      </c>
      <c r="C10">
        <v>2006.0</v>
      </c>
      <c r="D10" t="s">
        <v>269</v>
      </c>
      <c r="E10" t="s">
        <v>270</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t="s">
        <v>0</v>
      </c>
      <c r="B1" t="s">
        <v>1</v>
      </c>
      <c r="C1" t="s">
        <v>271</v>
      </c>
      <c r="D1" t="s">
        <v>272</v>
      </c>
      <c r="E1" t="s">
        <v>273</v>
      </c>
    </row>
    <row r="2">
      <c r="A2">
        <v>1.0</v>
      </c>
      <c r="B2" t="s">
        <v>244</v>
      </c>
      <c r="C2">
        <v>1984.0</v>
      </c>
      <c r="D2" t="s">
        <v>245</v>
      </c>
      <c r="E2" t="s">
        <v>246</v>
      </c>
    </row>
    <row r="3">
      <c r="A3">
        <v>2.0</v>
      </c>
      <c r="B3" t="s">
        <v>247</v>
      </c>
      <c r="C3">
        <v>2009.0</v>
      </c>
      <c r="D3" t="s">
        <v>248</v>
      </c>
      <c r="E3" t="s">
        <v>274</v>
      </c>
    </row>
    <row r="4">
      <c r="A4">
        <v>3.0</v>
      </c>
      <c r="B4" t="s">
        <v>249</v>
      </c>
      <c r="C4">
        <v>2013.0</v>
      </c>
      <c r="D4" t="s">
        <v>250</v>
      </c>
      <c r="E4" t="s">
        <v>251</v>
      </c>
    </row>
    <row r="5">
      <c r="A5">
        <v>4.0</v>
      </c>
      <c r="B5" t="s">
        <v>252</v>
      </c>
      <c r="C5">
        <v>2006.0</v>
      </c>
      <c r="D5" t="s">
        <v>253</v>
      </c>
      <c r="E5" t="s">
        <v>254</v>
      </c>
    </row>
    <row r="6">
      <c r="A6">
        <v>5.0</v>
      </c>
      <c r="B6" t="s">
        <v>255</v>
      </c>
      <c r="C6">
        <v>1971.0</v>
      </c>
      <c r="D6" t="s">
        <v>256</v>
      </c>
      <c r="E6" t="s">
        <v>257</v>
      </c>
    </row>
    <row r="7">
      <c r="A7">
        <v>6.0</v>
      </c>
      <c r="B7" t="s">
        <v>258</v>
      </c>
      <c r="C7">
        <v>1985.0</v>
      </c>
      <c r="D7" t="s">
        <v>259</v>
      </c>
      <c r="E7" t="s">
        <v>260</v>
      </c>
    </row>
    <row r="8">
      <c r="A8">
        <v>7.0</v>
      </c>
      <c r="B8" t="s">
        <v>261</v>
      </c>
      <c r="C8">
        <v>2008.0</v>
      </c>
      <c r="D8" t="s">
        <v>253</v>
      </c>
      <c r="E8" t="s">
        <v>262</v>
      </c>
    </row>
    <row r="9">
      <c r="A9">
        <v>8.0</v>
      </c>
      <c r="B9" t="s">
        <v>263</v>
      </c>
      <c r="C9">
        <v>2016.0</v>
      </c>
      <c r="D9" t="s">
        <v>264</v>
      </c>
      <c r="E9" t="s">
        <v>265</v>
      </c>
    </row>
    <row r="10">
      <c r="A10">
        <v>9.0</v>
      </c>
      <c r="B10" t="s">
        <v>266</v>
      </c>
      <c r="C10">
        <v>2009.0</v>
      </c>
      <c r="D10" t="s">
        <v>253</v>
      </c>
      <c r="E10" t="s">
        <v>267</v>
      </c>
    </row>
    <row r="11">
      <c r="A11">
        <v>10.0</v>
      </c>
      <c r="B11" t="s">
        <v>268</v>
      </c>
      <c r="C11">
        <v>2006.0</v>
      </c>
      <c r="D11" t="s">
        <v>269</v>
      </c>
      <c r="E11" t="s">
        <v>270</v>
      </c>
    </row>
    <row r="12">
      <c r="A12">
        <v>11.0</v>
      </c>
      <c r="B12" t="s">
        <v>275</v>
      </c>
      <c r="C12">
        <v>2011.0</v>
      </c>
      <c r="D12" t="s">
        <v>276</v>
      </c>
      <c r="E12" t="s">
        <v>277</v>
      </c>
    </row>
  </sheetData>
  <drawing r:id="rId1"/>
</worksheet>
</file>
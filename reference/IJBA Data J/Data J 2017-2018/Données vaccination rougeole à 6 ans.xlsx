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" sheetId="1" r:id="rId4"/>
    <sheet state="visible" name="edition + verif" sheetId="2" r:id="rId5"/>
    <sheet state="visible" name="edition2" sheetId="3" r:id="rId6"/>
  </sheets>
  <definedNames/>
  <calcPr/>
</workbook>
</file>

<file path=xl/sharedStrings.xml><?xml version="1.0" encoding="utf-8"?>
<sst xmlns="http://schemas.openxmlformats.org/spreadsheetml/2006/main" count="181" uniqueCount="135">
  <si>
    <t>2005-2006</t>
  </si>
  <si>
    <t>2012-2013</t>
  </si>
  <si>
    <t>Rougeole</t>
  </si>
  <si>
    <t>ROR</t>
  </si>
  <si>
    <t>Région</t>
  </si>
  <si>
    <t>1 dose (%)</t>
  </si>
  <si>
    <t>IC95%</t>
  </si>
  <si>
    <t>2 doses (%)</t>
  </si>
  <si>
    <t>Ile de France</t>
  </si>
  <si>
    <t>95,6-97,2</t>
  </si>
  <si>
    <t>52,5-56,3</t>
  </si>
  <si>
    <t>[97,6-98,6]</t>
  </si>
  <si>
    <t>[86,6-88,8]</t>
  </si>
  <si>
    <t>Champagne Ardenne</t>
  </si>
  <si>
    <t>95,6-98,9</t>
  </si>
  <si>
    <t>39,1-55,2</t>
  </si>
  <si>
    <t>[94,6-98,3]</t>
  </si>
  <si>
    <t>[87,0-93,0]</t>
  </si>
  <si>
    <t>Picardie</t>
  </si>
  <si>
    <t>93,5-97,2</t>
  </si>
  <si>
    <t>45,8-55,5</t>
  </si>
  <si>
    <t>[95,4-98,2]</t>
  </si>
  <si>
    <t>[82,3-88,0]</t>
  </si>
  <si>
    <t>Haute Normandie</t>
  </si>
  <si>
    <t>94,0-97,1</t>
  </si>
  <si>
    <t>50,4-60,6</t>
  </si>
  <si>
    <t>[95,0-98,8]</t>
  </si>
  <si>
    <t>[76,9-85,6]</t>
  </si>
  <si>
    <t>Centre</t>
  </si>
  <si>
    <t>86,6-94,8</t>
  </si>
  <si>
    <t>39,1-47,8</t>
  </si>
  <si>
    <t>[95,7-98,1]</t>
  </si>
  <si>
    <t>[78,7-83,9]</t>
  </si>
  <si>
    <t>Basse Normandie</t>
  </si>
  <si>
    <t>84,2-92,7</t>
  </si>
  <si>
    <t>30,5-40,8</t>
  </si>
  <si>
    <t>[94,9-98,2]</t>
  </si>
  <si>
    <t>[76,7-83,6]</t>
  </si>
  <si>
    <t>Bourgogne</t>
  </si>
  <si>
    <t>88,3-95,0</t>
  </si>
  <si>
    <t>40,0-50,2</t>
  </si>
  <si>
    <t>[96,2-99,3]</t>
  </si>
  <si>
    <t>[79,1-86,8]</t>
  </si>
  <si>
    <t>Nord-Pas de Calais</t>
  </si>
  <si>
    <t>93,5-96,3</t>
  </si>
  <si>
    <t>47,9-53,8</t>
  </si>
  <si>
    <t>[94,1-96,4]</t>
  </si>
  <si>
    <t>[80,1-84,2]</t>
  </si>
  <si>
    <t>Lorraine</t>
  </si>
  <si>
    <t>93,3-97,4</t>
  </si>
  <si>
    <t>44,5-52,9</t>
  </si>
  <si>
    <t>[96,0-98,4]</t>
  </si>
  <si>
    <t>[80,1-85,5]</t>
  </si>
  <si>
    <t>Alsace</t>
  </si>
  <si>
    <t>92,3-96,5</t>
  </si>
  <si>
    <t>41,9-56,6</t>
  </si>
  <si>
    <t>[96,7-99,0]</t>
  </si>
  <si>
    <t>[80,0-85,8]</t>
  </si>
  <si>
    <t>Franche Comté</t>
  </si>
  <si>
    <t>93,2-97,5</t>
  </si>
  <si>
    <t>34,9-48,3</t>
  </si>
  <si>
    <t>[91,0-96,1]</t>
  </si>
  <si>
    <t>[77,8-85,7]</t>
  </si>
  <si>
    <t>Pays de la Loire</t>
  </si>
  <si>
    <t>90,1-94,9</t>
  </si>
  <si>
    <t>35,9-42,5</t>
  </si>
  <si>
    <t>[96,0-97,8]</t>
  </si>
  <si>
    <t>[81,7-85,7]</t>
  </si>
  <si>
    <t>Bretagne</t>
  </si>
  <si>
    <t>89,4-95,8</t>
  </si>
  <si>
    <t>33,6-44,0</t>
  </si>
  <si>
    <t>ND</t>
  </si>
  <si>
    <t>Poitou-Charentes</t>
  </si>
  <si>
    <t>91,2-95,9</t>
  </si>
  <si>
    <t>30,4-40,2</t>
  </si>
  <si>
    <t>[93,9-97,8]</t>
  </si>
  <si>
    <t>[77,3-84,9]</t>
  </si>
  <si>
    <t>Aquitaine</t>
  </si>
  <si>
    <t>89,7-93,4</t>
  </si>
  <si>
    <t>28,4-35,2</t>
  </si>
  <si>
    <t>[95,0-97,3]</t>
  </si>
  <si>
    <t>[82,9-87,3]</t>
  </si>
  <si>
    <t>Midi Pyrénées</t>
  </si>
  <si>
    <t>88,4-93,5</t>
  </si>
  <si>
    <t>31,7-40,8</t>
  </si>
  <si>
    <t>[92,7-95,8]</t>
  </si>
  <si>
    <t>[76,5-82,0]</t>
  </si>
  <si>
    <t>Limousin</t>
  </si>
  <si>
    <t>92,5-97,6</t>
  </si>
  <si>
    <t>39,2-48,1</t>
  </si>
  <si>
    <t>[95,7-99,5]</t>
  </si>
  <si>
    <t>[78,8-88,0]</t>
  </si>
  <si>
    <t>Rhone-Alpes</t>
  </si>
  <si>
    <t>90,1-93,5</t>
  </si>
  <si>
    <t>36,5-41,6</t>
  </si>
  <si>
    <t>[96,1-97,6]</t>
  </si>
  <si>
    <t>[83,7-86,8]</t>
  </si>
  <si>
    <t>Auvergne</t>
  </si>
  <si>
    <t>86,6-93,1</t>
  </si>
  <si>
    <t>31,7-40,7</t>
  </si>
  <si>
    <t>[93,7-97,8]</t>
  </si>
  <si>
    <t>[73,9-82,4]</t>
  </si>
  <si>
    <t>Languedoc Roussillon</t>
  </si>
  <si>
    <t>89,2-93,8</t>
  </si>
  <si>
    <t>32,7-41,8</t>
  </si>
  <si>
    <t>[90,8-95,4]</t>
  </si>
  <si>
    <t>[63,2-71,8]</t>
  </si>
  <si>
    <t>PACA</t>
  </si>
  <si>
    <t>87,4-90,9</t>
  </si>
  <si>
    <t>[37,9-43,6</t>
  </si>
  <si>
    <t>[91,9-94,6]</t>
  </si>
  <si>
    <t>[77,9-82,3]</t>
  </si>
  <si>
    <t>Corse</t>
  </si>
  <si>
    <t>86,8-94,3</t>
  </si>
  <si>
    <t>40,5-52,9</t>
  </si>
  <si>
    <t>Antilles Guyane</t>
  </si>
  <si>
    <t>92,6-97,0</t>
  </si>
  <si>
    <t>52,5-63,1</t>
  </si>
  <si>
    <t>[95,5-98,8]</t>
  </si>
  <si>
    <t>[79,8-87,2]</t>
  </si>
  <si>
    <t>Réunion</t>
  </si>
  <si>
    <t>95,5-98,8</t>
  </si>
  <si>
    <t>59,0-68,9</t>
  </si>
  <si>
    <t>[97,0-99,4]</t>
  </si>
  <si>
    <t>[81,8-88,2]</t>
  </si>
  <si>
    <t>France entière</t>
  </si>
  <si>
    <t>93,3-94,2</t>
  </si>
  <si>
    <t>44,3-46,0</t>
  </si>
  <si>
    <t>[96,1-96,7]</t>
  </si>
  <si>
    <t>[82,7-83,8]</t>
  </si>
  <si>
    <t>Verif totaux</t>
  </si>
  <si>
    <t>Max</t>
  </si>
  <si>
    <t>min</t>
  </si>
  <si>
    <t>median</t>
  </si>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</sst>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name val="Arial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t="str">
        <f>IFERROR(__xludf.DUMMYFUNCTION("IMPORTHTML(""http://invs.santepubliquefrance.fr/Dossiers-thematiques/Maladies-infectieuses/Maladies-a-prevention-vaccinale/Couverture-vaccinale/Donnees/Rougeole-rubeole-oreillons/Infra-nationales/Couverture-vaccinale-rougeole-rubeole-oreillons-a-l-age-de-"&amp;"6-ans"",""table"")"),"#REF!")</f>
        <v>#REF!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</cols>
  <sheetData>
    <row r="1">
      <c r="A1" s="1"/>
      <c r="B1" s="2" t="s">
        <v>0</v>
      </c>
      <c r="C1" s="1"/>
      <c r="D1" s="1"/>
      <c r="E1" s="1"/>
      <c r="F1" s="1" t="s">
        <v>1</v>
      </c>
      <c r="G1" s="1"/>
      <c r="H1" s="1"/>
      <c r="I1" s="1"/>
      <c r="J1" s="2"/>
      <c r="K1" s="2"/>
      <c r="L1" s="2"/>
      <c r="M1" s="2"/>
      <c r="N1" s="2"/>
    </row>
    <row r="2">
      <c r="B2" t="s">
        <v>2</v>
      </c>
      <c r="F2" t="s">
        <v>3</v>
      </c>
      <c r="G2" s="1"/>
      <c r="H2" s="1"/>
      <c r="I2" s="1"/>
      <c r="J2" s="2"/>
      <c r="K2" s="2"/>
      <c r="L2" s="2"/>
      <c r="M2" s="2"/>
      <c r="N2" s="2"/>
    </row>
    <row r="3">
      <c r="A3" s="2" t="s">
        <v>4</v>
      </c>
      <c r="B3" t="s">
        <v>5</v>
      </c>
      <c r="C3" t="s">
        <v>6</v>
      </c>
      <c r="D3" t="s">
        <v>7</v>
      </c>
      <c r="E3" t="s">
        <v>6</v>
      </c>
      <c r="F3" s="1" t="s">
        <v>5</v>
      </c>
      <c r="G3" t="s">
        <v>6</v>
      </c>
      <c r="H3" t="s">
        <v>7</v>
      </c>
      <c r="I3" t="s">
        <v>6</v>
      </c>
    </row>
    <row r="4">
      <c r="A4" s="1" t="s">
        <v>8</v>
      </c>
      <c r="B4">
        <v>96.5</v>
      </c>
      <c r="C4" t="s">
        <v>9</v>
      </c>
      <c r="D4">
        <v>54.4</v>
      </c>
      <c r="E4" t="s">
        <v>10</v>
      </c>
      <c r="F4" s="1">
        <v>98.1</v>
      </c>
      <c r="G4" t="s">
        <v>11</v>
      </c>
      <c r="H4">
        <v>87.7</v>
      </c>
      <c r="I4" t="s">
        <v>12</v>
      </c>
    </row>
    <row r="5">
      <c r="A5" s="1" t="s">
        <v>13</v>
      </c>
      <c r="B5">
        <v>97.8</v>
      </c>
      <c r="C5" t="s">
        <v>14</v>
      </c>
      <c r="D5">
        <v>47.0</v>
      </c>
      <c r="E5" t="s">
        <v>15</v>
      </c>
      <c r="F5" s="1">
        <v>96.5</v>
      </c>
      <c r="G5" t="s">
        <v>16</v>
      </c>
      <c r="H5">
        <v>90.0</v>
      </c>
      <c r="I5" t="s">
        <v>17</v>
      </c>
    </row>
    <row r="6">
      <c r="A6" s="1" t="s">
        <v>18</v>
      </c>
      <c r="B6">
        <v>95.7</v>
      </c>
      <c r="C6" t="s">
        <v>19</v>
      </c>
      <c r="D6">
        <v>50.7</v>
      </c>
      <c r="E6" t="s">
        <v>20</v>
      </c>
      <c r="F6" s="1">
        <v>96.8</v>
      </c>
      <c r="G6" t="s">
        <v>21</v>
      </c>
      <c r="H6">
        <v>85.1</v>
      </c>
      <c r="I6" t="s">
        <v>22</v>
      </c>
    </row>
    <row r="7">
      <c r="A7" s="1" t="s">
        <v>23</v>
      </c>
      <c r="B7">
        <v>95.8</v>
      </c>
      <c r="C7" t="s">
        <v>24</v>
      </c>
      <c r="D7">
        <v>55.5</v>
      </c>
      <c r="E7" t="s">
        <v>25</v>
      </c>
      <c r="F7" s="1">
        <v>96.9</v>
      </c>
      <c r="G7" t="s">
        <v>26</v>
      </c>
      <c r="H7">
        <v>81.3</v>
      </c>
      <c r="I7" t="s">
        <v>27</v>
      </c>
    </row>
    <row r="8">
      <c r="A8" s="1" t="s">
        <v>28</v>
      </c>
      <c r="B8">
        <v>91.5</v>
      </c>
      <c r="C8" t="s">
        <v>29</v>
      </c>
      <c r="D8">
        <v>43.4</v>
      </c>
      <c r="E8" t="s">
        <v>30</v>
      </c>
      <c r="F8" s="1">
        <v>96.9</v>
      </c>
      <c r="G8" t="s">
        <v>31</v>
      </c>
      <c r="H8">
        <v>81.3</v>
      </c>
      <c r="I8" t="s">
        <v>32</v>
      </c>
    </row>
    <row r="9">
      <c r="A9" s="1" t="s">
        <v>33</v>
      </c>
      <c r="B9">
        <v>89.1</v>
      </c>
      <c r="C9" t="s">
        <v>34</v>
      </c>
      <c r="D9">
        <v>35.5</v>
      </c>
      <c r="E9" t="s">
        <v>35</v>
      </c>
      <c r="F9" s="1">
        <v>96.6</v>
      </c>
      <c r="G9" t="s">
        <v>36</v>
      </c>
      <c r="H9">
        <v>80.2</v>
      </c>
      <c r="I9" t="s">
        <v>37</v>
      </c>
    </row>
    <row r="10">
      <c r="A10" s="1" t="s">
        <v>38</v>
      </c>
      <c r="B10">
        <v>92.3</v>
      </c>
      <c r="C10" t="s">
        <v>39</v>
      </c>
      <c r="D10">
        <v>45.0</v>
      </c>
      <c r="E10" t="s">
        <v>40</v>
      </c>
      <c r="F10" s="1">
        <v>97.8</v>
      </c>
      <c r="G10" t="s">
        <v>41</v>
      </c>
      <c r="H10">
        <v>83.0</v>
      </c>
      <c r="I10" t="s">
        <v>42</v>
      </c>
    </row>
    <row r="11">
      <c r="A11" s="1" t="s">
        <v>43</v>
      </c>
      <c r="B11">
        <v>95.1</v>
      </c>
      <c r="C11" t="s">
        <v>44</v>
      </c>
      <c r="D11">
        <v>50.9</v>
      </c>
      <c r="E11" t="s">
        <v>45</v>
      </c>
      <c r="F11" s="1">
        <v>95.2</v>
      </c>
      <c r="G11" t="s">
        <v>46</v>
      </c>
      <c r="H11">
        <v>82.1</v>
      </c>
      <c r="I11" t="s">
        <v>47</v>
      </c>
    </row>
    <row r="12">
      <c r="A12" s="1" t="s">
        <v>48</v>
      </c>
      <c r="B12">
        <v>95.8</v>
      </c>
      <c r="C12" t="s">
        <v>49</v>
      </c>
      <c r="D12">
        <v>48.7</v>
      </c>
      <c r="E12" t="s">
        <v>50</v>
      </c>
      <c r="F12" s="1">
        <v>97.2</v>
      </c>
      <c r="G12" t="s">
        <v>51</v>
      </c>
      <c r="H12">
        <v>82.8</v>
      </c>
      <c r="I12" t="s">
        <v>52</v>
      </c>
    </row>
    <row r="13">
      <c r="A13" s="1" t="s">
        <v>53</v>
      </c>
      <c r="B13">
        <v>94.8</v>
      </c>
      <c r="C13" t="s">
        <v>54</v>
      </c>
      <c r="D13">
        <v>49.2</v>
      </c>
      <c r="E13" t="s">
        <v>55</v>
      </c>
      <c r="F13" s="1">
        <v>97.9</v>
      </c>
      <c r="G13" t="s">
        <v>56</v>
      </c>
      <c r="H13">
        <v>82.9</v>
      </c>
      <c r="I13" t="s">
        <v>57</v>
      </c>
    </row>
    <row r="14">
      <c r="A14" s="1" t="s">
        <v>58</v>
      </c>
      <c r="B14">
        <v>95.9</v>
      </c>
      <c r="C14" t="s">
        <v>59</v>
      </c>
      <c r="D14">
        <v>41.4</v>
      </c>
      <c r="E14" t="s">
        <v>60</v>
      </c>
      <c r="F14" s="1">
        <v>93.5</v>
      </c>
      <c r="G14" t="s">
        <v>61</v>
      </c>
      <c r="H14">
        <v>81.7</v>
      </c>
      <c r="I14" t="s">
        <v>62</v>
      </c>
    </row>
    <row r="15">
      <c r="A15" s="1" t="s">
        <v>63</v>
      </c>
      <c r="B15">
        <v>92.9</v>
      </c>
      <c r="C15" t="s">
        <v>64</v>
      </c>
      <c r="D15">
        <v>39.2</v>
      </c>
      <c r="E15" t="s">
        <v>65</v>
      </c>
      <c r="F15" s="1">
        <v>96.9</v>
      </c>
      <c r="G15" t="s">
        <v>66</v>
      </c>
      <c r="H15">
        <v>83.7</v>
      </c>
      <c r="I15" t="s">
        <v>67</v>
      </c>
    </row>
    <row r="16">
      <c r="A16" s="1" t="s">
        <v>68</v>
      </c>
      <c r="B16">
        <v>93.2</v>
      </c>
      <c r="C16" t="s">
        <v>69</v>
      </c>
      <c r="D16">
        <v>38.7</v>
      </c>
      <c r="E16" t="s">
        <v>70</v>
      </c>
      <c r="F16" s="1" t="s">
        <v>71</v>
      </c>
      <c r="H16" t="s">
        <v>71</v>
      </c>
    </row>
    <row r="17">
      <c r="A17" s="1" t="s">
        <v>72</v>
      </c>
      <c r="B17">
        <v>94.0</v>
      </c>
      <c r="C17" t="s">
        <v>73</v>
      </c>
      <c r="D17">
        <v>35.2</v>
      </c>
      <c r="E17" t="s">
        <v>74</v>
      </c>
      <c r="F17" s="1">
        <v>95.9</v>
      </c>
      <c r="G17" t="s">
        <v>75</v>
      </c>
      <c r="H17">
        <v>81.1</v>
      </c>
      <c r="I17" t="s">
        <v>76</v>
      </c>
    </row>
    <row r="18">
      <c r="A18" s="1" t="s">
        <v>77</v>
      </c>
      <c r="B18">
        <v>91.7</v>
      </c>
      <c r="C18" t="s">
        <v>78</v>
      </c>
      <c r="D18">
        <v>31.7</v>
      </c>
      <c r="E18" t="s">
        <v>79</v>
      </c>
      <c r="F18" s="1">
        <v>96.2</v>
      </c>
      <c r="G18" t="s">
        <v>80</v>
      </c>
      <c r="H18">
        <v>85.1</v>
      </c>
      <c r="I18" t="s">
        <v>81</v>
      </c>
    </row>
    <row r="19">
      <c r="A19" s="1" t="s">
        <v>82</v>
      </c>
      <c r="B19">
        <v>91.3</v>
      </c>
      <c r="C19" t="s">
        <v>83</v>
      </c>
      <c r="D19">
        <v>36.1</v>
      </c>
      <c r="E19" t="s">
        <v>84</v>
      </c>
      <c r="F19" s="1">
        <v>94.3</v>
      </c>
      <c r="G19" t="s">
        <v>85</v>
      </c>
      <c r="H19">
        <v>79.3</v>
      </c>
      <c r="I19" t="s">
        <v>86</v>
      </c>
    </row>
    <row r="20">
      <c r="A20" s="1" t="s">
        <v>87</v>
      </c>
      <c r="B20">
        <v>95.7</v>
      </c>
      <c r="C20" t="s">
        <v>88</v>
      </c>
      <c r="D20">
        <v>43.6</v>
      </c>
      <c r="E20" t="s">
        <v>89</v>
      </c>
      <c r="F20" s="1">
        <v>97.6</v>
      </c>
      <c r="G20" t="s">
        <v>90</v>
      </c>
      <c r="H20">
        <v>83.4</v>
      </c>
      <c r="I20" t="s">
        <v>91</v>
      </c>
    </row>
    <row r="21">
      <c r="A21" s="1" t="s">
        <v>92</v>
      </c>
      <c r="B21">
        <v>91.9</v>
      </c>
      <c r="C21" t="s">
        <v>93</v>
      </c>
      <c r="D21">
        <v>39.0</v>
      </c>
      <c r="E21" t="s">
        <v>94</v>
      </c>
      <c r="F21" s="1">
        <v>96.8</v>
      </c>
      <c r="G21" t="s">
        <v>95</v>
      </c>
      <c r="H21">
        <v>85.3</v>
      </c>
      <c r="I21" t="s">
        <v>96</v>
      </c>
    </row>
    <row r="22">
      <c r="A22" s="1" t="s">
        <v>97</v>
      </c>
      <c r="B22">
        <v>90.3</v>
      </c>
      <c r="C22" t="s">
        <v>98</v>
      </c>
      <c r="D22">
        <v>36.1</v>
      </c>
      <c r="E22" t="s">
        <v>99</v>
      </c>
      <c r="F22" s="1">
        <v>95.8</v>
      </c>
      <c r="G22" t="s">
        <v>100</v>
      </c>
      <c r="H22">
        <v>78.2</v>
      </c>
      <c r="I22" t="s">
        <v>101</v>
      </c>
    </row>
    <row r="23">
      <c r="A23" s="1" t="s">
        <v>102</v>
      </c>
      <c r="B23">
        <v>91.8</v>
      </c>
      <c r="C23" t="s">
        <v>103</v>
      </c>
      <c r="D23">
        <v>37.2</v>
      </c>
      <c r="E23" t="s">
        <v>104</v>
      </c>
      <c r="F23" s="1">
        <v>93.1</v>
      </c>
      <c r="G23" t="s">
        <v>105</v>
      </c>
      <c r="H23">
        <v>67.5</v>
      </c>
      <c r="I23" t="s">
        <v>106</v>
      </c>
    </row>
    <row r="24">
      <c r="A24" s="1" t="s">
        <v>107</v>
      </c>
      <c r="B24">
        <v>89.3</v>
      </c>
      <c r="C24" t="s">
        <v>108</v>
      </c>
      <c r="D24">
        <v>40.7</v>
      </c>
      <c r="E24" t="s">
        <v>109</v>
      </c>
      <c r="F24" s="1">
        <v>93.2</v>
      </c>
      <c r="G24" t="s">
        <v>110</v>
      </c>
      <c r="H24">
        <v>80.1</v>
      </c>
      <c r="I24" t="s">
        <v>111</v>
      </c>
    </row>
    <row r="25">
      <c r="A25" s="1" t="s">
        <v>112</v>
      </c>
      <c r="B25">
        <v>91.3</v>
      </c>
      <c r="C25" t="s">
        <v>113</v>
      </c>
      <c r="D25">
        <v>46.7</v>
      </c>
      <c r="E25" t="s">
        <v>114</v>
      </c>
      <c r="F25" s="1" t="s">
        <v>71</v>
      </c>
      <c r="H25" t="s">
        <v>71</v>
      </c>
    </row>
    <row r="26">
      <c r="A26" s="1" t="s">
        <v>115</v>
      </c>
      <c r="B26">
        <v>95.3</v>
      </c>
      <c r="C26" t="s">
        <v>116</v>
      </c>
      <c r="D26">
        <v>57.9</v>
      </c>
      <c r="E26" t="s">
        <v>117</v>
      </c>
      <c r="F26" s="1">
        <v>97.2</v>
      </c>
      <c r="G26" t="s">
        <v>118</v>
      </c>
      <c r="H26">
        <v>83.5</v>
      </c>
      <c r="I26" t="s">
        <v>119</v>
      </c>
    </row>
    <row r="27">
      <c r="A27" s="1" t="s">
        <v>120</v>
      </c>
      <c r="B27">
        <v>97.7</v>
      </c>
      <c r="C27" t="s">
        <v>121</v>
      </c>
      <c r="D27">
        <v>64.1</v>
      </c>
      <c r="E27" t="s">
        <v>122</v>
      </c>
      <c r="F27" s="1">
        <v>98.2</v>
      </c>
      <c r="G27" t="s">
        <v>123</v>
      </c>
      <c r="H27">
        <v>85.0</v>
      </c>
      <c r="I27" t="s">
        <v>124</v>
      </c>
    </row>
    <row r="28">
      <c r="A28" s="1" t="s">
        <v>125</v>
      </c>
      <c r="B28">
        <v>93.7</v>
      </c>
      <c r="C28" t="s">
        <v>126</v>
      </c>
      <c r="D28">
        <v>45.1</v>
      </c>
      <c r="E28" t="s">
        <v>127</v>
      </c>
      <c r="F28" s="1">
        <v>96.4</v>
      </c>
      <c r="G28" t="s">
        <v>128</v>
      </c>
      <c r="H28">
        <v>83.2</v>
      </c>
      <c r="I28" t="s">
        <v>129</v>
      </c>
    </row>
    <row r="30">
      <c r="A30" s="3" t="s">
        <v>130</v>
      </c>
      <c r="B30" s="4">
        <f>AVERAGE(B4:B28)</f>
        <v>93.616</v>
      </c>
      <c r="C30" s="4"/>
      <c r="D30" s="4">
        <f>AVERAGE(D4:D28)</f>
        <v>44.52</v>
      </c>
      <c r="E30" s="4"/>
      <c r="F30" s="4">
        <f>AVERAGE(F4:F28)</f>
        <v>96.30434783</v>
      </c>
      <c r="G30" s="4"/>
      <c r="H30" s="4">
        <f>AVERAGE(H4:H28)</f>
        <v>82.32608696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2" t="s">
        <v>131</v>
      </c>
      <c r="B31" s="2">
        <f>max(B4:B28)</f>
        <v>97.8</v>
      </c>
      <c r="C31" s="2"/>
      <c r="D31" s="2">
        <f>max(D4:D28)</f>
        <v>64.1</v>
      </c>
      <c r="E31" s="2"/>
      <c r="F31" s="2">
        <f>max(F4:F28)</f>
        <v>98.2</v>
      </c>
      <c r="H31" s="2">
        <f>max(H4:H28)</f>
        <v>90</v>
      </c>
    </row>
    <row r="32">
      <c r="A32" s="2" t="s">
        <v>132</v>
      </c>
      <c r="B32" s="2">
        <f>MIN(B5:B29)</f>
        <v>89.1</v>
      </c>
      <c r="C32" s="2"/>
      <c r="D32" s="2">
        <f>MIN(D5:D29)</f>
        <v>31.7</v>
      </c>
      <c r="E32" s="2"/>
      <c r="F32" s="2">
        <f>MIN(F5:F29)</f>
        <v>93.1</v>
      </c>
      <c r="H32" s="2">
        <f>MIN(H5:H29)</f>
        <v>67.5</v>
      </c>
    </row>
    <row r="33">
      <c r="A33" s="2" t="s">
        <v>133</v>
      </c>
      <c r="B33">
        <f>MEDIAN(B4:B28)</f>
        <v>93.7</v>
      </c>
      <c r="D33">
        <f>MEDIAN(D4:D28)</f>
        <v>43.6</v>
      </c>
      <c r="F33">
        <f>MEDIAN(F4:F28)</f>
        <v>96.8</v>
      </c>
      <c r="H33">
        <f>MEDIAN(H4:H28)</f>
        <v>82.9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134</v>
      </c>
      <c r="B1" s="2" t="s">
        <v>0</v>
      </c>
      <c r="C1" s="2" t="s">
        <v>0</v>
      </c>
      <c r="D1" s="2" t="s">
        <v>1</v>
      </c>
      <c r="E1" s="2" t="s">
        <v>1</v>
      </c>
    </row>
    <row r="2">
      <c r="A2" s="5" t="s">
        <v>4</v>
      </c>
      <c r="B2" s="5" t="s">
        <v>5</v>
      </c>
      <c r="C2" t="s">
        <v>7</v>
      </c>
      <c r="D2" s="1" t="s">
        <v>5</v>
      </c>
      <c r="E2" t="s">
        <v>7</v>
      </c>
    </row>
    <row r="3">
      <c r="A3" s="5" t="s">
        <v>8</v>
      </c>
      <c r="B3" s="6">
        <v>96.5</v>
      </c>
      <c r="C3">
        <v>54.4</v>
      </c>
      <c r="D3" s="1">
        <v>98.1</v>
      </c>
      <c r="E3">
        <v>87.7</v>
      </c>
    </row>
    <row r="4">
      <c r="A4" s="5" t="s">
        <v>13</v>
      </c>
      <c r="B4" s="6">
        <v>97.8</v>
      </c>
      <c r="C4">
        <v>47.0</v>
      </c>
      <c r="D4" s="1">
        <v>96.5</v>
      </c>
      <c r="E4">
        <v>90.0</v>
      </c>
    </row>
    <row r="5">
      <c r="A5" s="5" t="s">
        <v>18</v>
      </c>
      <c r="B5" s="6">
        <v>95.7</v>
      </c>
      <c r="C5">
        <v>50.7</v>
      </c>
      <c r="D5" s="1">
        <v>96.8</v>
      </c>
      <c r="E5">
        <v>85.1</v>
      </c>
    </row>
    <row r="6">
      <c r="A6" s="5" t="s">
        <v>23</v>
      </c>
      <c r="B6" s="6">
        <v>95.8</v>
      </c>
      <c r="C6">
        <v>55.5</v>
      </c>
      <c r="D6" s="1">
        <v>96.9</v>
      </c>
      <c r="E6">
        <v>81.3</v>
      </c>
    </row>
    <row r="7">
      <c r="A7" s="5" t="s">
        <v>28</v>
      </c>
      <c r="B7" s="6">
        <v>91.5</v>
      </c>
      <c r="C7">
        <v>43.4</v>
      </c>
      <c r="D7" s="1">
        <v>96.9</v>
      </c>
      <c r="E7">
        <v>81.3</v>
      </c>
    </row>
    <row r="8">
      <c r="A8" s="5" t="s">
        <v>33</v>
      </c>
      <c r="B8" s="6">
        <v>89.1</v>
      </c>
      <c r="C8">
        <v>35.5</v>
      </c>
      <c r="D8" s="1">
        <v>96.6</v>
      </c>
      <c r="E8">
        <v>80.2</v>
      </c>
    </row>
    <row r="9">
      <c r="A9" s="5" t="s">
        <v>38</v>
      </c>
      <c r="B9" s="6">
        <v>92.3</v>
      </c>
      <c r="C9">
        <v>45.0</v>
      </c>
      <c r="D9" s="1">
        <v>97.8</v>
      </c>
      <c r="E9">
        <v>83.0</v>
      </c>
    </row>
    <row r="10">
      <c r="A10" s="5" t="s">
        <v>43</v>
      </c>
      <c r="B10" s="6">
        <v>95.1</v>
      </c>
      <c r="C10">
        <v>50.9</v>
      </c>
      <c r="D10" s="1">
        <v>95.2</v>
      </c>
      <c r="E10">
        <v>82.1</v>
      </c>
    </row>
    <row r="11">
      <c r="A11" s="5" t="s">
        <v>48</v>
      </c>
      <c r="B11" s="6">
        <v>95.8</v>
      </c>
      <c r="C11">
        <v>48.7</v>
      </c>
      <c r="D11" s="1">
        <v>97.2</v>
      </c>
      <c r="E11">
        <v>82.8</v>
      </c>
    </row>
    <row r="12">
      <c r="A12" s="5" t="s">
        <v>53</v>
      </c>
      <c r="B12" s="6">
        <v>94.8</v>
      </c>
      <c r="C12">
        <v>49.2</v>
      </c>
      <c r="D12" s="1">
        <v>97.9</v>
      </c>
      <c r="E12">
        <v>82.9</v>
      </c>
    </row>
    <row r="13">
      <c r="A13" s="5" t="s">
        <v>58</v>
      </c>
      <c r="B13" s="6">
        <v>95.9</v>
      </c>
      <c r="C13">
        <v>41.4</v>
      </c>
      <c r="D13" s="1">
        <v>93.5</v>
      </c>
      <c r="E13">
        <v>81.7</v>
      </c>
    </row>
    <row r="14">
      <c r="A14" s="5" t="s">
        <v>63</v>
      </c>
      <c r="B14" s="6">
        <v>92.9</v>
      </c>
      <c r="C14">
        <v>39.2</v>
      </c>
      <c r="D14" s="1">
        <v>96.9</v>
      </c>
      <c r="E14">
        <v>83.7</v>
      </c>
    </row>
    <row r="15">
      <c r="A15" s="5" t="s">
        <v>68</v>
      </c>
      <c r="B15" s="6">
        <v>93.2</v>
      </c>
      <c r="C15">
        <v>38.7</v>
      </c>
      <c r="D15" s="1" t="s">
        <v>71</v>
      </c>
      <c r="E15" t="s">
        <v>71</v>
      </c>
    </row>
    <row r="16">
      <c r="A16" s="5" t="s">
        <v>72</v>
      </c>
      <c r="B16" s="6">
        <v>94.0</v>
      </c>
      <c r="C16">
        <v>35.2</v>
      </c>
      <c r="D16" s="1">
        <v>95.9</v>
      </c>
      <c r="E16">
        <v>81.1</v>
      </c>
    </row>
    <row r="17">
      <c r="A17" s="5" t="s">
        <v>77</v>
      </c>
      <c r="B17" s="6">
        <v>91.7</v>
      </c>
      <c r="C17">
        <v>31.7</v>
      </c>
      <c r="D17" s="1">
        <v>96.2</v>
      </c>
      <c r="E17">
        <v>85.1</v>
      </c>
    </row>
    <row r="18">
      <c r="A18" s="5" t="s">
        <v>82</v>
      </c>
      <c r="B18" s="6">
        <v>91.3</v>
      </c>
      <c r="C18">
        <v>36.1</v>
      </c>
      <c r="D18" s="1">
        <v>94.3</v>
      </c>
      <c r="E18">
        <v>79.3</v>
      </c>
    </row>
    <row r="19">
      <c r="A19" s="5" t="s">
        <v>87</v>
      </c>
      <c r="B19" s="6">
        <v>95.7</v>
      </c>
      <c r="C19">
        <v>43.6</v>
      </c>
      <c r="D19" s="1">
        <v>97.6</v>
      </c>
      <c r="E19">
        <v>83.4</v>
      </c>
    </row>
    <row r="20">
      <c r="A20" s="5" t="s">
        <v>92</v>
      </c>
      <c r="B20" s="6">
        <v>91.9</v>
      </c>
      <c r="C20">
        <v>39.0</v>
      </c>
      <c r="D20" s="1">
        <v>96.8</v>
      </c>
      <c r="E20">
        <v>85.3</v>
      </c>
    </row>
    <row r="21">
      <c r="A21" s="5" t="s">
        <v>97</v>
      </c>
      <c r="B21" s="6">
        <v>90.3</v>
      </c>
      <c r="C21">
        <v>36.1</v>
      </c>
      <c r="D21" s="1">
        <v>95.8</v>
      </c>
      <c r="E21">
        <v>78.2</v>
      </c>
    </row>
    <row r="22">
      <c r="A22" s="5" t="s">
        <v>102</v>
      </c>
      <c r="B22" s="6">
        <v>91.8</v>
      </c>
      <c r="C22">
        <v>37.2</v>
      </c>
      <c r="D22" s="1">
        <v>93.1</v>
      </c>
      <c r="E22">
        <v>67.5</v>
      </c>
    </row>
    <row r="23">
      <c r="A23" s="5" t="s">
        <v>107</v>
      </c>
      <c r="B23" s="6">
        <v>89.3</v>
      </c>
      <c r="C23">
        <v>40.7</v>
      </c>
      <c r="D23" s="1">
        <v>93.2</v>
      </c>
      <c r="E23">
        <v>80.1</v>
      </c>
    </row>
    <row r="24">
      <c r="A24" s="5" t="s">
        <v>112</v>
      </c>
      <c r="B24" s="6">
        <v>91.3</v>
      </c>
      <c r="C24">
        <v>46.7</v>
      </c>
      <c r="D24" s="1" t="s">
        <v>71</v>
      </c>
      <c r="E24" t="s">
        <v>71</v>
      </c>
    </row>
    <row r="25">
      <c r="A25" s="5" t="s">
        <v>115</v>
      </c>
      <c r="B25" s="6">
        <v>95.3</v>
      </c>
      <c r="C25">
        <v>57.9</v>
      </c>
      <c r="D25" s="1">
        <v>97.2</v>
      </c>
      <c r="E25">
        <v>83.5</v>
      </c>
    </row>
    <row r="26">
      <c r="A26" s="5" t="s">
        <v>120</v>
      </c>
      <c r="B26" s="6">
        <v>97.7</v>
      </c>
      <c r="C26">
        <v>64.1</v>
      </c>
      <c r="D26" s="1">
        <v>98.2</v>
      </c>
      <c r="E26">
        <v>85.0</v>
      </c>
    </row>
    <row r="27">
      <c r="A27" s="7" t="s">
        <v>125</v>
      </c>
      <c r="B27" s="8">
        <v>93.7</v>
      </c>
      <c r="C27">
        <v>45.1</v>
      </c>
      <c r="D27" s="1">
        <v>96.4</v>
      </c>
      <c r="E27">
        <v>83.2</v>
      </c>
    </row>
  </sheetData>
  <drawing r:id="rId1"/>
</worksheet>
</file>